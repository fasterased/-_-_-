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3.xml" ContentType="application/vnd.openxmlformats-officedocument.spreadsheetml.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32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Hypo\Downloads\Telegram Desktop\"/>
    </mc:Choice>
  </mc:AlternateContent>
  <bookViews>
    <workbookView xWindow="0" yWindow="0" windowWidth="28770" windowHeight="12270" activeTab="7"/>
  </bookViews>
  <sheets>
    <sheet name="Исходные данные" sheetId="2" r:id="rId1"/>
    <sheet name="Исходные данные 2" sheetId="3" r:id="rId2"/>
    <sheet name="1 id" sheetId="10" r:id="rId3"/>
    <sheet name="2 id" sheetId="11" r:id="rId4"/>
    <sheet name="3 id" sheetId="12" r:id="rId5"/>
    <sheet name="Журнал учета договоров" sheetId="4" r:id="rId6"/>
    <sheet name="Дашборд1" sheetId="16" r:id="rId7"/>
    <sheet name="Дашборд2" sheetId="19" r:id="rId8"/>
    <sheet name="Склад" sheetId="6" r:id="rId9"/>
    <sheet name="Справочная информация" sheetId="7" r:id="rId10"/>
    <sheet name="Итоговые таблицы" sheetId="15" r:id="rId11"/>
    <sheet name="Помощь" sheetId="18" r:id="rId12"/>
  </sheets>
  <definedNames>
    <definedName name="_xlchart.v1.0" hidden="1">Дашборд2!$W$135:$X$135</definedName>
    <definedName name="_xlcn.WorksheetConnection_мояработа.xlsmбрендыы" hidden="1">брендыы[]</definedName>
    <definedName name="_xlcn.WorksheetConnection_мояработа.xlsmТаблица46" hidden="1">Таблица46</definedName>
    <definedName name="_xlcn.WorksheetConnection_полуэктова12.xlsmТаблица3" hidden="1">Таблица3[]</definedName>
    <definedName name="ExternalData_1" localSheetId="0" hidden="1">'Исходные данные'!$A$1:$D$401</definedName>
    <definedName name="БАЗА1">OFFSET('1 id'!$A$3,0,0,COUNTA('1 id'!$A$3:$A$501),10)</definedName>
    <definedName name="БАЗА2">OFFSET('2 id'!$A$3,0,0,COUNTA('2 id'!$A$3:$A$501),10)</definedName>
    <definedName name="БАЗА3">OFFSET('3 id'!$A$3,0,0,COUNTA('3 id'!$A$3:$A$501),10)</definedName>
    <definedName name="ВстроеннаяВременнаяШкала_Дата_продажи">#N/A</definedName>
    <definedName name="Срез_id_департамента">#N/A</definedName>
    <definedName name="Срез_Менеджер_по_продажам">#N/A</definedName>
    <definedName name="Срез_Наименование_товара">#N/A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3" name="Таблица3" connection="WorksheetConnection_полуэктова(1) (2).xlsm!Таблица3"/>
          <x15:modelTable id="Таблица46" name="Таблица46" connection="WorksheetConnection_мояработа.xlsm!Таблица46"/>
          <x15:modelTable id="брендыы" name="брендыы" connection="WorksheetConnection_мояработа.xlsm!брендыы"/>
        </x15:modelTables>
        <x15:modelRelationships>
          <x15:modelRelationship fromTable="Таблица3" fromColumn="Бренд" toTable="Таблица46" toColumn="Бренд"/>
          <x15:modelRelationship fromTable="Таблица3" fromColumn="Бренд" toTable="брендыы" toColumn="Бренд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Таблица3" columnName="Дата продажи" columnId="Дата продажи">
                <x16:calculatedTimeColumn columnName="Дата продажи (Индекс месяца)" columnId="Дата продажи (Индекс месяца)" contentType="monthsindex" isSelected="1"/>
                <x16:calculatedTimeColumn columnName="Дата продажи (Месяц)" columnId="Дата продажи (Месяц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4" l="1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2" i="4"/>
  <c r="L3" i="4"/>
  <c r="L4" i="4"/>
  <c r="L6" i="4"/>
  <c r="J9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2" i="4"/>
  <c r="C29" i="15"/>
  <c r="C3" i="15"/>
  <c r="K6" i="4"/>
  <c r="I6" i="4"/>
  <c r="C4" i="15"/>
  <c r="E17" i="7" l="1"/>
  <c r="E16" i="7"/>
  <c r="E15" i="7"/>
  <c r="E14" i="7"/>
  <c r="E13" i="7"/>
  <c r="E12" i="7"/>
  <c r="U2" i="19"/>
  <c r="X135" i="19"/>
  <c r="W135" i="19"/>
  <c r="W103" i="19"/>
  <c r="X103" i="19"/>
  <c r="D25" i="16" l="1"/>
  <c r="C5" i="15" l="1"/>
  <c r="C82" i="16"/>
  <c r="C81" i="16"/>
  <c r="C80" i="16"/>
  <c r="C78" i="16"/>
  <c r="C77" i="16"/>
  <c r="C76" i="16"/>
  <c r="C74" i="16"/>
  <c r="C73" i="16"/>
  <c r="C72" i="16"/>
  <c r="C70" i="16"/>
  <c r="C69" i="16"/>
  <c r="C68" i="16"/>
  <c r="C66" i="16"/>
  <c r="C65" i="16"/>
  <c r="C64" i="16"/>
  <c r="C58" i="16"/>
  <c r="C57" i="16"/>
  <c r="C56" i="16"/>
  <c r="C52" i="16"/>
  <c r="C54" i="16"/>
  <c r="C53" i="16"/>
  <c r="C50" i="16"/>
  <c r="C49" i="16"/>
  <c r="C48" i="16"/>
  <c r="D68" i="16"/>
  <c r="D73" i="16"/>
  <c r="D56" i="16"/>
  <c r="D58" i="16"/>
  <c r="D69" i="16"/>
  <c r="D52" i="16"/>
  <c r="D77" i="16"/>
  <c r="D80" i="16"/>
  <c r="D81" i="16"/>
  <c r="D53" i="16"/>
  <c r="D65" i="16"/>
  <c r="D78" i="16"/>
  <c r="D64" i="16"/>
  <c r="D57" i="16"/>
  <c r="D50" i="16"/>
  <c r="D74" i="16"/>
  <c r="D72" i="16"/>
  <c r="D76" i="16"/>
  <c r="D49" i="16"/>
  <c r="D82" i="16"/>
  <c r="D54" i="16"/>
  <c r="D70" i="16"/>
  <c r="D66" i="16"/>
  <c r="D48" i="16"/>
  <c r="D47" i="15" l="1"/>
  <c r="E47" i="15"/>
  <c r="F47" i="15"/>
  <c r="G47" i="15"/>
  <c r="H47" i="15"/>
  <c r="C47" i="15"/>
  <c r="C44" i="15"/>
  <c r="D44" i="15"/>
  <c r="E44" i="15"/>
  <c r="F44" i="15"/>
  <c r="G44" i="15"/>
  <c r="H44" i="15"/>
  <c r="C41" i="15"/>
  <c r="D41" i="15"/>
  <c r="E41" i="15"/>
  <c r="F41" i="15"/>
  <c r="G41" i="15"/>
  <c r="H41" i="15"/>
  <c r="D38" i="15"/>
  <c r="C38" i="15"/>
  <c r="E38" i="15"/>
  <c r="F38" i="15"/>
  <c r="G38" i="15"/>
  <c r="H38" i="15"/>
  <c r="C35" i="15"/>
  <c r="D35" i="15"/>
  <c r="E35" i="15"/>
  <c r="F35" i="15"/>
  <c r="G35" i="15"/>
  <c r="H35" i="15"/>
  <c r="D32" i="15"/>
  <c r="E32" i="15"/>
  <c r="F32" i="15"/>
  <c r="G32" i="15"/>
  <c r="H32" i="15"/>
  <c r="C32" i="15"/>
  <c r="D29" i="15"/>
  <c r="E29" i="15"/>
  <c r="F29" i="15"/>
  <c r="G29" i="15"/>
  <c r="H29" i="15"/>
  <c r="D45" i="15"/>
  <c r="H33" i="15"/>
  <c r="H30" i="15"/>
  <c r="G39" i="15"/>
  <c r="E33" i="15"/>
  <c r="E36" i="15"/>
  <c r="E30" i="15"/>
  <c r="F45" i="15"/>
  <c r="H42" i="15"/>
  <c r="G30" i="15"/>
  <c r="D30" i="15"/>
  <c r="F42" i="15"/>
  <c r="G36" i="15"/>
  <c r="E45" i="15"/>
  <c r="H45" i="15"/>
  <c r="C42" i="15"/>
  <c r="C48" i="15"/>
  <c r="C45" i="15"/>
  <c r="F33" i="15"/>
  <c r="F30" i="15"/>
  <c r="D36" i="15"/>
  <c r="G45" i="15"/>
  <c r="G33" i="15"/>
  <c r="D39" i="15"/>
  <c r="E48" i="15"/>
  <c r="H48" i="15"/>
  <c r="C36" i="15"/>
  <c r="C39" i="15"/>
  <c r="C33" i="15"/>
  <c r="F39" i="15"/>
  <c r="H39" i="15"/>
  <c r="H36" i="15"/>
  <c r="F36" i="15"/>
  <c r="C30" i="15"/>
  <c r="D42" i="15"/>
  <c r="E42" i="15"/>
  <c r="D48" i="15"/>
  <c r="E39" i="15"/>
  <c r="G48" i="15"/>
  <c r="D33" i="15"/>
  <c r="F48" i="15"/>
  <c r="G42" i="15"/>
  <c r="G16" i="15"/>
  <c r="H22" i="15"/>
  <c r="H16" i="15"/>
  <c r="F19" i="15"/>
  <c r="H10" i="15"/>
  <c r="F10" i="15"/>
  <c r="G7" i="15"/>
  <c r="F7" i="15"/>
  <c r="H13" i="15"/>
  <c r="C7" i="15"/>
  <c r="G22" i="15"/>
  <c r="G10" i="15"/>
  <c r="F16" i="15"/>
  <c r="F22" i="15"/>
  <c r="F13" i="15"/>
  <c r="H19" i="15"/>
  <c r="H7" i="15"/>
  <c r="G19" i="15"/>
  <c r="G13" i="15"/>
  <c r="C49" i="15" l="1"/>
  <c r="E49" i="15"/>
  <c r="H49" i="15"/>
  <c r="G49" i="15"/>
  <c r="F49" i="15"/>
  <c r="D49" i="15"/>
  <c r="G46" i="15"/>
  <c r="H46" i="15"/>
  <c r="D46" i="15"/>
  <c r="F46" i="15"/>
  <c r="E46" i="15"/>
  <c r="C46" i="15"/>
  <c r="E43" i="15"/>
  <c r="H43" i="15"/>
  <c r="D43" i="15"/>
  <c r="F43" i="15"/>
  <c r="G43" i="15"/>
  <c r="C43" i="15"/>
  <c r="H40" i="15"/>
  <c r="F40" i="15"/>
  <c r="G40" i="15"/>
  <c r="D40" i="15"/>
  <c r="E40" i="15"/>
  <c r="C40" i="15"/>
  <c r="H37" i="15"/>
  <c r="G37" i="15"/>
  <c r="F37" i="15"/>
  <c r="E37" i="15"/>
  <c r="D37" i="15"/>
  <c r="C37" i="15"/>
  <c r="G34" i="15"/>
  <c r="H34" i="15"/>
  <c r="F34" i="15"/>
  <c r="E34" i="15"/>
  <c r="D34" i="15"/>
  <c r="C34" i="15"/>
  <c r="H31" i="15"/>
  <c r="G31" i="15"/>
  <c r="F31" i="15"/>
  <c r="E31" i="15"/>
  <c r="D31" i="15"/>
  <c r="C31" i="15"/>
  <c r="F3" i="15"/>
  <c r="D21" i="15"/>
  <c r="E21" i="15"/>
  <c r="F21" i="15"/>
  <c r="F23" i="15" s="1"/>
  <c r="G21" i="15"/>
  <c r="G23" i="15" s="1"/>
  <c r="H21" i="15"/>
  <c r="H23" i="15" s="1"/>
  <c r="C21" i="15"/>
  <c r="D18" i="15"/>
  <c r="E18" i="15"/>
  <c r="F18" i="15"/>
  <c r="F20" i="15" s="1"/>
  <c r="G18" i="15"/>
  <c r="G20" i="15" s="1"/>
  <c r="H18" i="15"/>
  <c r="H20" i="15" s="1"/>
  <c r="C18" i="15"/>
  <c r="D15" i="15"/>
  <c r="E15" i="15"/>
  <c r="F15" i="15"/>
  <c r="F17" i="15" s="1"/>
  <c r="G15" i="15"/>
  <c r="G17" i="15" s="1"/>
  <c r="H15" i="15"/>
  <c r="H17" i="15" s="1"/>
  <c r="C15" i="15"/>
  <c r="C12" i="15"/>
  <c r="D12" i="15"/>
  <c r="E12" i="15"/>
  <c r="F12" i="15"/>
  <c r="F14" i="15" s="1"/>
  <c r="G12" i="15"/>
  <c r="G14" i="15" s="1"/>
  <c r="H12" i="15"/>
  <c r="H14" i="15" s="1"/>
  <c r="C9" i="15"/>
  <c r="F9" i="15"/>
  <c r="F11" i="15" s="1"/>
  <c r="G9" i="15"/>
  <c r="G11" i="15" s="1"/>
  <c r="H9" i="15"/>
  <c r="H11" i="15" s="1"/>
  <c r="D9" i="15"/>
  <c r="E9" i="15"/>
  <c r="C6" i="15"/>
  <c r="D6" i="15"/>
  <c r="E6" i="15"/>
  <c r="F6" i="15"/>
  <c r="F8" i="15" s="1"/>
  <c r="G6" i="15"/>
  <c r="G8" i="15" s="1"/>
  <c r="H6" i="15"/>
  <c r="H8" i="15" s="1"/>
  <c r="D3" i="15"/>
  <c r="E3" i="15"/>
  <c r="G3" i="15"/>
  <c r="H3" i="15"/>
  <c r="C13" i="15"/>
  <c r="D10" i="15"/>
  <c r="D16" i="15"/>
  <c r="D22" i="15"/>
  <c r="D4" i="15"/>
  <c r="H4" i="15"/>
  <c r="F4" i="15"/>
  <c r="E10" i="15"/>
  <c r="E13" i="15"/>
  <c r="D19" i="15"/>
  <c r="D7" i="15"/>
  <c r="E4" i="15"/>
  <c r="E16" i="15"/>
  <c r="E22" i="15"/>
  <c r="E19" i="15"/>
  <c r="C19" i="15"/>
  <c r="D13" i="15"/>
  <c r="C16" i="15"/>
  <c r="C10" i="15"/>
  <c r="E7" i="15"/>
  <c r="G4" i="15"/>
  <c r="C22" i="15"/>
  <c r="F5" i="15" l="1"/>
  <c r="G5" i="15"/>
  <c r="H5" i="15"/>
  <c r="D23" i="15"/>
  <c r="D20" i="15"/>
  <c r="D17" i="15"/>
  <c r="E17" i="15"/>
  <c r="E20" i="15"/>
  <c r="C20" i="15"/>
  <c r="C23" i="15"/>
  <c r="E23" i="15"/>
  <c r="C14" i="15"/>
  <c r="C17" i="15"/>
  <c r="C11" i="15"/>
  <c r="D14" i="15"/>
  <c r="E14" i="15"/>
  <c r="D5" i="15"/>
  <c r="E5" i="15"/>
  <c r="D8" i="15"/>
  <c r="E8" i="15"/>
  <c r="C8" i="15"/>
  <c r="D11" i="15"/>
  <c r="E11" i="1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O3" i="4"/>
  <c r="O4" i="4"/>
  <c r="O5" i="4"/>
  <c r="O6" i="4"/>
  <c r="O7" i="4"/>
  <c r="O8" i="4"/>
  <c r="O9" i="4"/>
  <c r="O10" i="4"/>
  <c r="O11" i="4"/>
  <c r="O12" i="4"/>
  <c r="O68" i="4"/>
  <c r="O69" i="4"/>
  <c r="O70" i="4"/>
  <c r="O71" i="4"/>
  <c r="O72" i="4"/>
  <c r="O73" i="4"/>
  <c r="O74" i="4"/>
  <c r="O75" i="4"/>
  <c r="O76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" i="4"/>
  <c r="O37" i="4"/>
  <c r="O38" i="4"/>
  <c r="O39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367" i="4"/>
  <c r="O368" i="4"/>
  <c r="O369" i="4"/>
  <c r="O370" i="4"/>
  <c r="O371" i="4"/>
  <c r="O372" i="4"/>
  <c r="O373" i="4"/>
  <c r="O374" i="4"/>
  <c r="O40" i="4"/>
  <c r="O41" i="4"/>
  <c r="O42" i="4"/>
  <c r="O43" i="4"/>
  <c r="O44" i="4"/>
  <c r="O45" i="4"/>
  <c r="O117" i="4"/>
  <c r="O118" i="4"/>
  <c r="O119" i="4"/>
  <c r="O120" i="4"/>
  <c r="O121" i="4"/>
  <c r="O122" i="4"/>
  <c r="O123" i="4"/>
  <c r="O124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93" i="4"/>
  <c r="O294" i="4"/>
  <c r="O295" i="4"/>
  <c r="O296" i="4"/>
  <c r="O297" i="4"/>
  <c r="O298" i="4"/>
  <c r="O299" i="4"/>
  <c r="O300" i="4"/>
  <c r="O301" i="4"/>
  <c r="O302" i="4"/>
  <c r="O375" i="4"/>
  <c r="O376" i="4"/>
  <c r="O377" i="4"/>
  <c r="O378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63" i="4"/>
  <c r="O64" i="4"/>
  <c r="O65" i="4"/>
  <c r="O66" i="4"/>
  <c r="O67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319" i="4"/>
  <c r="O320" i="4"/>
  <c r="O321" i="4"/>
  <c r="O322" i="4"/>
  <c r="O323" i="4"/>
  <c r="O324" i="4"/>
  <c r="O325" i="4"/>
  <c r="O326" i="4"/>
  <c r="O396" i="4"/>
  <c r="O397" i="4"/>
  <c r="O398" i="4"/>
  <c r="O399" i="4"/>
  <c r="O400" i="4"/>
  <c r="O401" i="4"/>
  <c r="O2" i="4"/>
  <c r="G8" i="6"/>
  <c r="I8" i="6" s="1"/>
  <c r="G4" i="6"/>
  <c r="I4" i="6" s="1"/>
  <c r="G5" i="6"/>
  <c r="I5" i="6" s="1"/>
  <c r="G6" i="6"/>
  <c r="G7" i="6"/>
  <c r="I7" i="6" s="1"/>
  <c r="G3" i="6"/>
  <c r="I3" i="6" s="1"/>
  <c r="H4" i="6"/>
  <c r="B13" i="7" s="1"/>
  <c r="H5" i="6"/>
  <c r="B14" i="7" s="1"/>
  <c r="H6" i="6"/>
  <c r="B15" i="7" s="1"/>
  <c r="H7" i="6"/>
  <c r="B16" i="7" s="1"/>
  <c r="H8" i="6"/>
  <c r="B17" i="7" s="1"/>
  <c r="H3" i="6"/>
  <c r="B12" i="7" s="1"/>
  <c r="B18" i="7" l="1"/>
  <c r="C14" i="7" s="1"/>
  <c r="D14" i="7" s="1"/>
  <c r="I6" i="6"/>
  <c r="I2" i="4"/>
  <c r="I46" i="4"/>
  <c r="I3" i="4"/>
  <c r="I13" i="4"/>
  <c r="I4" i="4"/>
  <c r="I5" i="4"/>
  <c r="I63" i="4"/>
  <c r="I14" i="4"/>
  <c r="I15" i="4"/>
  <c r="I16" i="4"/>
  <c r="I47" i="4"/>
  <c r="I64" i="4"/>
  <c r="I17" i="4"/>
  <c r="I65" i="4"/>
  <c r="I66" i="4"/>
  <c r="I18" i="4"/>
  <c r="I19" i="4"/>
  <c r="I48" i="4"/>
  <c r="I7" i="4"/>
  <c r="I20" i="4"/>
  <c r="I21" i="4"/>
  <c r="I37" i="4"/>
  <c r="I22" i="4"/>
  <c r="I23" i="4"/>
  <c r="I24" i="4"/>
  <c r="I49" i="4"/>
  <c r="I50" i="4"/>
  <c r="I51" i="4"/>
  <c r="I52" i="4"/>
  <c r="I25" i="4"/>
  <c r="I40" i="4"/>
  <c r="I53" i="4"/>
  <c r="I38" i="4"/>
  <c r="I41" i="4"/>
  <c r="I42" i="4"/>
  <c r="I54" i="4"/>
  <c r="I67" i="4"/>
  <c r="I26" i="4"/>
  <c r="I39" i="4"/>
  <c r="I8" i="4"/>
  <c r="I55" i="4"/>
  <c r="I56" i="4"/>
  <c r="I57" i="4"/>
  <c r="I43" i="4"/>
  <c r="I58" i="4"/>
  <c r="I27" i="4"/>
  <c r="I59" i="4"/>
  <c r="I28" i="4"/>
  <c r="I44" i="4"/>
  <c r="I29" i="4"/>
  <c r="I60" i="4"/>
  <c r="I9" i="4"/>
  <c r="I10" i="4"/>
  <c r="I11" i="4"/>
  <c r="I30" i="4"/>
  <c r="I31" i="4"/>
  <c r="I61" i="4"/>
  <c r="I62" i="4"/>
  <c r="I45" i="4"/>
  <c r="I32" i="4"/>
  <c r="I33" i="4"/>
  <c r="I34" i="4"/>
  <c r="I35" i="4"/>
  <c r="I12" i="4"/>
  <c r="I141" i="4"/>
  <c r="I142" i="4"/>
  <c r="I104" i="4"/>
  <c r="I77" i="4"/>
  <c r="I143" i="4"/>
  <c r="I144" i="4"/>
  <c r="I105" i="4"/>
  <c r="I78" i="4"/>
  <c r="I106" i="4"/>
  <c r="I79" i="4"/>
  <c r="I80" i="4"/>
  <c r="I145" i="4"/>
  <c r="I81" i="4"/>
  <c r="I82" i="4"/>
  <c r="I125" i="4"/>
  <c r="I83" i="4"/>
  <c r="I84" i="4"/>
  <c r="I85" i="4"/>
  <c r="I86" i="4"/>
  <c r="I146" i="4"/>
  <c r="I107" i="4"/>
  <c r="I108" i="4"/>
  <c r="I109" i="4"/>
  <c r="I87" i="4"/>
  <c r="I147" i="4"/>
  <c r="I68" i="4"/>
  <c r="I148" i="4"/>
  <c r="I149" i="4"/>
  <c r="I126" i="4"/>
  <c r="I150" i="4"/>
  <c r="I151" i="4"/>
  <c r="I152" i="4"/>
  <c r="I88" i="4"/>
  <c r="I127" i="4"/>
  <c r="I128" i="4"/>
  <c r="I110" i="4"/>
  <c r="I117" i="4"/>
  <c r="I129" i="4"/>
  <c r="I130" i="4"/>
  <c r="I131" i="4"/>
  <c r="I132" i="4"/>
  <c r="I89" i="4"/>
  <c r="I90" i="4"/>
  <c r="I118" i="4"/>
  <c r="I133" i="4"/>
  <c r="I119" i="4"/>
  <c r="I111" i="4"/>
  <c r="I153" i="4"/>
  <c r="I91" i="4"/>
  <c r="I92" i="4"/>
  <c r="I112" i="4"/>
  <c r="I134" i="4"/>
  <c r="I113" i="4"/>
  <c r="I93" i="4"/>
  <c r="I94" i="4"/>
  <c r="I114" i="4"/>
  <c r="I135" i="4"/>
  <c r="I95" i="4"/>
  <c r="I96" i="4"/>
  <c r="I120" i="4"/>
  <c r="I136" i="4"/>
  <c r="I121" i="4"/>
  <c r="I122" i="4"/>
  <c r="I154" i="4"/>
  <c r="I123" i="4"/>
  <c r="I137" i="4"/>
  <c r="I69" i="4"/>
  <c r="I138" i="4"/>
  <c r="I97" i="4"/>
  <c r="I98" i="4"/>
  <c r="I99" i="4"/>
  <c r="I100" i="4"/>
  <c r="I101" i="4"/>
  <c r="I102" i="4"/>
  <c r="I139" i="4"/>
  <c r="I115" i="4"/>
  <c r="I70" i="4"/>
  <c r="I71" i="4"/>
  <c r="I72" i="4"/>
  <c r="I140" i="4"/>
  <c r="I73" i="4"/>
  <c r="I74" i="4"/>
  <c r="I116" i="4"/>
  <c r="I124" i="4"/>
  <c r="I75" i="4"/>
  <c r="I103" i="4"/>
  <c r="I76" i="4"/>
  <c r="I207" i="4"/>
  <c r="I233" i="4"/>
  <c r="I220" i="4"/>
  <c r="I171" i="4"/>
  <c r="I208" i="4"/>
  <c r="I221" i="4"/>
  <c r="I194" i="4"/>
  <c r="I234" i="4"/>
  <c r="I172" i="4"/>
  <c r="I173" i="4"/>
  <c r="I174" i="4"/>
  <c r="I155" i="4"/>
  <c r="I175" i="4"/>
  <c r="I235" i="4"/>
  <c r="I156" i="4"/>
  <c r="I236" i="4"/>
  <c r="I195" i="4"/>
  <c r="I196" i="4"/>
  <c r="I176" i="4"/>
  <c r="I197" i="4"/>
  <c r="I177" i="4"/>
  <c r="I237" i="4"/>
  <c r="I157" i="4"/>
  <c r="I238" i="4"/>
  <c r="I178" i="4"/>
  <c r="I179" i="4"/>
  <c r="I239" i="4"/>
  <c r="I198" i="4"/>
  <c r="I158" i="4"/>
  <c r="I180" i="4"/>
  <c r="I222" i="4"/>
  <c r="I223" i="4"/>
  <c r="I199" i="4"/>
  <c r="I224" i="4"/>
  <c r="I209" i="4"/>
  <c r="I159" i="4"/>
  <c r="I181" i="4"/>
  <c r="I240" i="4"/>
  <c r="I210" i="4"/>
  <c r="I241" i="4"/>
  <c r="I200" i="4"/>
  <c r="I242" i="4"/>
  <c r="I201" i="4"/>
  <c r="I202" i="4"/>
  <c r="I160" i="4"/>
  <c r="I211" i="4"/>
  <c r="I212" i="4"/>
  <c r="I213" i="4"/>
  <c r="I225" i="4"/>
  <c r="I214" i="4"/>
  <c r="I215" i="4"/>
  <c r="I216" i="4"/>
  <c r="I226" i="4"/>
  <c r="I217" i="4"/>
  <c r="I227" i="4"/>
  <c r="I228" i="4"/>
  <c r="I229" i="4"/>
  <c r="I218" i="4"/>
  <c r="I182" i="4"/>
  <c r="I203" i="4"/>
  <c r="I204" i="4"/>
  <c r="I219" i="4"/>
  <c r="I161" i="4"/>
  <c r="I205" i="4"/>
  <c r="I230" i="4"/>
  <c r="I183" i="4"/>
  <c r="I206" i="4"/>
  <c r="I184" i="4"/>
  <c r="I162" i="4"/>
  <c r="I243" i="4"/>
  <c r="I163" i="4"/>
  <c r="I185" i="4"/>
  <c r="I186" i="4"/>
  <c r="I231" i="4"/>
  <c r="I164" i="4"/>
  <c r="I187" i="4"/>
  <c r="I232" i="4"/>
  <c r="I188" i="4"/>
  <c r="I165" i="4"/>
  <c r="I189" i="4"/>
  <c r="I166" i="4"/>
  <c r="I190" i="4"/>
  <c r="I191" i="4"/>
  <c r="I167" i="4"/>
  <c r="I168" i="4"/>
  <c r="I244" i="4"/>
  <c r="I169" i="4"/>
  <c r="I192" i="4"/>
  <c r="I170" i="4"/>
  <c r="I193" i="4"/>
  <c r="I319" i="4"/>
  <c r="I280" i="4"/>
  <c r="I261" i="4"/>
  <c r="I303" i="4"/>
  <c r="I245" i="4"/>
  <c r="I262" i="4"/>
  <c r="I263" i="4"/>
  <c r="I304" i="4"/>
  <c r="I264" i="4"/>
  <c r="I265" i="4"/>
  <c r="I320" i="4"/>
  <c r="I321" i="4"/>
  <c r="I246" i="4"/>
  <c r="I266" i="4"/>
  <c r="I281" i="4"/>
  <c r="I305" i="4"/>
  <c r="I267" i="4"/>
  <c r="I282" i="4"/>
  <c r="I283" i="4"/>
  <c r="I306" i="4"/>
  <c r="I322" i="4"/>
  <c r="I307" i="4"/>
  <c r="I293" i="4"/>
  <c r="I268" i="4"/>
  <c r="I294" i="4"/>
  <c r="I295" i="4"/>
  <c r="I284" i="4"/>
  <c r="I308" i="4"/>
  <c r="I285" i="4"/>
  <c r="I269" i="4"/>
  <c r="I309" i="4"/>
  <c r="I310" i="4"/>
  <c r="I311" i="4"/>
  <c r="I247" i="4"/>
  <c r="I248" i="4"/>
  <c r="I286" i="4"/>
  <c r="I287" i="4"/>
  <c r="I312" i="4"/>
  <c r="I296" i="4"/>
  <c r="I288" i="4"/>
  <c r="I270" i="4"/>
  <c r="I323" i="4"/>
  <c r="I313" i="4"/>
  <c r="I271" i="4"/>
  <c r="I297" i="4"/>
  <c r="I272" i="4"/>
  <c r="I298" i="4"/>
  <c r="I249" i="4"/>
  <c r="I314" i="4"/>
  <c r="I324" i="4"/>
  <c r="I289" i="4"/>
  <c r="I273" i="4"/>
  <c r="I299" i="4"/>
  <c r="I250" i="4"/>
  <c r="I300" i="4"/>
  <c r="I251" i="4"/>
  <c r="I252" i="4"/>
  <c r="I274" i="4"/>
  <c r="I275" i="4"/>
  <c r="I315" i="4"/>
  <c r="I290" i="4"/>
  <c r="I316" i="4"/>
  <c r="I253" i="4"/>
  <c r="I325" i="4"/>
  <c r="I254" i="4"/>
  <c r="I255" i="4"/>
  <c r="I276" i="4"/>
  <c r="I291" i="4"/>
  <c r="I301" i="4"/>
  <c r="I317" i="4"/>
  <c r="I302" i="4"/>
  <c r="I277" i="4"/>
  <c r="I256" i="4"/>
  <c r="I257" i="4"/>
  <c r="I318" i="4"/>
  <c r="I326" i="4"/>
  <c r="I258" i="4"/>
  <c r="I278" i="4"/>
  <c r="I279" i="4"/>
  <c r="I259" i="4"/>
  <c r="I292" i="4"/>
  <c r="I260" i="4"/>
  <c r="I350" i="4"/>
  <c r="I351" i="4"/>
  <c r="I379" i="4"/>
  <c r="I352" i="4"/>
  <c r="I380" i="4"/>
  <c r="I353" i="4"/>
  <c r="I354" i="4"/>
  <c r="I367" i="4"/>
  <c r="I396" i="4"/>
  <c r="I355" i="4"/>
  <c r="I327" i="4"/>
  <c r="I397" i="4"/>
  <c r="I356" i="4"/>
  <c r="I368" i="4"/>
  <c r="I328" i="4"/>
  <c r="I357" i="4"/>
  <c r="I358" i="4"/>
  <c r="I329" i="4"/>
  <c r="I398" i="4"/>
  <c r="I369" i="4"/>
  <c r="I370" i="4"/>
  <c r="I330" i="4"/>
  <c r="I331" i="4"/>
  <c r="I332" i="4"/>
  <c r="I381" i="4"/>
  <c r="I375" i="4"/>
  <c r="I382" i="4"/>
  <c r="I383" i="4"/>
  <c r="I384" i="4"/>
  <c r="I385" i="4"/>
  <c r="I386" i="4"/>
  <c r="I399" i="4"/>
  <c r="I387" i="4"/>
  <c r="I371" i="4"/>
  <c r="I388" i="4"/>
  <c r="I389" i="4"/>
  <c r="I359" i="4"/>
  <c r="I376" i="4"/>
  <c r="I390" i="4"/>
  <c r="I391" i="4"/>
  <c r="I360" i="4"/>
  <c r="I372" i="4"/>
  <c r="I392" i="4"/>
  <c r="I377" i="4"/>
  <c r="I373" i="4"/>
  <c r="I333" i="4"/>
  <c r="I393" i="4"/>
  <c r="I334" i="4"/>
  <c r="I335" i="4"/>
  <c r="I336" i="4"/>
  <c r="I361" i="4"/>
  <c r="I374" i="4"/>
  <c r="I337" i="4"/>
  <c r="I362" i="4"/>
  <c r="I338" i="4"/>
  <c r="I339" i="4"/>
  <c r="I363" i="4"/>
  <c r="I394" i="4"/>
  <c r="I340" i="4"/>
  <c r="I400" i="4"/>
  <c r="I341" i="4"/>
  <c r="I364" i="4"/>
  <c r="I342" i="4"/>
  <c r="I343" i="4"/>
  <c r="I378" i="4"/>
  <c r="I344" i="4"/>
  <c r="I365" i="4"/>
  <c r="I395" i="4"/>
  <c r="I366" i="4"/>
  <c r="I345" i="4"/>
  <c r="I346" i="4"/>
  <c r="I347" i="4"/>
  <c r="I348" i="4"/>
  <c r="I349" i="4"/>
  <c r="I401" i="4"/>
  <c r="I36" i="4"/>
  <c r="G36" i="4"/>
  <c r="G2" i="4"/>
  <c r="G46" i="4"/>
  <c r="G3" i="4"/>
  <c r="G13" i="4"/>
  <c r="G4" i="4"/>
  <c r="G5" i="4"/>
  <c r="G63" i="4"/>
  <c r="G14" i="4"/>
  <c r="G15" i="4"/>
  <c r="G6" i="4"/>
  <c r="G16" i="4"/>
  <c r="G47" i="4"/>
  <c r="G64" i="4"/>
  <c r="G17" i="4"/>
  <c r="G65" i="4"/>
  <c r="G66" i="4"/>
  <c r="G18" i="4"/>
  <c r="G19" i="4"/>
  <c r="G48" i="4"/>
  <c r="G7" i="4"/>
  <c r="G20" i="4"/>
  <c r="G21" i="4"/>
  <c r="G37" i="4"/>
  <c r="G22" i="4"/>
  <c r="G23" i="4"/>
  <c r="G24" i="4"/>
  <c r="G49" i="4"/>
  <c r="G50" i="4"/>
  <c r="G51" i="4"/>
  <c r="G52" i="4"/>
  <c r="G25" i="4"/>
  <c r="G40" i="4"/>
  <c r="G53" i="4"/>
  <c r="G38" i="4"/>
  <c r="G41" i="4"/>
  <c r="G42" i="4"/>
  <c r="G54" i="4"/>
  <c r="G67" i="4"/>
  <c r="G26" i="4"/>
  <c r="G39" i="4"/>
  <c r="G8" i="4"/>
  <c r="G55" i="4"/>
  <c r="G56" i="4"/>
  <c r="G57" i="4"/>
  <c r="G43" i="4"/>
  <c r="G58" i="4"/>
  <c r="G27" i="4"/>
  <c r="G59" i="4"/>
  <c r="G28" i="4"/>
  <c r="G44" i="4"/>
  <c r="G29" i="4"/>
  <c r="G60" i="4"/>
  <c r="G9" i="4"/>
  <c r="G10" i="4"/>
  <c r="G11" i="4"/>
  <c r="G30" i="4"/>
  <c r="G31" i="4"/>
  <c r="G61" i="4"/>
  <c r="G62" i="4"/>
  <c r="G45" i="4"/>
  <c r="G32" i="4"/>
  <c r="G33" i="4"/>
  <c r="G34" i="4"/>
  <c r="G35" i="4"/>
  <c r="G12" i="4"/>
  <c r="G141" i="4"/>
  <c r="G142" i="4"/>
  <c r="G104" i="4"/>
  <c r="G77" i="4"/>
  <c r="G143" i="4"/>
  <c r="G144" i="4"/>
  <c r="G105" i="4"/>
  <c r="G78" i="4"/>
  <c r="G106" i="4"/>
  <c r="G79" i="4"/>
  <c r="G80" i="4"/>
  <c r="G145" i="4"/>
  <c r="G81" i="4"/>
  <c r="G82" i="4"/>
  <c r="G125" i="4"/>
  <c r="G83" i="4"/>
  <c r="G84" i="4"/>
  <c r="G85" i="4"/>
  <c r="G86" i="4"/>
  <c r="G146" i="4"/>
  <c r="G107" i="4"/>
  <c r="G108" i="4"/>
  <c r="G109" i="4"/>
  <c r="G87" i="4"/>
  <c r="G147" i="4"/>
  <c r="G68" i="4"/>
  <c r="G148" i="4"/>
  <c r="G149" i="4"/>
  <c r="G126" i="4"/>
  <c r="G150" i="4"/>
  <c r="G151" i="4"/>
  <c r="G152" i="4"/>
  <c r="G88" i="4"/>
  <c r="G127" i="4"/>
  <c r="G128" i="4"/>
  <c r="G110" i="4"/>
  <c r="G117" i="4"/>
  <c r="G129" i="4"/>
  <c r="G130" i="4"/>
  <c r="G131" i="4"/>
  <c r="G132" i="4"/>
  <c r="G89" i="4"/>
  <c r="G90" i="4"/>
  <c r="G118" i="4"/>
  <c r="G133" i="4"/>
  <c r="G119" i="4"/>
  <c r="G111" i="4"/>
  <c r="G153" i="4"/>
  <c r="G91" i="4"/>
  <c r="G92" i="4"/>
  <c r="G112" i="4"/>
  <c r="G134" i="4"/>
  <c r="G113" i="4"/>
  <c r="G93" i="4"/>
  <c r="G94" i="4"/>
  <c r="G114" i="4"/>
  <c r="G135" i="4"/>
  <c r="G95" i="4"/>
  <c r="G96" i="4"/>
  <c r="G120" i="4"/>
  <c r="G136" i="4"/>
  <c r="G121" i="4"/>
  <c r="G122" i="4"/>
  <c r="G154" i="4"/>
  <c r="G123" i="4"/>
  <c r="G137" i="4"/>
  <c r="G69" i="4"/>
  <c r="G138" i="4"/>
  <c r="G97" i="4"/>
  <c r="G98" i="4"/>
  <c r="G99" i="4"/>
  <c r="G100" i="4"/>
  <c r="G101" i="4"/>
  <c r="G102" i="4"/>
  <c r="G139" i="4"/>
  <c r="G115" i="4"/>
  <c r="G70" i="4"/>
  <c r="G71" i="4"/>
  <c r="G72" i="4"/>
  <c r="G140" i="4"/>
  <c r="G73" i="4"/>
  <c r="G74" i="4"/>
  <c r="G116" i="4"/>
  <c r="G124" i="4"/>
  <c r="G75" i="4"/>
  <c r="G103" i="4"/>
  <c r="G76" i="4"/>
  <c r="G207" i="4"/>
  <c r="G233" i="4"/>
  <c r="G220" i="4"/>
  <c r="G171" i="4"/>
  <c r="G208" i="4"/>
  <c r="G221" i="4"/>
  <c r="G194" i="4"/>
  <c r="G234" i="4"/>
  <c r="G172" i="4"/>
  <c r="G173" i="4"/>
  <c r="G174" i="4"/>
  <c r="G155" i="4"/>
  <c r="G175" i="4"/>
  <c r="G235" i="4"/>
  <c r="G156" i="4"/>
  <c r="G236" i="4"/>
  <c r="G195" i="4"/>
  <c r="G196" i="4"/>
  <c r="G176" i="4"/>
  <c r="G197" i="4"/>
  <c r="G177" i="4"/>
  <c r="G237" i="4"/>
  <c r="G157" i="4"/>
  <c r="G238" i="4"/>
  <c r="G178" i="4"/>
  <c r="G179" i="4"/>
  <c r="G239" i="4"/>
  <c r="G198" i="4"/>
  <c r="G158" i="4"/>
  <c r="G180" i="4"/>
  <c r="G222" i="4"/>
  <c r="G223" i="4"/>
  <c r="G199" i="4"/>
  <c r="G224" i="4"/>
  <c r="G209" i="4"/>
  <c r="G159" i="4"/>
  <c r="G181" i="4"/>
  <c r="G240" i="4"/>
  <c r="G210" i="4"/>
  <c r="G241" i="4"/>
  <c r="G200" i="4"/>
  <c r="G242" i="4"/>
  <c r="G201" i="4"/>
  <c r="G202" i="4"/>
  <c r="G160" i="4"/>
  <c r="G211" i="4"/>
  <c r="G212" i="4"/>
  <c r="G213" i="4"/>
  <c r="G225" i="4"/>
  <c r="G214" i="4"/>
  <c r="G215" i="4"/>
  <c r="G216" i="4"/>
  <c r="G226" i="4"/>
  <c r="G217" i="4"/>
  <c r="G227" i="4"/>
  <c r="G228" i="4"/>
  <c r="G229" i="4"/>
  <c r="G218" i="4"/>
  <c r="G182" i="4"/>
  <c r="G203" i="4"/>
  <c r="G204" i="4"/>
  <c r="G219" i="4"/>
  <c r="G161" i="4"/>
  <c r="G205" i="4"/>
  <c r="G230" i="4"/>
  <c r="G183" i="4"/>
  <c r="G206" i="4"/>
  <c r="G184" i="4"/>
  <c r="G162" i="4"/>
  <c r="G243" i="4"/>
  <c r="G163" i="4"/>
  <c r="G185" i="4"/>
  <c r="G186" i="4"/>
  <c r="G231" i="4"/>
  <c r="G164" i="4"/>
  <c r="G187" i="4"/>
  <c r="G232" i="4"/>
  <c r="G188" i="4"/>
  <c r="G165" i="4"/>
  <c r="G189" i="4"/>
  <c r="G166" i="4"/>
  <c r="G190" i="4"/>
  <c r="G191" i="4"/>
  <c r="G167" i="4"/>
  <c r="G168" i="4"/>
  <c r="G244" i="4"/>
  <c r="G169" i="4"/>
  <c r="G192" i="4"/>
  <c r="G170" i="4"/>
  <c r="G193" i="4"/>
  <c r="G319" i="4"/>
  <c r="G280" i="4"/>
  <c r="G261" i="4"/>
  <c r="G303" i="4"/>
  <c r="G245" i="4"/>
  <c r="G262" i="4"/>
  <c r="G263" i="4"/>
  <c r="G304" i="4"/>
  <c r="G264" i="4"/>
  <c r="G265" i="4"/>
  <c r="G320" i="4"/>
  <c r="G321" i="4"/>
  <c r="G246" i="4"/>
  <c r="G266" i="4"/>
  <c r="G281" i="4"/>
  <c r="G305" i="4"/>
  <c r="G267" i="4"/>
  <c r="G282" i="4"/>
  <c r="G283" i="4"/>
  <c r="G306" i="4"/>
  <c r="G322" i="4"/>
  <c r="G307" i="4"/>
  <c r="G293" i="4"/>
  <c r="G268" i="4"/>
  <c r="G294" i="4"/>
  <c r="G295" i="4"/>
  <c r="G284" i="4"/>
  <c r="G308" i="4"/>
  <c r="G285" i="4"/>
  <c r="G269" i="4"/>
  <c r="G309" i="4"/>
  <c r="G310" i="4"/>
  <c r="G311" i="4"/>
  <c r="G247" i="4"/>
  <c r="G248" i="4"/>
  <c r="G286" i="4"/>
  <c r="G287" i="4"/>
  <c r="G312" i="4"/>
  <c r="G296" i="4"/>
  <c r="G288" i="4"/>
  <c r="G270" i="4"/>
  <c r="G323" i="4"/>
  <c r="G313" i="4"/>
  <c r="G271" i="4"/>
  <c r="G297" i="4"/>
  <c r="G272" i="4"/>
  <c r="G298" i="4"/>
  <c r="G249" i="4"/>
  <c r="G314" i="4"/>
  <c r="G324" i="4"/>
  <c r="G289" i="4"/>
  <c r="G273" i="4"/>
  <c r="G299" i="4"/>
  <c r="G250" i="4"/>
  <c r="G300" i="4"/>
  <c r="G251" i="4"/>
  <c r="G252" i="4"/>
  <c r="G274" i="4"/>
  <c r="G275" i="4"/>
  <c r="G315" i="4"/>
  <c r="G290" i="4"/>
  <c r="G316" i="4"/>
  <c r="G253" i="4"/>
  <c r="G325" i="4"/>
  <c r="G254" i="4"/>
  <c r="G255" i="4"/>
  <c r="G276" i="4"/>
  <c r="G291" i="4"/>
  <c r="G301" i="4"/>
  <c r="G317" i="4"/>
  <c r="G302" i="4"/>
  <c r="G277" i="4"/>
  <c r="G256" i="4"/>
  <c r="G257" i="4"/>
  <c r="G318" i="4"/>
  <c r="G326" i="4"/>
  <c r="G258" i="4"/>
  <c r="G278" i="4"/>
  <c r="G279" i="4"/>
  <c r="G259" i="4"/>
  <c r="G292" i="4"/>
  <c r="G260" i="4"/>
  <c r="G350" i="4"/>
  <c r="G351" i="4"/>
  <c r="G379" i="4"/>
  <c r="G352" i="4"/>
  <c r="G380" i="4"/>
  <c r="G353" i="4"/>
  <c r="G354" i="4"/>
  <c r="G367" i="4"/>
  <c r="G396" i="4"/>
  <c r="G355" i="4"/>
  <c r="G327" i="4"/>
  <c r="G397" i="4"/>
  <c r="G356" i="4"/>
  <c r="G368" i="4"/>
  <c r="G328" i="4"/>
  <c r="G357" i="4"/>
  <c r="G358" i="4"/>
  <c r="G329" i="4"/>
  <c r="G398" i="4"/>
  <c r="G369" i="4"/>
  <c r="G370" i="4"/>
  <c r="G330" i="4"/>
  <c r="G331" i="4"/>
  <c r="G332" i="4"/>
  <c r="G381" i="4"/>
  <c r="G375" i="4"/>
  <c r="G382" i="4"/>
  <c r="G383" i="4"/>
  <c r="G384" i="4"/>
  <c r="G385" i="4"/>
  <c r="G386" i="4"/>
  <c r="G399" i="4"/>
  <c r="G387" i="4"/>
  <c r="G371" i="4"/>
  <c r="G388" i="4"/>
  <c r="G389" i="4"/>
  <c r="G359" i="4"/>
  <c r="G376" i="4"/>
  <c r="G390" i="4"/>
  <c r="G391" i="4"/>
  <c r="G360" i="4"/>
  <c r="G372" i="4"/>
  <c r="G392" i="4"/>
  <c r="G377" i="4"/>
  <c r="G373" i="4"/>
  <c r="G333" i="4"/>
  <c r="G393" i="4"/>
  <c r="G334" i="4"/>
  <c r="G335" i="4"/>
  <c r="G336" i="4"/>
  <c r="G361" i="4"/>
  <c r="G374" i="4"/>
  <c r="G337" i="4"/>
  <c r="G362" i="4"/>
  <c r="G338" i="4"/>
  <c r="G339" i="4"/>
  <c r="G363" i="4"/>
  <c r="G394" i="4"/>
  <c r="G340" i="4"/>
  <c r="G400" i="4"/>
  <c r="G341" i="4"/>
  <c r="G364" i="4"/>
  <c r="G342" i="4"/>
  <c r="G343" i="4"/>
  <c r="G378" i="4"/>
  <c r="G344" i="4"/>
  <c r="G365" i="4"/>
  <c r="G395" i="4"/>
  <c r="G366" i="4"/>
  <c r="G345" i="4"/>
  <c r="G346" i="4"/>
  <c r="G347" i="4"/>
  <c r="G348" i="4"/>
  <c r="G349" i="4"/>
  <c r="G401" i="4"/>
  <c r="C36" i="4"/>
  <c r="C2" i="4"/>
  <c r="C46" i="4"/>
  <c r="C3" i="4"/>
  <c r="C13" i="4"/>
  <c r="C4" i="4"/>
  <c r="C5" i="4"/>
  <c r="C63" i="4"/>
  <c r="C14" i="4"/>
  <c r="C15" i="4"/>
  <c r="C6" i="4"/>
  <c r="C16" i="4"/>
  <c r="C47" i="4"/>
  <c r="C64" i="4"/>
  <c r="C17" i="4"/>
  <c r="C65" i="4"/>
  <c r="C66" i="4"/>
  <c r="C18" i="4"/>
  <c r="C19" i="4"/>
  <c r="C48" i="4"/>
  <c r="C7" i="4"/>
  <c r="C20" i="4"/>
  <c r="C21" i="4"/>
  <c r="C37" i="4"/>
  <c r="C22" i="4"/>
  <c r="C23" i="4"/>
  <c r="C24" i="4"/>
  <c r="C49" i="4"/>
  <c r="C50" i="4"/>
  <c r="C51" i="4"/>
  <c r="C52" i="4"/>
  <c r="C25" i="4"/>
  <c r="C40" i="4"/>
  <c r="C53" i="4"/>
  <c r="C38" i="4"/>
  <c r="C41" i="4"/>
  <c r="C42" i="4"/>
  <c r="C54" i="4"/>
  <c r="C67" i="4"/>
  <c r="C26" i="4"/>
  <c r="C39" i="4"/>
  <c r="C8" i="4"/>
  <c r="C55" i="4"/>
  <c r="C56" i="4"/>
  <c r="C57" i="4"/>
  <c r="C43" i="4"/>
  <c r="C58" i="4"/>
  <c r="C27" i="4"/>
  <c r="C59" i="4"/>
  <c r="C28" i="4"/>
  <c r="C44" i="4"/>
  <c r="C29" i="4"/>
  <c r="C60" i="4"/>
  <c r="C9" i="4"/>
  <c r="C10" i="4"/>
  <c r="C11" i="4"/>
  <c r="C30" i="4"/>
  <c r="C31" i="4"/>
  <c r="C61" i="4"/>
  <c r="C62" i="4"/>
  <c r="C45" i="4"/>
  <c r="C32" i="4"/>
  <c r="C33" i="4"/>
  <c r="C34" i="4"/>
  <c r="C35" i="4"/>
  <c r="C12" i="4"/>
  <c r="C141" i="4"/>
  <c r="C142" i="4"/>
  <c r="C104" i="4"/>
  <c r="C77" i="4"/>
  <c r="C143" i="4"/>
  <c r="C144" i="4"/>
  <c r="C105" i="4"/>
  <c r="C78" i="4"/>
  <c r="C106" i="4"/>
  <c r="C79" i="4"/>
  <c r="C80" i="4"/>
  <c r="C145" i="4"/>
  <c r="C81" i="4"/>
  <c r="C82" i="4"/>
  <c r="C125" i="4"/>
  <c r="C83" i="4"/>
  <c r="C84" i="4"/>
  <c r="C85" i="4"/>
  <c r="C86" i="4"/>
  <c r="C146" i="4"/>
  <c r="C107" i="4"/>
  <c r="C108" i="4"/>
  <c r="C109" i="4"/>
  <c r="C87" i="4"/>
  <c r="C147" i="4"/>
  <c r="C68" i="4"/>
  <c r="C148" i="4"/>
  <c r="C149" i="4"/>
  <c r="C126" i="4"/>
  <c r="C150" i="4"/>
  <c r="C151" i="4"/>
  <c r="C152" i="4"/>
  <c r="C88" i="4"/>
  <c r="C127" i="4"/>
  <c r="C128" i="4"/>
  <c r="C110" i="4"/>
  <c r="C117" i="4"/>
  <c r="C129" i="4"/>
  <c r="C130" i="4"/>
  <c r="C131" i="4"/>
  <c r="C132" i="4"/>
  <c r="C89" i="4"/>
  <c r="C90" i="4"/>
  <c r="C118" i="4"/>
  <c r="C133" i="4"/>
  <c r="C119" i="4"/>
  <c r="C111" i="4"/>
  <c r="C153" i="4"/>
  <c r="C91" i="4"/>
  <c r="C92" i="4"/>
  <c r="C112" i="4"/>
  <c r="C134" i="4"/>
  <c r="C113" i="4"/>
  <c r="C93" i="4"/>
  <c r="C94" i="4"/>
  <c r="C114" i="4"/>
  <c r="C135" i="4"/>
  <c r="C95" i="4"/>
  <c r="C96" i="4"/>
  <c r="C120" i="4"/>
  <c r="C136" i="4"/>
  <c r="C121" i="4"/>
  <c r="C122" i="4"/>
  <c r="C154" i="4"/>
  <c r="C123" i="4"/>
  <c r="C137" i="4"/>
  <c r="C69" i="4"/>
  <c r="C138" i="4"/>
  <c r="C97" i="4"/>
  <c r="C98" i="4"/>
  <c r="C99" i="4"/>
  <c r="C100" i="4"/>
  <c r="C101" i="4"/>
  <c r="C102" i="4"/>
  <c r="C139" i="4"/>
  <c r="C115" i="4"/>
  <c r="C70" i="4"/>
  <c r="C71" i="4"/>
  <c r="C72" i="4"/>
  <c r="C140" i="4"/>
  <c r="C73" i="4"/>
  <c r="C74" i="4"/>
  <c r="C116" i="4"/>
  <c r="C124" i="4"/>
  <c r="C75" i="4"/>
  <c r="C103" i="4"/>
  <c r="C76" i="4"/>
  <c r="C207" i="4"/>
  <c r="C233" i="4"/>
  <c r="C220" i="4"/>
  <c r="C171" i="4"/>
  <c r="C208" i="4"/>
  <c r="C221" i="4"/>
  <c r="C194" i="4"/>
  <c r="C234" i="4"/>
  <c r="C172" i="4"/>
  <c r="C173" i="4"/>
  <c r="C174" i="4"/>
  <c r="C155" i="4"/>
  <c r="C175" i="4"/>
  <c r="C235" i="4"/>
  <c r="C156" i="4"/>
  <c r="C236" i="4"/>
  <c r="C195" i="4"/>
  <c r="C196" i="4"/>
  <c r="C176" i="4"/>
  <c r="C197" i="4"/>
  <c r="C177" i="4"/>
  <c r="C237" i="4"/>
  <c r="C157" i="4"/>
  <c r="C238" i="4"/>
  <c r="C178" i="4"/>
  <c r="C179" i="4"/>
  <c r="C239" i="4"/>
  <c r="C198" i="4"/>
  <c r="C158" i="4"/>
  <c r="C180" i="4"/>
  <c r="C222" i="4"/>
  <c r="C223" i="4"/>
  <c r="C199" i="4"/>
  <c r="C224" i="4"/>
  <c r="C209" i="4"/>
  <c r="C159" i="4"/>
  <c r="C181" i="4"/>
  <c r="C240" i="4"/>
  <c r="C210" i="4"/>
  <c r="C241" i="4"/>
  <c r="C200" i="4"/>
  <c r="C242" i="4"/>
  <c r="C201" i="4"/>
  <c r="C202" i="4"/>
  <c r="C160" i="4"/>
  <c r="C211" i="4"/>
  <c r="C212" i="4"/>
  <c r="C213" i="4"/>
  <c r="C225" i="4"/>
  <c r="C214" i="4"/>
  <c r="C215" i="4"/>
  <c r="C216" i="4"/>
  <c r="C226" i="4"/>
  <c r="C217" i="4"/>
  <c r="C227" i="4"/>
  <c r="C228" i="4"/>
  <c r="C229" i="4"/>
  <c r="C218" i="4"/>
  <c r="C182" i="4"/>
  <c r="C203" i="4"/>
  <c r="C204" i="4"/>
  <c r="C219" i="4"/>
  <c r="C161" i="4"/>
  <c r="C205" i="4"/>
  <c r="C230" i="4"/>
  <c r="C183" i="4"/>
  <c r="C206" i="4"/>
  <c r="C184" i="4"/>
  <c r="C162" i="4"/>
  <c r="C243" i="4"/>
  <c r="C163" i="4"/>
  <c r="C185" i="4"/>
  <c r="C186" i="4"/>
  <c r="C231" i="4"/>
  <c r="C164" i="4"/>
  <c r="C187" i="4"/>
  <c r="C232" i="4"/>
  <c r="C188" i="4"/>
  <c r="C165" i="4"/>
  <c r="C189" i="4"/>
  <c r="C166" i="4"/>
  <c r="C190" i="4"/>
  <c r="C191" i="4"/>
  <c r="C167" i="4"/>
  <c r="C168" i="4"/>
  <c r="C244" i="4"/>
  <c r="C169" i="4"/>
  <c r="C192" i="4"/>
  <c r="C170" i="4"/>
  <c r="C193" i="4"/>
  <c r="C319" i="4"/>
  <c r="C280" i="4"/>
  <c r="C261" i="4"/>
  <c r="C303" i="4"/>
  <c r="C245" i="4"/>
  <c r="C262" i="4"/>
  <c r="C263" i="4"/>
  <c r="C304" i="4"/>
  <c r="C264" i="4"/>
  <c r="C265" i="4"/>
  <c r="C320" i="4"/>
  <c r="C321" i="4"/>
  <c r="C246" i="4"/>
  <c r="C266" i="4"/>
  <c r="C281" i="4"/>
  <c r="C305" i="4"/>
  <c r="C267" i="4"/>
  <c r="C282" i="4"/>
  <c r="C283" i="4"/>
  <c r="C306" i="4"/>
  <c r="C322" i="4"/>
  <c r="C307" i="4"/>
  <c r="C293" i="4"/>
  <c r="C268" i="4"/>
  <c r="C294" i="4"/>
  <c r="C295" i="4"/>
  <c r="C284" i="4"/>
  <c r="C308" i="4"/>
  <c r="C285" i="4"/>
  <c r="C269" i="4"/>
  <c r="C309" i="4"/>
  <c r="C310" i="4"/>
  <c r="C311" i="4"/>
  <c r="C247" i="4"/>
  <c r="C248" i="4"/>
  <c r="C286" i="4"/>
  <c r="C287" i="4"/>
  <c r="C312" i="4"/>
  <c r="C296" i="4"/>
  <c r="C288" i="4"/>
  <c r="C270" i="4"/>
  <c r="C323" i="4"/>
  <c r="C313" i="4"/>
  <c r="C271" i="4"/>
  <c r="C297" i="4"/>
  <c r="C272" i="4"/>
  <c r="C298" i="4"/>
  <c r="C249" i="4"/>
  <c r="C314" i="4"/>
  <c r="C324" i="4"/>
  <c r="C289" i="4"/>
  <c r="C273" i="4"/>
  <c r="C299" i="4"/>
  <c r="C250" i="4"/>
  <c r="C300" i="4"/>
  <c r="C251" i="4"/>
  <c r="C252" i="4"/>
  <c r="C274" i="4"/>
  <c r="C275" i="4"/>
  <c r="C315" i="4"/>
  <c r="C290" i="4"/>
  <c r="C316" i="4"/>
  <c r="C253" i="4"/>
  <c r="C325" i="4"/>
  <c r="C254" i="4"/>
  <c r="C255" i="4"/>
  <c r="C276" i="4"/>
  <c r="C291" i="4"/>
  <c r="C301" i="4"/>
  <c r="C317" i="4"/>
  <c r="C302" i="4"/>
  <c r="C277" i="4"/>
  <c r="C256" i="4"/>
  <c r="C257" i="4"/>
  <c r="C318" i="4"/>
  <c r="C326" i="4"/>
  <c r="C258" i="4"/>
  <c r="C278" i="4"/>
  <c r="C279" i="4"/>
  <c r="C259" i="4"/>
  <c r="C292" i="4"/>
  <c r="C260" i="4"/>
  <c r="C350" i="4"/>
  <c r="C351" i="4"/>
  <c r="C379" i="4"/>
  <c r="C352" i="4"/>
  <c r="C380" i="4"/>
  <c r="C353" i="4"/>
  <c r="C354" i="4"/>
  <c r="C367" i="4"/>
  <c r="C396" i="4"/>
  <c r="C355" i="4"/>
  <c r="C327" i="4"/>
  <c r="C397" i="4"/>
  <c r="C356" i="4"/>
  <c r="C368" i="4"/>
  <c r="C328" i="4"/>
  <c r="C357" i="4"/>
  <c r="C358" i="4"/>
  <c r="C329" i="4"/>
  <c r="C398" i="4"/>
  <c r="C369" i="4"/>
  <c r="C370" i="4"/>
  <c r="C330" i="4"/>
  <c r="C331" i="4"/>
  <c r="C332" i="4"/>
  <c r="C381" i="4"/>
  <c r="C375" i="4"/>
  <c r="C382" i="4"/>
  <c r="C383" i="4"/>
  <c r="C384" i="4"/>
  <c r="C385" i="4"/>
  <c r="C386" i="4"/>
  <c r="C399" i="4"/>
  <c r="C387" i="4"/>
  <c r="C371" i="4"/>
  <c r="C388" i="4"/>
  <c r="C389" i="4"/>
  <c r="C359" i="4"/>
  <c r="C376" i="4"/>
  <c r="C390" i="4"/>
  <c r="C391" i="4"/>
  <c r="C360" i="4"/>
  <c r="C372" i="4"/>
  <c r="C392" i="4"/>
  <c r="C377" i="4"/>
  <c r="C373" i="4"/>
  <c r="C333" i="4"/>
  <c r="C393" i="4"/>
  <c r="C334" i="4"/>
  <c r="C335" i="4"/>
  <c r="C336" i="4"/>
  <c r="C361" i="4"/>
  <c r="C374" i="4"/>
  <c r="C337" i="4"/>
  <c r="C362" i="4"/>
  <c r="C338" i="4"/>
  <c r="C339" i="4"/>
  <c r="C363" i="4"/>
  <c r="C394" i="4"/>
  <c r="C340" i="4"/>
  <c r="C400" i="4"/>
  <c r="C341" i="4"/>
  <c r="C364" i="4"/>
  <c r="C342" i="4"/>
  <c r="C343" i="4"/>
  <c r="C378" i="4"/>
  <c r="C344" i="4"/>
  <c r="C365" i="4"/>
  <c r="C395" i="4"/>
  <c r="C366" i="4"/>
  <c r="C345" i="4"/>
  <c r="C346" i="4"/>
  <c r="C347" i="4"/>
  <c r="C348" i="4"/>
  <c r="C349" i="4"/>
  <c r="C401" i="4"/>
  <c r="A2" i="4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 s="1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 s="1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 s="1"/>
  <c r="F210" i="3" a="1"/>
  <c r="F210" i="3" s="1"/>
  <c r="F211" i="3" a="1"/>
  <c r="F211" i="3" s="1"/>
  <c r="F212" i="3" a="1"/>
  <c r="F212" i="3" s="1"/>
  <c r="F213" i="3" a="1"/>
  <c r="F213" i="3" s="1"/>
  <c r="F214" i="3" a="1"/>
  <c r="F214" i="3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 s="1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 s="1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 s="1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 s="1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 s="1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 s="1"/>
  <c r="F348" i="3" a="1"/>
  <c r="F348" i="3" s="1"/>
  <c r="F349" i="3" a="1"/>
  <c r="F349" i="3" s="1"/>
  <c r="F350" i="3" a="1"/>
  <c r="F350" i="3" s="1"/>
  <c r="F351" i="3" a="1"/>
  <c r="F351" i="3" s="1"/>
  <c r="F352" i="3" a="1"/>
  <c r="F352" i="3" s="1"/>
  <c r="F353" i="3" a="1"/>
  <c r="F353" i="3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 s="1"/>
  <c r="F363" i="3" a="1"/>
  <c r="F363" i="3" s="1"/>
  <c r="F364" i="3" a="1"/>
  <c r="F364" i="3" s="1"/>
  <c r="F365" i="3" a="1"/>
  <c r="F365" i="3" s="1"/>
  <c r="F366" i="3" a="1"/>
  <c r="F366" i="3" s="1"/>
  <c r="F367" i="3" a="1"/>
  <c r="F367" i="3" s="1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 s="1"/>
  <c r="F377" i="3" a="1"/>
  <c r="F377" i="3" s="1"/>
  <c r="F378" i="3" a="1"/>
  <c r="F378" i="3" s="1"/>
  <c r="F379" i="3" a="1"/>
  <c r="F379" i="3" s="1"/>
  <c r="F380" i="3" a="1"/>
  <c r="F380" i="3" s="1"/>
  <c r="F381" i="3" a="1"/>
  <c r="F381" i="3" s="1"/>
  <c r="F382" i="3" a="1"/>
  <c r="F382" i="3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 s="1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2" i="3" a="1"/>
  <c r="F2" i="3" s="1"/>
  <c r="E2" i="3" a="1"/>
  <c r="E2" i="3" s="1"/>
  <c r="E3" i="3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45" i="3" a="1"/>
  <c r="E45" i="3" s="1"/>
  <c r="E46" i="3" a="1"/>
  <c r="E46" i="3" s="1"/>
  <c r="E47" i="3" a="1"/>
  <c r="E47" i="3" s="1"/>
  <c r="E48" i="3" a="1"/>
  <c r="E48" i="3" s="1"/>
  <c r="E49" i="3" a="1"/>
  <c r="E49" i="3" s="1"/>
  <c r="E50" i="3" a="1"/>
  <c r="E50" i="3" s="1"/>
  <c r="E51" i="3" a="1"/>
  <c r="E51" i="3" s="1"/>
  <c r="E52" i="3" a="1"/>
  <c r="E52" i="3" s="1"/>
  <c r="E53" i="3" a="1"/>
  <c r="E53" i="3" s="1"/>
  <c r="E54" i="3" a="1"/>
  <c r="E54" i="3" s="1"/>
  <c r="E55" i="3" a="1"/>
  <c r="E55" i="3" s="1"/>
  <c r="E56" i="3" a="1"/>
  <c r="E56" i="3" s="1"/>
  <c r="E57" i="3" a="1"/>
  <c r="E57" i="3" s="1"/>
  <c r="E58" i="3" a="1"/>
  <c r="E58" i="3" s="1"/>
  <c r="E59" i="3" a="1"/>
  <c r="E59" i="3" s="1"/>
  <c r="E60" i="3" a="1"/>
  <c r="E60" i="3" s="1"/>
  <c r="E61" i="3" a="1"/>
  <c r="E61" i="3" s="1"/>
  <c r="E62" i="3" a="1"/>
  <c r="E62" i="3" s="1"/>
  <c r="E63" i="3" a="1"/>
  <c r="E63" i="3" s="1"/>
  <c r="E64" i="3" a="1"/>
  <c r="E64" i="3" s="1"/>
  <c r="E65" i="3" a="1"/>
  <c r="E65" i="3" s="1"/>
  <c r="E66" i="3" a="1"/>
  <c r="E66" i="3" s="1"/>
  <c r="E67" i="3" a="1"/>
  <c r="E67" i="3" s="1"/>
  <c r="E68" i="3" a="1"/>
  <c r="E68" i="3" s="1"/>
  <c r="E69" i="3" a="1"/>
  <c r="E69" i="3" s="1"/>
  <c r="E70" i="3" a="1"/>
  <c r="E70" i="3" s="1"/>
  <c r="E71" i="3" a="1"/>
  <c r="E71" i="3" s="1"/>
  <c r="E72" i="3" a="1"/>
  <c r="E72" i="3" s="1"/>
  <c r="E73" i="3" a="1"/>
  <c r="E73" i="3" s="1"/>
  <c r="E74" i="3" a="1"/>
  <c r="E74" i="3" s="1"/>
  <c r="E75" i="3" a="1"/>
  <c r="E75" i="3" s="1"/>
  <c r="E76" i="3" a="1"/>
  <c r="E76" i="3" s="1"/>
  <c r="E77" i="3" a="1"/>
  <c r="E77" i="3" s="1"/>
  <c r="E78" i="3" a="1"/>
  <c r="E78" i="3" s="1"/>
  <c r="E79" i="3" a="1"/>
  <c r="E79" i="3" s="1"/>
  <c r="E80" i="3" a="1"/>
  <c r="E80" i="3" s="1"/>
  <c r="E81" i="3" a="1"/>
  <c r="E81" i="3" s="1"/>
  <c r="E82" i="3" a="1"/>
  <c r="E82" i="3" s="1"/>
  <c r="E83" i="3" a="1"/>
  <c r="E83" i="3" s="1"/>
  <c r="E84" i="3" a="1"/>
  <c r="E84" i="3" s="1"/>
  <c r="E85" i="3" a="1"/>
  <c r="E85" i="3" s="1"/>
  <c r="E86" i="3" a="1"/>
  <c r="E86" i="3" s="1"/>
  <c r="E87" i="3" a="1"/>
  <c r="E87" i="3" s="1"/>
  <c r="E88" i="3" a="1"/>
  <c r="E88" i="3" s="1"/>
  <c r="E89" i="3" a="1"/>
  <c r="E89" i="3" s="1"/>
  <c r="E90" i="3" a="1"/>
  <c r="E90" i="3" s="1"/>
  <c r="E91" i="3" a="1"/>
  <c r="E91" i="3" s="1"/>
  <c r="E92" i="3" a="1"/>
  <c r="E92" i="3" s="1"/>
  <c r="E93" i="3" a="1"/>
  <c r="E93" i="3" s="1"/>
  <c r="E94" i="3" a="1"/>
  <c r="E94" i="3" s="1"/>
  <c r="E95" i="3" a="1"/>
  <c r="E95" i="3" s="1"/>
  <c r="E96" i="3" a="1"/>
  <c r="E96" i="3" s="1"/>
  <c r="E97" i="3" a="1"/>
  <c r="E97" i="3" s="1"/>
  <c r="E98" i="3" a="1"/>
  <c r="E98" i="3" s="1"/>
  <c r="E99" i="3" a="1"/>
  <c r="E99" i="3" s="1"/>
  <c r="E100" i="3" a="1"/>
  <c r="E100" i="3" s="1"/>
  <c r="E101" i="3" a="1"/>
  <c r="E101" i="3" s="1"/>
  <c r="E102" i="3" a="1"/>
  <c r="E102" i="3" s="1"/>
  <c r="E103" i="3" a="1"/>
  <c r="E103" i="3" s="1"/>
  <c r="E104" i="3" a="1"/>
  <c r="E104" i="3" s="1"/>
  <c r="E105" i="3" a="1"/>
  <c r="E105" i="3" s="1"/>
  <c r="E106" i="3" a="1"/>
  <c r="E106" i="3" s="1"/>
  <c r="E107" i="3" a="1"/>
  <c r="E107" i="3" s="1"/>
  <c r="E108" i="3" a="1"/>
  <c r="E108" i="3" s="1"/>
  <c r="E109" i="3" a="1"/>
  <c r="E109" i="3" s="1"/>
  <c r="E110" i="3" a="1"/>
  <c r="E110" i="3" s="1"/>
  <c r="E111" i="3" a="1"/>
  <c r="E111" i="3" s="1"/>
  <c r="E112" i="3" a="1"/>
  <c r="E112" i="3" s="1"/>
  <c r="E113" i="3" a="1"/>
  <c r="E113" i="3" s="1"/>
  <c r="E114" i="3" a="1"/>
  <c r="E114" i="3" s="1"/>
  <c r="E115" i="3" a="1"/>
  <c r="E115" i="3" s="1"/>
  <c r="E116" i="3" a="1"/>
  <c r="E116" i="3" s="1"/>
  <c r="E117" i="3" a="1"/>
  <c r="E117" i="3" s="1"/>
  <c r="E118" i="3" a="1"/>
  <c r="E118" i="3" s="1"/>
  <c r="E119" i="3" a="1"/>
  <c r="E119" i="3" s="1"/>
  <c r="E120" i="3" a="1"/>
  <c r="E120" i="3" s="1"/>
  <c r="E121" i="3" a="1"/>
  <c r="E121" i="3" s="1"/>
  <c r="E122" i="3" a="1"/>
  <c r="E122" i="3" s="1"/>
  <c r="E123" i="3" a="1"/>
  <c r="E123" i="3" s="1"/>
  <c r="E124" i="3" a="1"/>
  <c r="E124" i="3" s="1"/>
  <c r="E125" i="3" a="1"/>
  <c r="E125" i="3" s="1"/>
  <c r="E126" i="3" a="1"/>
  <c r="E126" i="3" s="1"/>
  <c r="E127" i="3" a="1"/>
  <c r="E127" i="3" s="1"/>
  <c r="E128" i="3" a="1"/>
  <c r="E128" i="3" s="1"/>
  <c r="E129" i="3" a="1"/>
  <c r="E129" i="3" s="1"/>
  <c r="E130" i="3" a="1"/>
  <c r="E130" i="3" s="1"/>
  <c r="E131" i="3" a="1"/>
  <c r="E131" i="3" s="1"/>
  <c r="E132" i="3" a="1"/>
  <c r="E132" i="3" s="1"/>
  <c r="E133" i="3" a="1"/>
  <c r="E133" i="3" s="1"/>
  <c r="E134" i="3" a="1"/>
  <c r="E134" i="3" s="1"/>
  <c r="E135" i="3" a="1"/>
  <c r="E135" i="3" s="1"/>
  <c r="E136" i="3" a="1"/>
  <c r="E136" i="3" s="1"/>
  <c r="E137" i="3" a="1"/>
  <c r="E137" i="3" s="1"/>
  <c r="E138" i="3" a="1"/>
  <c r="E138" i="3" s="1"/>
  <c r="E139" i="3" a="1"/>
  <c r="E139" i="3" s="1"/>
  <c r="E140" i="3" a="1"/>
  <c r="E140" i="3" s="1"/>
  <c r="E141" i="3" a="1"/>
  <c r="E141" i="3" s="1"/>
  <c r="E142" i="3" a="1"/>
  <c r="E142" i="3" s="1"/>
  <c r="E143" i="3" a="1"/>
  <c r="E143" i="3" s="1"/>
  <c r="E144" i="3" a="1"/>
  <c r="E144" i="3" s="1"/>
  <c r="E145" i="3" a="1"/>
  <c r="E145" i="3" s="1"/>
  <c r="E146" i="3" a="1"/>
  <c r="E146" i="3" s="1"/>
  <c r="E147" i="3" a="1"/>
  <c r="E147" i="3" s="1"/>
  <c r="E148" i="3" a="1"/>
  <c r="E148" i="3" s="1"/>
  <c r="E149" i="3" a="1"/>
  <c r="E149" i="3" s="1"/>
  <c r="E150" i="3" a="1"/>
  <c r="E150" i="3" s="1"/>
  <c r="E151" i="3" a="1"/>
  <c r="E151" i="3" s="1"/>
  <c r="E152" i="3" a="1"/>
  <c r="E152" i="3" s="1"/>
  <c r="E153" i="3" a="1"/>
  <c r="E153" i="3" s="1"/>
  <c r="E154" i="3" a="1"/>
  <c r="E154" i="3" s="1"/>
  <c r="E155" i="3" a="1"/>
  <c r="E155" i="3" s="1"/>
  <c r="E156" i="3" a="1"/>
  <c r="E156" i="3" s="1"/>
  <c r="E157" i="3" a="1"/>
  <c r="E157" i="3" s="1"/>
  <c r="E158" i="3" a="1"/>
  <c r="E158" i="3" s="1"/>
  <c r="E159" i="3" a="1"/>
  <c r="E159" i="3" s="1"/>
  <c r="E160" i="3" a="1"/>
  <c r="E160" i="3" s="1"/>
  <c r="E161" i="3" a="1"/>
  <c r="E161" i="3" s="1"/>
  <c r="E162" i="3" a="1"/>
  <c r="E162" i="3" s="1"/>
  <c r="E163" i="3" a="1"/>
  <c r="E163" i="3" s="1"/>
  <c r="E164" i="3" a="1"/>
  <c r="E164" i="3" s="1"/>
  <c r="E165" i="3" a="1"/>
  <c r="E165" i="3" s="1"/>
  <c r="E166" i="3" a="1"/>
  <c r="E166" i="3" s="1"/>
  <c r="E167" i="3" a="1"/>
  <c r="E167" i="3" s="1"/>
  <c r="E168" i="3" a="1"/>
  <c r="E168" i="3" s="1"/>
  <c r="E169" i="3" a="1"/>
  <c r="E169" i="3" s="1"/>
  <c r="E170" i="3" a="1"/>
  <c r="E170" i="3" s="1"/>
  <c r="E171" i="3" a="1"/>
  <c r="E171" i="3" s="1"/>
  <c r="E172" i="3" a="1"/>
  <c r="E172" i="3" s="1"/>
  <c r="E173" i="3" a="1"/>
  <c r="E173" i="3" s="1"/>
  <c r="E174" i="3" a="1"/>
  <c r="E174" i="3" s="1"/>
  <c r="E175" i="3" a="1"/>
  <c r="E175" i="3" s="1"/>
  <c r="E176" i="3" a="1"/>
  <c r="E176" i="3" s="1"/>
  <c r="E177" i="3" a="1"/>
  <c r="E177" i="3" s="1"/>
  <c r="E178" i="3" a="1"/>
  <c r="E178" i="3" s="1"/>
  <c r="E179" i="3" a="1"/>
  <c r="E179" i="3" s="1"/>
  <c r="E180" i="3" a="1"/>
  <c r="E180" i="3" s="1"/>
  <c r="E181" i="3" a="1"/>
  <c r="E181" i="3" s="1"/>
  <c r="E182" i="3" a="1"/>
  <c r="E182" i="3" s="1"/>
  <c r="E183" i="3" a="1"/>
  <c r="E183" i="3" s="1"/>
  <c r="E184" i="3" a="1"/>
  <c r="E184" i="3" s="1"/>
  <c r="E185" i="3" a="1"/>
  <c r="E185" i="3" s="1"/>
  <c r="E186" i="3" a="1"/>
  <c r="E186" i="3" s="1"/>
  <c r="E187" i="3" a="1"/>
  <c r="E187" i="3" s="1"/>
  <c r="E188" i="3" a="1"/>
  <c r="E188" i="3" s="1"/>
  <c r="E189" i="3" a="1"/>
  <c r="E189" i="3" s="1"/>
  <c r="E190" i="3" a="1"/>
  <c r="E190" i="3" s="1"/>
  <c r="E191" i="3" a="1"/>
  <c r="E191" i="3" s="1"/>
  <c r="E192" i="3" a="1"/>
  <c r="E192" i="3" s="1"/>
  <c r="E193" i="3" a="1"/>
  <c r="E193" i="3" s="1"/>
  <c r="E194" i="3" a="1"/>
  <c r="E194" i="3" s="1"/>
  <c r="E195" i="3" a="1"/>
  <c r="E195" i="3" s="1"/>
  <c r="E196" i="3" a="1"/>
  <c r="E196" i="3" s="1"/>
  <c r="E197" i="3" a="1"/>
  <c r="E197" i="3" s="1"/>
  <c r="E198" i="3" a="1"/>
  <c r="E198" i="3" s="1"/>
  <c r="E199" i="3" a="1"/>
  <c r="E199" i="3" s="1"/>
  <c r="E200" i="3" a="1"/>
  <c r="E200" i="3" s="1"/>
  <c r="E201" i="3" a="1"/>
  <c r="E201" i="3" s="1"/>
  <c r="E202" i="3" a="1"/>
  <c r="E202" i="3" s="1"/>
  <c r="E203" i="3" a="1"/>
  <c r="E203" i="3" s="1"/>
  <c r="E204" i="3" a="1"/>
  <c r="E204" i="3" s="1"/>
  <c r="E205" i="3" a="1"/>
  <c r="E205" i="3" s="1"/>
  <c r="E206" i="3" a="1"/>
  <c r="E206" i="3" s="1"/>
  <c r="E207" i="3" a="1"/>
  <c r="E207" i="3" s="1"/>
  <c r="E208" i="3" a="1"/>
  <c r="E208" i="3" s="1"/>
  <c r="E209" i="3" a="1"/>
  <c r="E209" i="3" s="1"/>
  <c r="E210" i="3" a="1"/>
  <c r="E210" i="3" s="1"/>
  <c r="E211" i="3" a="1"/>
  <c r="E211" i="3" s="1"/>
  <c r="E212" i="3" a="1"/>
  <c r="E212" i="3" s="1"/>
  <c r="E213" i="3" a="1"/>
  <c r="E213" i="3" s="1"/>
  <c r="E214" i="3" a="1"/>
  <c r="E214" i="3" s="1"/>
  <c r="E215" i="3" a="1"/>
  <c r="E215" i="3" s="1"/>
  <c r="E216" i="3" a="1"/>
  <c r="E216" i="3" s="1"/>
  <c r="E217" i="3" a="1"/>
  <c r="E217" i="3" s="1"/>
  <c r="E218" i="3" a="1"/>
  <c r="E218" i="3" s="1"/>
  <c r="E219" i="3" a="1"/>
  <c r="E219" i="3" s="1"/>
  <c r="E220" i="3" a="1"/>
  <c r="E220" i="3" s="1"/>
  <c r="E221" i="3" a="1"/>
  <c r="E221" i="3" s="1"/>
  <c r="E222" i="3" a="1"/>
  <c r="E222" i="3" s="1"/>
  <c r="E223" i="3" a="1"/>
  <c r="E223" i="3" s="1"/>
  <c r="E224" i="3" a="1"/>
  <c r="E224" i="3" s="1"/>
  <c r="E225" i="3" a="1"/>
  <c r="E225" i="3" s="1"/>
  <c r="E226" i="3" a="1"/>
  <c r="E226" i="3" s="1"/>
  <c r="E227" i="3" a="1"/>
  <c r="E227" i="3" s="1"/>
  <c r="E228" i="3" a="1"/>
  <c r="E228" i="3" s="1"/>
  <c r="E229" i="3" a="1"/>
  <c r="E229" i="3" s="1"/>
  <c r="E230" i="3" a="1"/>
  <c r="E230" i="3" s="1"/>
  <c r="E231" i="3" a="1"/>
  <c r="E231" i="3" s="1"/>
  <c r="E232" i="3" a="1"/>
  <c r="E232" i="3" s="1"/>
  <c r="E233" i="3" a="1"/>
  <c r="E233" i="3" s="1"/>
  <c r="E234" i="3" a="1"/>
  <c r="E234" i="3" s="1"/>
  <c r="E235" i="3" a="1"/>
  <c r="E235" i="3" s="1"/>
  <c r="E236" i="3" a="1"/>
  <c r="E236" i="3" s="1"/>
  <c r="E237" i="3" a="1"/>
  <c r="E237" i="3" s="1"/>
  <c r="E238" i="3" a="1"/>
  <c r="E238" i="3" s="1"/>
  <c r="E239" i="3" a="1"/>
  <c r="E239" i="3" s="1"/>
  <c r="E240" i="3" a="1"/>
  <c r="E240" i="3" s="1"/>
  <c r="E241" i="3" a="1"/>
  <c r="E241" i="3" s="1"/>
  <c r="E242" i="3" a="1"/>
  <c r="E242" i="3" s="1"/>
  <c r="E243" i="3" a="1"/>
  <c r="E243" i="3" s="1"/>
  <c r="E244" i="3" a="1"/>
  <c r="E244" i="3" s="1"/>
  <c r="E245" i="3" a="1"/>
  <c r="E245" i="3" s="1"/>
  <c r="E246" i="3" a="1"/>
  <c r="E246" i="3" s="1"/>
  <c r="E247" i="3" a="1"/>
  <c r="E247" i="3" s="1"/>
  <c r="E248" i="3" a="1"/>
  <c r="E248" i="3" s="1"/>
  <c r="E249" i="3" a="1"/>
  <c r="E249" i="3" s="1"/>
  <c r="E250" i="3" a="1"/>
  <c r="E250" i="3" s="1"/>
  <c r="E251" i="3" a="1"/>
  <c r="E251" i="3" s="1"/>
  <c r="E252" i="3" a="1"/>
  <c r="E252" i="3" s="1"/>
  <c r="E253" i="3" a="1"/>
  <c r="E253" i="3" s="1"/>
  <c r="E254" i="3" a="1"/>
  <c r="E254" i="3" s="1"/>
  <c r="E255" i="3" a="1"/>
  <c r="E255" i="3" s="1"/>
  <c r="E256" i="3" a="1"/>
  <c r="E256" i="3" s="1"/>
  <c r="E257" i="3" a="1"/>
  <c r="E257" i="3" s="1"/>
  <c r="E258" i="3" a="1"/>
  <c r="E258" i="3" s="1"/>
  <c r="E259" i="3" a="1"/>
  <c r="E259" i="3" s="1"/>
  <c r="E260" i="3" a="1"/>
  <c r="E260" i="3" s="1"/>
  <c r="E261" i="3" a="1"/>
  <c r="E261" i="3" s="1"/>
  <c r="E262" i="3" a="1"/>
  <c r="E262" i="3" s="1"/>
  <c r="E263" i="3" a="1"/>
  <c r="E263" i="3" s="1"/>
  <c r="E264" i="3" a="1"/>
  <c r="E264" i="3" s="1"/>
  <c r="E265" i="3" a="1"/>
  <c r="E265" i="3" s="1"/>
  <c r="E266" i="3" a="1"/>
  <c r="E266" i="3" s="1"/>
  <c r="E267" i="3" a="1"/>
  <c r="E267" i="3" s="1"/>
  <c r="E268" i="3" a="1"/>
  <c r="E268" i="3" s="1"/>
  <c r="E269" i="3" a="1"/>
  <c r="E269" i="3" s="1"/>
  <c r="E270" i="3" a="1"/>
  <c r="E270" i="3" s="1"/>
  <c r="E271" i="3" a="1"/>
  <c r="E271" i="3" s="1"/>
  <c r="E272" i="3" a="1"/>
  <c r="E272" i="3" s="1"/>
  <c r="E273" i="3" a="1"/>
  <c r="E273" i="3" s="1"/>
  <c r="E274" i="3" a="1"/>
  <c r="E274" i="3" s="1"/>
  <c r="E275" i="3" a="1"/>
  <c r="E275" i="3" s="1"/>
  <c r="E276" i="3" a="1"/>
  <c r="E276" i="3" s="1"/>
  <c r="E277" i="3" a="1"/>
  <c r="E277" i="3" s="1"/>
  <c r="E278" i="3" a="1"/>
  <c r="E278" i="3" s="1"/>
  <c r="E279" i="3" a="1"/>
  <c r="E279" i="3" s="1"/>
  <c r="E280" i="3" a="1"/>
  <c r="E280" i="3" s="1"/>
  <c r="E281" i="3" a="1"/>
  <c r="E281" i="3" s="1"/>
  <c r="E282" i="3" a="1"/>
  <c r="E282" i="3" s="1"/>
  <c r="E283" i="3" a="1"/>
  <c r="E283" i="3" s="1"/>
  <c r="E284" i="3" a="1"/>
  <c r="E284" i="3" s="1"/>
  <c r="E285" i="3" a="1"/>
  <c r="E285" i="3" s="1"/>
  <c r="E286" i="3" a="1"/>
  <c r="E286" i="3" s="1"/>
  <c r="E287" i="3" a="1"/>
  <c r="E287" i="3" s="1"/>
  <c r="E288" i="3" a="1"/>
  <c r="E288" i="3" s="1"/>
  <c r="E289" i="3" a="1"/>
  <c r="E289" i="3" s="1"/>
  <c r="E290" i="3" a="1"/>
  <c r="E290" i="3" s="1"/>
  <c r="E291" i="3" a="1"/>
  <c r="E291" i="3" s="1"/>
  <c r="E292" i="3" a="1"/>
  <c r="E292" i="3" s="1"/>
  <c r="E293" i="3" a="1"/>
  <c r="E293" i="3" s="1"/>
  <c r="E294" i="3" a="1"/>
  <c r="E294" i="3" s="1"/>
  <c r="E295" i="3" a="1"/>
  <c r="E295" i="3" s="1"/>
  <c r="E296" i="3" a="1"/>
  <c r="E296" i="3" s="1"/>
  <c r="E297" i="3" a="1"/>
  <c r="E297" i="3" s="1"/>
  <c r="E298" i="3" a="1"/>
  <c r="E298" i="3" s="1"/>
  <c r="E299" i="3" a="1"/>
  <c r="E299" i="3" s="1"/>
  <c r="E300" i="3" a="1"/>
  <c r="E300" i="3" s="1"/>
  <c r="E301" i="3" a="1"/>
  <c r="E301" i="3" s="1"/>
  <c r="E302" i="3" a="1"/>
  <c r="E302" i="3" s="1"/>
  <c r="E303" i="3" a="1"/>
  <c r="E303" i="3" s="1"/>
  <c r="E304" i="3" a="1"/>
  <c r="E304" i="3" s="1"/>
  <c r="E305" i="3" a="1"/>
  <c r="E305" i="3" s="1"/>
  <c r="E306" i="3" a="1"/>
  <c r="E306" i="3" s="1"/>
  <c r="E307" i="3" a="1"/>
  <c r="E307" i="3" s="1"/>
  <c r="E308" i="3" a="1"/>
  <c r="E308" i="3" s="1"/>
  <c r="E309" i="3" a="1"/>
  <c r="E309" i="3" s="1"/>
  <c r="E310" i="3" a="1"/>
  <c r="E310" i="3" s="1"/>
  <c r="E311" i="3" a="1"/>
  <c r="E311" i="3" s="1"/>
  <c r="E312" i="3" a="1"/>
  <c r="E312" i="3" s="1"/>
  <c r="E313" i="3" a="1"/>
  <c r="E313" i="3" s="1"/>
  <c r="E314" i="3" a="1"/>
  <c r="E314" i="3" s="1"/>
  <c r="E315" i="3" a="1"/>
  <c r="E315" i="3" s="1"/>
  <c r="E316" i="3" a="1"/>
  <c r="E316" i="3" s="1"/>
  <c r="E317" i="3" a="1"/>
  <c r="E317" i="3" s="1"/>
  <c r="E318" i="3" a="1"/>
  <c r="E318" i="3" s="1"/>
  <c r="E319" i="3" a="1"/>
  <c r="E319" i="3" s="1"/>
  <c r="E320" i="3" a="1"/>
  <c r="E320" i="3" s="1"/>
  <c r="E321" i="3" a="1"/>
  <c r="E321" i="3" s="1"/>
  <c r="E322" i="3" a="1"/>
  <c r="E322" i="3" s="1"/>
  <c r="E323" i="3" a="1"/>
  <c r="E323" i="3" s="1"/>
  <c r="E324" i="3" a="1"/>
  <c r="E324" i="3" s="1"/>
  <c r="E325" i="3" a="1"/>
  <c r="E325" i="3" s="1"/>
  <c r="E326" i="3" a="1"/>
  <c r="E326" i="3" s="1"/>
  <c r="E327" i="3" a="1"/>
  <c r="E327" i="3" s="1"/>
  <c r="E328" i="3" a="1"/>
  <c r="E328" i="3" s="1"/>
  <c r="E329" i="3" a="1"/>
  <c r="E329" i="3" s="1"/>
  <c r="E330" i="3" a="1"/>
  <c r="E330" i="3" s="1"/>
  <c r="E331" i="3" a="1"/>
  <c r="E331" i="3" s="1"/>
  <c r="E332" i="3" a="1"/>
  <c r="E332" i="3" s="1"/>
  <c r="E333" i="3" a="1"/>
  <c r="E333" i="3" s="1"/>
  <c r="E334" i="3" a="1"/>
  <c r="E334" i="3" s="1"/>
  <c r="E335" i="3" a="1"/>
  <c r="E335" i="3" s="1"/>
  <c r="E336" i="3" a="1"/>
  <c r="E336" i="3" s="1"/>
  <c r="E337" i="3" a="1"/>
  <c r="E337" i="3" s="1"/>
  <c r="E338" i="3" a="1"/>
  <c r="E338" i="3" s="1"/>
  <c r="E339" i="3" a="1"/>
  <c r="E339" i="3" s="1"/>
  <c r="E340" i="3" a="1"/>
  <c r="E340" i="3" s="1"/>
  <c r="E341" i="3" a="1"/>
  <c r="E341" i="3" s="1"/>
  <c r="E342" i="3" a="1"/>
  <c r="E342" i="3" s="1"/>
  <c r="E343" i="3" a="1"/>
  <c r="E343" i="3" s="1"/>
  <c r="E344" i="3" a="1"/>
  <c r="E344" i="3" s="1"/>
  <c r="E345" i="3" a="1"/>
  <c r="E345" i="3" s="1"/>
  <c r="E346" i="3" a="1"/>
  <c r="E346" i="3" s="1"/>
  <c r="E347" i="3" a="1"/>
  <c r="E347" i="3" s="1"/>
  <c r="E348" i="3" a="1"/>
  <c r="E348" i="3" s="1"/>
  <c r="E349" i="3" a="1"/>
  <c r="E349" i="3" s="1"/>
  <c r="E350" i="3" a="1"/>
  <c r="E350" i="3" s="1"/>
  <c r="E351" i="3" a="1"/>
  <c r="E351" i="3" s="1"/>
  <c r="E352" i="3" a="1"/>
  <c r="E352" i="3" s="1"/>
  <c r="E353" i="3" a="1"/>
  <c r="E353" i="3" s="1"/>
  <c r="E354" i="3" a="1"/>
  <c r="E354" i="3" s="1"/>
  <c r="E355" i="3" a="1"/>
  <c r="E355" i="3" s="1"/>
  <c r="E356" i="3" a="1"/>
  <c r="E356" i="3" s="1"/>
  <c r="E357" i="3" a="1"/>
  <c r="E357" i="3" s="1"/>
  <c r="E358" i="3" a="1"/>
  <c r="E358" i="3" s="1"/>
  <c r="E359" i="3" a="1"/>
  <c r="E359" i="3" s="1"/>
  <c r="E360" i="3" a="1"/>
  <c r="E360" i="3" s="1"/>
  <c r="E361" i="3" a="1"/>
  <c r="E361" i="3" s="1"/>
  <c r="E362" i="3" a="1"/>
  <c r="E362" i="3" s="1"/>
  <c r="E363" i="3" a="1"/>
  <c r="E363" i="3" s="1"/>
  <c r="E364" i="3" a="1"/>
  <c r="E364" i="3" s="1"/>
  <c r="E365" i="3" a="1"/>
  <c r="E365" i="3" s="1"/>
  <c r="E366" i="3" a="1"/>
  <c r="E366" i="3" s="1"/>
  <c r="E367" i="3" a="1"/>
  <c r="E367" i="3" s="1"/>
  <c r="E368" i="3" a="1"/>
  <c r="E368" i="3" s="1"/>
  <c r="E369" i="3" a="1"/>
  <c r="E369" i="3" s="1"/>
  <c r="E370" i="3" a="1"/>
  <c r="E370" i="3" s="1"/>
  <c r="E371" i="3" a="1"/>
  <c r="E371" i="3" s="1"/>
  <c r="E372" i="3" a="1"/>
  <c r="E372" i="3" s="1"/>
  <c r="E373" i="3" a="1"/>
  <c r="E373" i="3" s="1"/>
  <c r="E374" i="3" a="1"/>
  <c r="E374" i="3" s="1"/>
  <c r="E375" i="3" a="1"/>
  <c r="E375" i="3" s="1"/>
  <c r="E376" i="3" a="1"/>
  <c r="E376" i="3" s="1"/>
  <c r="E377" i="3" a="1"/>
  <c r="E377" i="3" s="1"/>
  <c r="E378" i="3" a="1"/>
  <c r="E378" i="3" s="1"/>
  <c r="E379" i="3" a="1"/>
  <c r="E379" i="3" s="1"/>
  <c r="E380" i="3" a="1"/>
  <c r="E380" i="3" s="1"/>
  <c r="E381" i="3" a="1"/>
  <c r="E381" i="3" s="1"/>
  <c r="E382" i="3" a="1"/>
  <c r="E382" i="3" s="1"/>
  <c r="E383" i="3" a="1"/>
  <c r="E383" i="3" s="1"/>
  <c r="E384" i="3" a="1"/>
  <c r="E384" i="3" s="1"/>
  <c r="E385" i="3" a="1"/>
  <c r="E385" i="3" s="1"/>
  <c r="E386" i="3" a="1"/>
  <c r="E386" i="3" s="1"/>
  <c r="E387" i="3" a="1"/>
  <c r="E387" i="3" s="1"/>
  <c r="E388" i="3" a="1"/>
  <c r="E388" i="3" s="1"/>
  <c r="E389" i="3" a="1"/>
  <c r="E389" i="3" s="1"/>
  <c r="E390" i="3" a="1"/>
  <c r="E390" i="3" s="1"/>
  <c r="E391" i="3" a="1"/>
  <c r="E391" i="3" s="1"/>
  <c r="E392" i="3" a="1"/>
  <c r="E392" i="3" s="1"/>
  <c r="E393" i="3" a="1"/>
  <c r="E393" i="3" s="1"/>
  <c r="E394" i="3" a="1"/>
  <c r="E394" i="3" s="1"/>
  <c r="E395" i="3" a="1"/>
  <c r="E395" i="3" s="1"/>
  <c r="E396" i="3" a="1"/>
  <c r="E396" i="3" s="1"/>
  <c r="E397" i="3" a="1"/>
  <c r="E397" i="3" s="1"/>
  <c r="E398" i="3" a="1"/>
  <c r="E398" i="3" s="1"/>
  <c r="E399" i="3" a="1"/>
  <c r="E399" i="3" s="1"/>
  <c r="E400" i="3" a="1"/>
  <c r="E400" i="3" s="1"/>
  <c r="E401" i="3" a="1"/>
  <c r="E401" i="3" s="1"/>
  <c r="C16" i="7" l="1"/>
  <c r="D16" i="7" s="1"/>
  <c r="J7" i="6" s="1"/>
  <c r="K312" i="4"/>
  <c r="N312" i="4" s="1"/>
  <c r="P312" i="4" s="1"/>
  <c r="K46" i="4"/>
  <c r="N46" i="4" s="1"/>
  <c r="P46" i="4" s="1"/>
  <c r="K52" i="4"/>
  <c r="N52" i="4" s="1"/>
  <c r="P52" i="4" s="1"/>
  <c r="K48" i="4"/>
  <c r="N48" i="4" s="1"/>
  <c r="P48" i="4" s="1"/>
  <c r="C15" i="7"/>
  <c r="D15" i="7" s="1"/>
  <c r="J6" i="6" s="1"/>
  <c r="C12" i="7"/>
  <c r="D12" i="7" s="1"/>
  <c r="J3" i="6" s="1"/>
  <c r="K166" i="4"/>
  <c r="N166" i="4" s="1"/>
  <c r="P166" i="4" s="1"/>
  <c r="K230" i="4"/>
  <c r="N230" i="4" s="1"/>
  <c r="P230" i="4" s="1"/>
  <c r="K135" i="4"/>
  <c r="N135" i="4" s="1"/>
  <c r="P135" i="4" s="1"/>
  <c r="K316" i="4"/>
  <c r="N316" i="4" s="1"/>
  <c r="P316" i="4" s="1"/>
  <c r="K55" i="4"/>
  <c r="N55" i="4" s="1"/>
  <c r="P55" i="4" s="1"/>
  <c r="K385" i="4"/>
  <c r="N385" i="4" s="1"/>
  <c r="P385" i="4" s="1"/>
  <c r="K129" i="4"/>
  <c r="N129" i="4" s="1"/>
  <c r="P129" i="4" s="1"/>
  <c r="K139" i="4"/>
  <c r="N139" i="4" s="1"/>
  <c r="P139" i="4" s="1"/>
  <c r="K137" i="4"/>
  <c r="N137" i="4" s="1"/>
  <c r="P137" i="4" s="1"/>
  <c r="C13" i="7"/>
  <c r="D13" i="7" s="1"/>
  <c r="J4" i="6" s="1"/>
  <c r="K313" i="4"/>
  <c r="N313" i="4" s="1"/>
  <c r="P313" i="4" s="1"/>
  <c r="K7" i="4"/>
  <c r="N7" i="4" s="1"/>
  <c r="P7" i="4" s="1"/>
  <c r="K167" i="4"/>
  <c r="N167" i="4" s="1"/>
  <c r="P167" i="4" s="1"/>
  <c r="K130" i="4"/>
  <c r="N130" i="4" s="1"/>
  <c r="P130" i="4" s="1"/>
  <c r="K252" i="4"/>
  <c r="N252" i="4" s="1"/>
  <c r="P252" i="4" s="1"/>
  <c r="C17" i="7"/>
  <c r="D17" i="7" s="1"/>
  <c r="J8" i="6" s="1"/>
  <c r="K76" i="4"/>
  <c r="N76" i="4" s="1"/>
  <c r="P76" i="4" s="1"/>
  <c r="K71" i="4"/>
  <c r="N71" i="4" s="1"/>
  <c r="P71" i="4" s="1"/>
  <c r="J5" i="6"/>
  <c r="K105" i="4"/>
  <c r="N105" i="4" s="1"/>
  <c r="P105" i="4" s="1"/>
  <c r="K116" i="4"/>
  <c r="N116" i="4" s="1"/>
  <c r="P116" i="4" s="1"/>
  <c r="K110" i="4"/>
  <c r="N110" i="4" s="1"/>
  <c r="P110" i="4" s="1"/>
  <c r="K104" i="4"/>
  <c r="N104" i="4" s="1"/>
  <c r="P104" i="4" s="1"/>
  <c r="K282" i="4"/>
  <c r="N282" i="4" s="1"/>
  <c r="P282" i="4" s="1"/>
  <c r="K373" i="4"/>
  <c r="N373" i="4" s="1"/>
  <c r="P373" i="4" s="1"/>
  <c r="K206" i="4"/>
  <c r="N206" i="4" s="1"/>
  <c r="P206" i="4" s="1"/>
  <c r="K374" i="4"/>
  <c r="N374" i="4" s="1"/>
  <c r="P374" i="4" s="1"/>
  <c r="K285" i="4"/>
  <c r="N285" i="4" s="1"/>
  <c r="P285" i="4" s="1"/>
  <c r="K292" i="4"/>
  <c r="N292" i="4" s="1"/>
  <c r="P292" i="4" s="1"/>
  <c r="K114" i="4"/>
  <c r="N114" i="4" s="1"/>
  <c r="P114" i="4" s="1"/>
  <c r="K197" i="4"/>
  <c r="N197" i="4" s="1"/>
  <c r="P197" i="4" s="1"/>
  <c r="K199" i="4"/>
  <c r="N199" i="4" s="1"/>
  <c r="P199" i="4" s="1"/>
  <c r="K115" i="4"/>
  <c r="N115" i="4" s="1"/>
  <c r="P115" i="4" s="1"/>
  <c r="K36" i="4"/>
  <c r="N36" i="4" s="1"/>
  <c r="P36" i="4" s="1"/>
  <c r="K177" i="4"/>
  <c r="N177" i="4" s="1"/>
  <c r="P177" i="4" s="1"/>
  <c r="K196" i="4"/>
  <c r="N196" i="4" s="1"/>
  <c r="P196" i="4" s="1"/>
  <c r="K202" i="4"/>
  <c r="N202" i="4" s="1"/>
  <c r="P202" i="4" s="1"/>
  <c r="K112" i="4"/>
  <c r="N112" i="4" s="1"/>
  <c r="P112" i="4" s="1"/>
  <c r="K367" i="4"/>
  <c r="N367" i="4" s="1"/>
  <c r="P367" i="4" s="1"/>
  <c r="K204" i="4"/>
  <c r="N204" i="4" s="1"/>
  <c r="P204" i="4" s="1"/>
  <c r="K388" i="4"/>
  <c r="N388" i="4" s="1"/>
  <c r="P388" i="4" s="1"/>
  <c r="K195" i="4"/>
  <c r="N195" i="4" s="1"/>
  <c r="P195" i="4" s="1"/>
  <c r="K287" i="4"/>
  <c r="N287" i="4" s="1"/>
  <c r="P287" i="4" s="1"/>
  <c r="K291" i="4"/>
  <c r="N291" i="4" s="1"/>
  <c r="P291" i="4" s="1"/>
  <c r="K288" i="4"/>
  <c r="N288" i="4" s="1"/>
  <c r="P288" i="4" s="1"/>
  <c r="K369" i="4"/>
  <c r="N369" i="4" s="1"/>
  <c r="P369" i="4" s="1"/>
  <c r="K113" i="4"/>
  <c r="N113" i="4" s="1"/>
  <c r="P113" i="4" s="1"/>
  <c r="K77" i="4"/>
  <c r="N77" i="4" s="1"/>
  <c r="P77" i="4" s="1"/>
  <c r="K108" i="4"/>
  <c r="N108" i="4" s="1"/>
  <c r="P108" i="4" s="1"/>
  <c r="K280" i="4"/>
  <c r="N280" i="4" s="1"/>
  <c r="P280" i="4" s="1"/>
  <c r="K283" i="4"/>
  <c r="N283" i="4" s="1"/>
  <c r="P283" i="4" s="1"/>
  <c r="K239" i="4"/>
  <c r="N239" i="4" s="1"/>
  <c r="P239" i="4" s="1"/>
  <c r="K193" i="4"/>
  <c r="N193" i="4" s="1"/>
  <c r="P193" i="4" s="1"/>
  <c r="K200" i="4"/>
  <c r="N200" i="4" s="1"/>
  <c r="P200" i="4" s="1"/>
  <c r="K286" i="4"/>
  <c r="N286" i="4" s="1"/>
  <c r="P286" i="4" s="1"/>
  <c r="K290" i="4"/>
  <c r="N290" i="4" s="1"/>
  <c r="P290" i="4" s="1"/>
  <c r="K39" i="4"/>
  <c r="N39" i="4" s="1"/>
  <c r="P39" i="4" s="1"/>
  <c r="K281" i="4"/>
  <c r="N281" i="4" s="1"/>
  <c r="P281" i="4" s="1"/>
  <c r="K346" i="4"/>
  <c r="N346" i="4" s="1"/>
  <c r="P346" i="4" s="1"/>
  <c r="K94" i="4"/>
  <c r="N94" i="4" s="1"/>
  <c r="P94" i="4" s="1"/>
  <c r="K198" i="4"/>
  <c r="N198" i="4" s="1"/>
  <c r="P198" i="4" s="1"/>
  <c r="K284" i="4"/>
  <c r="N284" i="4" s="1"/>
  <c r="P284" i="4" s="1"/>
  <c r="K42" i="4"/>
  <c r="N42" i="4" s="1"/>
  <c r="P42" i="4" s="1"/>
  <c r="K216" i="4"/>
  <c r="N216" i="4" s="1"/>
  <c r="P216" i="4" s="1"/>
  <c r="K208" i="4"/>
  <c r="N208" i="4" s="1"/>
  <c r="P208" i="4" s="1"/>
  <c r="K293" i="4"/>
  <c r="N293" i="4" s="1"/>
  <c r="P293" i="4" s="1"/>
  <c r="K298" i="4"/>
  <c r="N298" i="4" s="1"/>
  <c r="P298" i="4" s="1"/>
  <c r="K44" i="4"/>
  <c r="N44" i="4" s="1"/>
  <c r="P44" i="4" s="1"/>
  <c r="K375" i="4"/>
  <c r="N375" i="4" s="1"/>
  <c r="P375" i="4" s="1"/>
  <c r="K119" i="4"/>
  <c r="N119" i="4" s="1"/>
  <c r="P119" i="4" s="1"/>
  <c r="K294" i="4"/>
  <c r="N294" i="4" s="1"/>
  <c r="P294" i="4" s="1"/>
  <c r="K295" i="4"/>
  <c r="N295" i="4" s="1"/>
  <c r="P295" i="4" s="1"/>
  <c r="K124" i="4"/>
  <c r="N124" i="4" s="1"/>
  <c r="P124" i="4" s="1"/>
  <c r="K378" i="4"/>
  <c r="N378" i="4" s="1"/>
  <c r="P378" i="4" s="1"/>
  <c r="K211" i="4"/>
  <c r="N211" i="4" s="1"/>
  <c r="P211" i="4" s="1"/>
  <c r="K218" i="4"/>
  <c r="N218" i="4" s="1"/>
  <c r="P218" i="4" s="1"/>
  <c r="K121" i="4"/>
  <c r="N121" i="4" s="1"/>
  <c r="P121" i="4" s="1"/>
  <c r="K212" i="4"/>
  <c r="N212" i="4" s="1"/>
  <c r="P212" i="4" s="1"/>
  <c r="K219" i="4"/>
  <c r="N219" i="4" s="1"/>
  <c r="P219" i="4" s="1"/>
  <c r="K122" i="4"/>
  <c r="N122" i="4" s="1"/>
  <c r="P122" i="4" s="1"/>
  <c r="K213" i="4"/>
  <c r="N213" i="4" s="1"/>
  <c r="P213" i="4" s="1"/>
  <c r="K377" i="4"/>
  <c r="N377" i="4" s="1"/>
  <c r="P377" i="4" s="1"/>
  <c r="K207" i="4"/>
  <c r="N207" i="4" s="1"/>
  <c r="P207" i="4" s="1"/>
  <c r="K123" i="4"/>
  <c r="N123" i="4" s="1"/>
  <c r="P123" i="4" s="1"/>
  <c r="K210" i="4"/>
  <c r="N210" i="4" s="1"/>
  <c r="P210" i="4" s="1"/>
  <c r="K215" i="4"/>
  <c r="N215" i="4" s="1"/>
  <c r="P215" i="4" s="1"/>
  <c r="K297" i="4"/>
  <c r="N297" i="4" s="1"/>
  <c r="P297" i="4" s="1"/>
  <c r="K214" i="4"/>
  <c r="N214" i="4" s="1"/>
  <c r="P214" i="4" s="1"/>
  <c r="K371" i="4"/>
  <c r="N371" i="4" s="1"/>
  <c r="P371" i="4" s="1"/>
  <c r="K194" i="4"/>
  <c r="N194" i="4" s="1"/>
  <c r="P194" i="4" s="1"/>
  <c r="K109" i="4"/>
  <c r="N109" i="4" s="1"/>
  <c r="P109" i="4" s="1"/>
  <c r="K289" i="4"/>
  <c r="N289" i="4" s="1"/>
  <c r="P289" i="4" s="1"/>
  <c r="K304" i="4"/>
  <c r="N304" i="4" s="1"/>
  <c r="P304" i="4" s="1"/>
  <c r="K69" i="4"/>
  <c r="N69" i="4" s="1"/>
  <c r="P69" i="4" s="1"/>
  <c r="K352" i="4"/>
  <c r="N352" i="4" s="1"/>
  <c r="P352" i="4" s="1"/>
  <c r="K205" i="4"/>
  <c r="N205" i="4" s="1"/>
  <c r="P205" i="4" s="1"/>
  <c r="K106" i="4"/>
  <c r="N106" i="4" s="1"/>
  <c r="P106" i="4" s="1"/>
  <c r="K368" i="4"/>
  <c r="N368" i="4" s="1"/>
  <c r="P368" i="4" s="1"/>
  <c r="K372" i="4"/>
  <c r="N372" i="4" s="1"/>
  <c r="P372" i="4" s="1"/>
  <c r="K203" i="4"/>
  <c r="N203" i="4" s="1"/>
  <c r="P203" i="4" s="1"/>
  <c r="K370" i="4"/>
  <c r="N370" i="4" s="1"/>
  <c r="P370" i="4" s="1"/>
  <c r="K37" i="4"/>
  <c r="N37" i="4" s="1"/>
  <c r="P37" i="4" s="1"/>
  <c r="K103" i="4"/>
  <c r="N103" i="4" s="1"/>
  <c r="P103" i="4" s="1"/>
  <c r="K107" i="4"/>
  <c r="N107" i="4" s="1"/>
  <c r="P107" i="4" s="1"/>
  <c r="K201" i="4"/>
  <c r="N201" i="4" s="1"/>
  <c r="P201" i="4" s="1"/>
  <c r="K111" i="4"/>
  <c r="N111" i="4" s="1"/>
  <c r="P111" i="4" s="1"/>
  <c r="K387" i="4"/>
  <c r="N387" i="4" s="1"/>
  <c r="P387" i="4" s="1"/>
  <c r="K38" i="4"/>
  <c r="N38" i="4" s="1"/>
  <c r="P38" i="4" s="1"/>
  <c r="K62" i="4"/>
  <c r="N62" i="4" s="1"/>
  <c r="P62" i="4" s="1"/>
  <c r="K311" i="4"/>
  <c r="N311" i="4" s="1"/>
  <c r="P311" i="4" s="1"/>
  <c r="K102" i="4" l="1"/>
  <c r="N102" i="4" s="1"/>
  <c r="P102" i="4" s="1"/>
  <c r="K161" i="4"/>
  <c r="N161" i="4" s="1"/>
  <c r="P161" i="4" s="1"/>
  <c r="K151" i="4"/>
  <c r="N151" i="4" s="1"/>
  <c r="P151" i="4" s="1"/>
  <c r="K11" i="4"/>
  <c r="N11" i="4" s="1"/>
  <c r="P11" i="4" s="1"/>
  <c r="K157" i="4"/>
  <c r="N157" i="4" s="1"/>
  <c r="P157" i="4" s="1"/>
  <c r="K262" i="4"/>
  <c r="N262" i="4" s="1"/>
  <c r="P262" i="4" s="1"/>
  <c r="K81" i="4"/>
  <c r="N81" i="4" s="1"/>
  <c r="P81" i="4" s="1"/>
  <c r="K101" i="4"/>
  <c r="N101" i="4" s="1"/>
  <c r="P101" i="4" s="1"/>
  <c r="K233" i="4"/>
  <c r="N233" i="4" s="1"/>
  <c r="P233" i="4" s="1"/>
  <c r="K340" i="4"/>
  <c r="N340" i="4" s="1"/>
  <c r="P340" i="4" s="1"/>
  <c r="K325" i="4"/>
  <c r="N325" i="4" s="1"/>
  <c r="P325" i="4" s="1"/>
  <c r="K156" i="4"/>
  <c r="N156" i="4" s="1"/>
  <c r="P156" i="4" s="1"/>
  <c r="K169" i="4"/>
  <c r="N169" i="4" s="1"/>
  <c r="P169" i="4" s="1"/>
  <c r="K348" i="4"/>
  <c r="N348" i="4" s="1"/>
  <c r="P348" i="4" s="1"/>
  <c r="K25" i="4"/>
  <c r="N25" i="4" s="1"/>
  <c r="P25" i="4" s="1"/>
  <c r="K331" i="4"/>
  <c r="N331" i="4" s="1"/>
  <c r="P331" i="4" s="1"/>
  <c r="K258" i="4"/>
  <c r="N258" i="4" s="1"/>
  <c r="P258" i="4" s="1"/>
  <c r="K70" i="4"/>
  <c r="N70" i="4" s="1"/>
  <c r="P70" i="4" s="1"/>
  <c r="K399" i="4"/>
  <c r="N399" i="4" s="1"/>
  <c r="P399" i="4" s="1"/>
  <c r="K159" i="4"/>
  <c r="N159" i="4" s="1"/>
  <c r="P159" i="4" s="1"/>
  <c r="K9" i="4"/>
  <c r="N9" i="4" s="1"/>
  <c r="P9" i="4" s="1"/>
  <c r="K250" i="4"/>
  <c r="N250" i="4" s="1"/>
  <c r="P250" i="4" s="1"/>
  <c r="K224" i="4"/>
  <c r="N224" i="4" s="1"/>
  <c r="P224" i="4" s="1"/>
  <c r="K51" i="4"/>
  <c r="N51" i="4" s="1"/>
  <c r="P51" i="4" s="1"/>
  <c r="K26" i="4"/>
  <c r="N26" i="4" s="1"/>
  <c r="P26" i="4" s="1"/>
  <c r="K392" i="4"/>
  <c r="N392" i="4" s="1"/>
  <c r="P392" i="4" s="1"/>
  <c r="K305" i="4"/>
  <c r="N305" i="4" s="1"/>
  <c r="P305" i="4" s="1"/>
  <c r="K220" i="4"/>
  <c r="N220" i="4" s="1"/>
  <c r="P220" i="4" s="1"/>
  <c r="K394" i="4"/>
  <c r="N394" i="4" s="1"/>
  <c r="P394" i="4" s="1"/>
  <c r="K342" i="4"/>
  <c r="N342" i="4" s="1"/>
  <c r="P342" i="4" s="1"/>
  <c r="K12" i="4"/>
  <c r="N12" i="4" s="1"/>
  <c r="P12" i="4" s="1"/>
  <c r="K229" i="4"/>
  <c r="N229" i="4" s="1"/>
  <c r="P229" i="4" s="1"/>
  <c r="K223" i="4"/>
  <c r="N223" i="4" s="1"/>
  <c r="P223" i="4" s="1"/>
  <c r="K134" i="4"/>
  <c r="N134" i="4" s="1"/>
  <c r="P134" i="4" s="1"/>
  <c r="K309" i="4"/>
  <c r="N309" i="4" s="1"/>
  <c r="P309" i="4" s="1"/>
  <c r="K386" i="4"/>
  <c r="N386" i="4" s="1"/>
  <c r="P386" i="4" s="1"/>
  <c r="K49" i="4"/>
  <c r="N49" i="4" s="1"/>
  <c r="P49" i="4" s="1"/>
  <c r="K73" i="4"/>
  <c r="N73" i="4" s="1"/>
  <c r="P73" i="4" s="1"/>
  <c r="K391" i="4"/>
  <c r="N391" i="4" s="1"/>
  <c r="P391" i="4" s="1"/>
  <c r="K382" i="4"/>
  <c r="N382" i="4" s="1"/>
  <c r="P382" i="4" s="1"/>
  <c r="K227" i="4"/>
  <c r="N227" i="4" s="1"/>
  <c r="P227" i="4" s="1"/>
  <c r="K54" i="4"/>
  <c r="N54" i="4" s="1"/>
  <c r="P54" i="4" s="1"/>
  <c r="K133" i="4"/>
  <c r="N133" i="4" s="1"/>
  <c r="P133" i="4" s="1"/>
  <c r="K303" i="4"/>
  <c r="N303" i="4" s="1"/>
  <c r="P303" i="4" s="1"/>
  <c r="K58" i="4"/>
  <c r="N58" i="4" s="1"/>
  <c r="P58" i="4" s="1"/>
  <c r="K393" i="4"/>
  <c r="N393" i="4" s="1"/>
  <c r="P393" i="4" s="1"/>
  <c r="K53" i="4"/>
  <c r="N53" i="4" s="1"/>
  <c r="P53" i="4" s="1"/>
  <c r="K162" i="4"/>
  <c r="N162" i="4" s="1"/>
  <c r="P162" i="4" s="1"/>
  <c r="K317" i="4"/>
  <c r="N317" i="4" s="1"/>
  <c r="P317" i="4" s="1"/>
  <c r="K308" i="4"/>
  <c r="N308" i="4" s="1"/>
  <c r="P308" i="4" s="1"/>
  <c r="K140" i="4"/>
  <c r="N140" i="4" s="1"/>
  <c r="P140" i="4" s="1"/>
  <c r="K222" i="4"/>
  <c r="N222" i="4" s="1"/>
  <c r="P222" i="4" s="1"/>
  <c r="K188" i="4"/>
  <c r="N188" i="4" s="1"/>
  <c r="P188" i="4" s="1"/>
  <c r="K192" i="4"/>
  <c r="N192" i="4" s="1"/>
  <c r="P192" i="4" s="1"/>
  <c r="K362" i="4"/>
  <c r="N362" i="4" s="1"/>
  <c r="P362" i="4" s="1"/>
  <c r="K14" i="4"/>
  <c r="N14" i="4" s="1"/>
  <c r="P14" i="4" s="1"/>
  <c r="K358" i="4"/>
  <c r="N358" i="4" s="1"/>
  <c r="P358" i="4" s="1"/>
  <c r="K179" i="4"/>
  <c r="N179" i="4" s="1"/>
  <c r="P179" i="4" s="1"/>
  <c r="K271" i="4"/>
  <c r="N271" i="4" s="1"/>
  <c r="P271" i="4" s="1"/>
  <c r="K93" i="4"/>
  <c r="N93" i="4" s="1"/>
  <c r="P93" i="4" s="1"/>
  <c r="K22" i="4"/>
  <c r="N22" i="4" s="1"/>
  <c r="P22" i="4" s="1"/>
  <c r="K276" i="4"/>
  <c r="N276" i="4" s="1"/>
  <c r="P276" i="4" s="1"/>
  <c r="K174" i="4"/>
  <c r="N174" i="4" s="1"/>
  <c r="P174" i="4" s="1"/>
  <c r="K15" i="4"/>
  <c r="N15" i="4" s="1"/>
  <c r="P15" i="4" s="1"/>
  <c r="K41" i="4"/>
  <c r="N41" i="4" s="1"/>
  <c r="P41" i="4" s="1"/>
  <c r="K40" i="4"/>
  <c r="N40" i="4" s="1"/>
  <c r="P40" i="4" s="1"/>
  <c r="K117" i="4"/>
  <c r="N117" i="4" s="1"/>
  <c r="P117" i="4" s="1"/>
  <c r="K376" i="4"/>
  <c r="N376" i="4" s="1"/>
  <c r="P376" i="4" s="1"/>
  <c r="K118" i="4"/>
  <c r="N118" i="4" s="1"/>
  <c r="P118" i="4" s="1"/>
  <c r="K176" i="4"/>
  <c r="N176" i="4" s="1"/>
  <c r="P176" i="4" s="1"/>
  <c r="K190" i="4"/>
  <c r="N190" i="4" s="1"/>
  <c r="P190" i="4" s="1"/>
  <c r="K47" i="4"/>
  <c r="N47" i="4" s="1"/>
  <c r="P47" i="4" s="1"/>
  <c r="K277" i="4"/>
  <c r="N277" i="4" s="1"/>
  <c r="P277" i="4" s="1"/>
  <c r="K175" i="4"/>
  <c r="N175" i="4" s="1"/>
  <c r="P175" i="4" s="1"/>
  <c r="K82" i="4"/>
  <c r="N82" i="4" s="1"/>
  <c r="P82" i="4" s="1"/>
  <c r="K184" i="4"/>
  <c r="N184" i="4" s="1"/>
  <c r="P184" i="4" s="1"/>
  <c r="K150" i="4"/>
  <c r="N150" i="4" s="1"/>
  <c r="P150" i="4" s="1"/>
  <c r="K323" i="4"/>
  <c r="N323" i="4" s="1"/>
  <c r="P323" i="4" s="1"/>
  <c r="K56" i="4"/>
  <c r="N56" i="4" s="1"/>
  <c r="P56" i="4" s="1"/>
  <c r="K228" i="4"/>
  <c r="N228" i="4" s="1"/>
  <c r="P228" i="4" s="1"/>
  <c r="K389" i="4"/>
  <c r="N389" i="4" s="1"/>
  <c r="P389" i="4" s="1"/>
  <c r="K380" i="4"/>
  <c r="N380" i="4" s="1"/>
  <c r="P380" i="4" s="1"/>
  <c r="K226" i="4"/>
  <c r="N226" i="4" s="1"/>
  <c r="P226" i="4" s="1"/>
  <c r="K127" i="4"/>
  <c r="N127" i="4" s="1"/>
  <c r="P127" i="4" s="1"/>
  <c r="K182" i="4"/>
  <c r="N182" i="4" s="1"/>
  <c r="P182" i="4" s="1"/>
  <c r="K361" i="4"/>
  <c r="N361" i="4" s="1"/>
  <c r="P361" i="4" s="1"/>
  <c r="K264" i="4"/>
  <c r="N264" i="4" s="1"/>
  <c r="P264" i="4" s="1"/>
  <c r="K18" i="4"/>
  <c r="N18" i="4" s="1"/>
  <c r="P18" i="4" s="1"/>
  <c r="K267" i="4"/>
  <c r="N267" i="4" s="1"/>
  <c r="P267" i="4" s="1"/>
  <c r="K187" i="4"/>
  <c r="N187" i="4" s="1"/>
  <c r="P187" i="4" s="1"/>
  <c r="K16" i="4"/>
  <c r="N16" i="4" s="1"/>
  <c r="P16" i="4" s="1"/>
  <c r="K30" i="4"/>
  <c r="N30" i="4" s="1"/>
  <c r="P30" i="4" s="1"/>
  <c r="K91" i="4"/>
  <c r="N91" i="4" s="1"/>
  <c r="P91" i="4" s="1"/>
  <c r="K84" i="4"/>
  <c r="N84" i="4" s="1"/>
  <c r="P84" i="4" s="1"/>
  <c r="K88" i="4"/>
  <c r="N88" i="4" s="1"/>
  <c r="P88" i="4" s="1"/>
  <c r="K23" i="4"/>
  <c r="N23" i="4" s="1"/>
  <c r="P23" i="4" s="1"/>
  <c r="K278" i="4"/>
  <c r="N278" i="4" s="1"/>
  <c r="P278" i="4" s="1"/>
  <c r="K90" i="4"/>
  <c r="N90" i="4" s="1"/>
  <c r="P90" i="4" s="1"/>
  <c r="K363" i="4"/>
  <c r="N363" i="4" s="1"/>
  <c r="P363" i="4" s="1"/>
  <c r="K35" i="4"/>
  <c r="N35" i="4" s="1"/>
  <c r="P35" i="4" s="1"/>
  <c r="K34" i="4"/>
  <c r="N34" i="4" s="1"/>
  <c r="P34" i="4" s="1"/>
  <c r="K97" i="4"/>
  <c r="N97" i="4" s="1"/>
  <c r="P97" i="4" s="1"/>
  <c r="K322" i="4"/>
  <c r="N322" i="4" s="1"/>
  <c r="P322" i="4" s="1"/>
  <c r="K86" i="4"/>
  <c r="N86" i="4" s="1"/>
  <c r="P86" i="4" s="1"/>
  <c r="K279" i="4"/>
  <c r="N279" i="4" s="1"/>
  <c r="P279" i="4" s="1"/>
  <c r="K32" i="4"/>
  <c r="N32" i="4" s="1"/>
  <c r="P32" i="4" s="1"/>
  <c r="K300" i="4"/>
  <c r="N300" i="4" s="1"/>
  <c r="P300" i="4" s="1"/>
  <c r="K299" i="4"/>
  <c r="N299" i="4" s="1"/>
  <c r="P299" i="4" s="1"/>
  <c r="K296" i="4"/>
  <c r="N296" i="4" s="1"/>
  <c r="P296" i="4" s="1"/>
  <c r="K217" i="4"/>
  <c r="N217" i="4" s="1"/>
  <c r="P217" i="4" s="1"/>
  <c r="K45" i="4"/>
  <c r="N45" i="4" s="1"/>
  <c r="P45" i="4" s="1"/>
  <c r="K191" i="4"/>
  <c r="N191" i="4" s="1"/>
  <c r="P191" i="4" s="1"/>
  <c r="K31" i="4"/>
  <c r="N31" i="4" s="1"/>
  <c r="P31" i="4" s="1"/>
  <c r="K268" i="4"/>
  <c r="N268" i="4" s="1"/>
  <c r="P268" i="4" s="1"/>
  <c r="K172" i="4"/>
  <c r="N172" i="4" s="1"/>
  <c r="P172" i="4" s="1"/>
  <c r="K85" i="4"/>
  <c r="N85" i="4" s="1"/>
  <c r="P85" i="4" s="1"/>
  <c r="K126" i="4"/>
  <c r="N126" i="4" s="1"/>
  <c r="P126" i="4" s="1"/>
  <c r="K131" i="4"/>
  <c r="N131" i="4" s="1"/>
  <c r="P131" i="4" s="1"/>
  <c r="K395" i="4"/>
  <c r="N395" i="4" s="1"/>
  <c r="P395" i="4" s="1"/>
  <c r="K136" i="4"/>
  <c r="N136" i="4" s="1"/>
  <c r="P136" i="4" s="1"/>
  <c r="K379" i="4"/>
  <c r="N379" i="4" s="1"/>
  <c r="P379" i="4" s="1"/>
  <c r="K59" i="4"/>
  <c r="N59" i="4" s="1"/>
  <c r="P59" i="4" s="1"/>
  <c r="K61" i="4"/>
  <c r="N61" i="4" s="1"/>
  <c r="P61" i="4" s="1"/>
  <c r="K306" i="4"/>
  <c r="N306" i="4" s="1"/>
  <c r="P306" i="4" s="1"/>
  <c r="K318" i="4"/>
  <c r="N318" i="4" s="1"/>
  <c r="P318" i="4" s="1"/>
  <c r="K307" i="4"/>
  <c r="N307" i="4" s="1"/>
  <c r="P307" i="4" s="1"/>
  <c r="K28" i="4"/>
  <c r="N28" i="4" s="1"/>
  <c r="P28" i="4" s="1"/>
  <c r="K183" i="4"/>
  <c r="N183" i="4" s="1"/>
  <c r="P183" i="4" s="1"/>
  <c r="K20" i="4"/>
  <c r="N20" i="4" s="1"/>
  <c r="P20" i="4" s="1"/>
  <c r="K13" i="4"/>
  <c r="N13" i="4" s="1"/>
  <c r="P13" i="4" s="1"/>
  <c r="K263" i="4"/>
  <c r="N263" i="4" s="1"/>
  <c r="P263" i="4" s="1"/>
  <c r="K269" i="4"/>
  <c r="N269" i="4" s="1"/>
  <c r="P269" i="4" s="1"/>
  <c r="K189" i="4"/>
  <c r="N189" i="4" s="1"/>
  <c r="P189" i="4" s="1"/>
  <c r="K79" i="4"/>
  <c r="N79" i="4" s="1"/>
  <c r="P79" i="4" s="1"/>
  <c r="K354" i="4"/>
  <c r="N354" i="4" s="1"/>
  <c r="P354" i="4" s="1"/>
  <c r="K17" i="4"/>
  <c r="N17" i="4" s="1"/>
  <c r="P17" i="4" s="1"/>
  <c r="K19" i="4"/>
  <c r="N19" i="4" s="1"/>
  <c r="P19" i="4" s="1"/>
  <c r="K266" i="4"/>
  <c r="N266" i="4" s="1"/>
  <c r="P266" i="4" s="1"/>
  <c r="K180" i="4"/>
  <c r="N180" i="4" s="1"/>
  <c r="P180" i="4" s="1"/>
  <c r="K98" i="4"/>
  <c r="N98" i="4" s="1"/>
  <c r="P98" i="4" s="1"/>
  <c r="K301" i="4"/>
  <c r="N301" i="4" s="1"/>
  <c r="P301" i="4" s="1"/>
  <c r="K43" i="4"/>
  <c r="N43" i="4" s="1"/>
  <c r="P43" i="4" s="1"/>
  <c r="K209" i="4"/>
  <c r="N209" i="4" s="1"/>
  <c r="P209" i="4" s="1"/>
  <c r="K120" i="4"/>
  <c r="N120" i="4" s="1"/>
  <c r="P120" i="4" s="1"/>
  <c r="K302" i="4"/>
  <c r="N302" i="4" s="1"/>
  <c r="P302" i="4" s="1"/>
  <c r="K366" i="4"/>
  <c r="N366" i="4" s="1"/>
  <c r="P366" i="4" s="1"/>
  <c r="K100" i="4"/>
  <c r="N100" i="4" s="1"/>
  <c r="P100" i="4" s="1"/>
  <c r="K83" i="4"/>
  <c r="N83" i="4" s="1"/>
  <c r="P83" i="4" s="1"/>
  <c r="K265" i="4"/>
  <c r="N265" i="4" s="1"/>
  <c r="P265" i="4" s="1"/>
  <c r="K364" i="4"/>
  <c r="N364" i="4" s="1"/>
  <c r="P364" i="4" s="1"/>
  <c r="K274" i="4"/>
  <c r="N274" i="4" s="1"/>
  <c r="P274" i="4" s="1"/>
  <c r="K225" i="4"/>
  <c r="N225" i="4" s="1"/>
  <c r="P225" i="4" s="1"/>
  <c r="K57" i="4"/>
  <c r="N57" i="4" s="1"/>
  <c r="P57" i="4" s="1"/>
  <c r="K132" i="4"/>
  <c r="N132" i="4" s="1"/>
  <c r="P132" i="4" s="1"/>
  <c r="K125" i="4"/>
  <c r="N125" i="4" s="1"/>
  <c r="P125" i="4" s="1"/>
  <c r="K384" i="4"/>
  <c r="N384" i="4" s="1"/>
  <c r="P384" i="4" s="1"/>
  <c r="K315" i="4"/>
  <c r="N315" i="4" s="1"/>
  <c r="P315" i="4" s="1"/>
  <c r="K345" i="4"/>
  <c r="N345" i="4" s="1"/>
  <c r="P345" i="4" s="1"/>
  <c r="K310" i="4"/>
  <c r="N310" i="4" s="1"/>
  <c r="P310" i="4" s="1"/>
  <c r="K256" i="4"/>
  <c r="N256" i="4" s="1"/>
  <c r="P256" i="4" s="1"/>
  <c r="K383" i="4"/>
  <c r="N383" i="4" s="1"/>
  <c r="P383" i="4" s="1"/>
  <c r="K381" i="4"/>
  <c r="N381" i="4" s="1"/>
  <c r="P381" i="4" s="1"/>
  <c r="K95" i="4"/>
  <c r="N95" i="4" s="1"/>
  <c r="P95" i="4" s="1"/>
  <c r="K357" i="4"/>
  <c r="N357" i="4" s="1"/>
  <c r="P357" i="4" s="1"/>
  <c r="K275" i="4"/>
  <c r="N275" i="4" s="1"/>
  <c r="P275" i="4" s="1"/>
  <c r="K270" i="4"/>
  <c r="N270" i="4" s="1"/>
  <c r="P270" i="4" s="1"/>
  <c r="K355" i="4"/>
  <c r="N355" i="4" s="1"/>
  <c r="P355" i="4" s="1"/>
  <c r="K80" i="4"/>
  <c r="N80" i="4" s="1"/>
  <c r="P80" i="4" s="1"/>
  <c r="K96" i="4"/>
  <c r="N96" i="4" s="1"/>
  <c r="P96" i="4" s="1"/>
  <c r="K24" i="4"/>
  <c r="N24" i="4" s="1"/>
  <c r="P24" i="4" s="1"/>
  <c r="K398" i="4"/>
  <c r="N398" i="4" s="1"/>
  <c r="P398" i="4" s="1"/>
  <c r="K234" i="4"/>
  <c r="N234" i="4" s="1"/>
  <c r="P234" i="4" s="1"/>
  <c r="K160" i="4"/>
  <c r="N160" i="4" s="1"/>
  <c r="P160" i="4" s="1"/>
  <c r="K65" i="4"/>
  <c r="N65" i="4" s="1"/>
  <c r="P65" i="4" s="1"/>
  <c r="K329" i="4"/>
  <c r="N329" i="4" s="1"/>
  <c r="P329" i="4" s="1"/>
  <c r="K349" i="4"/>
  <c r="N349" i="4" s="1"/>
  <c r="P349" i="4" s="1"/>
  <c r="K328" i="4"/>
  <c r="N328" i="4" s="1"/>
  <c r="P328" i="4" s="1"/>
  <c r="K320" i="4"/>
  <c r="N320" i="4" s="1"/>
  <c r="P320" i="4" s="1"/>
  <c r="K341" i="4"/>
  <c r="N341" i="4" s="1"/>
  <c r="P341" i="4" s="1"/>
  <c r="K128" i="4"/>
  <c r="N128" i="4" s="1"/>
  <c r="P128" i="4" s="1"/>
  <c r="K236" i="4"/>
  <c r="N236" i="4" s="1"/>
  <c r="P236" i="4" s="1"/>
  <c r="K321" i="4"/>
  <c r="N321" i="4" s="1"/>
  <c r="P321" i="4" s="1"/>
  <c r="K332" i="4"/>
  <c r="N332" i="4" s="1"/>
  <c r="P332" i="4" s="1"/>
  <c r="K336" i="4"/>
  <c r="N336" i="4" s="1"/>
  <c r="P336" i="4" s="1"/>
  <c r="K232" i="4"/>
  <c r="N232" i="4" s="1"/>
  <c r="P232" i="4" s="1"/>
  <c r="K143" i="4"/>
  <c r="N143" i="4" s="1"/>
  <c r="P143" i="4" s="1"/>
  <c r="K64" i="4"/>
  <c r="N64" i="4" s="1"/>
  <c r="P64" i="4" s="1"/>
  <c r="K253" i="4"/>
  <c r="N253" i="4" s="1"/>
  <c r="P253" i="4" s="1"/>
  <c r="K221" i="4"/>
  <c r="N221" i="4" s="1"/>
  <c r="P221" i="4" s="1"/>
  <c r="K50" i="4"/>
  <c r="N50" i="4" s="1"/>
  <c r="P50" i="4" s="1"/>
  <c r="K66" i="4"/>
  <c r="N66" i="4" s="1"/>
  <c r="P66" i="4" s="1"/>
  <c r="K319" i="4"/>
  <c r="N319" i="4" s="1"/>
  <c r="P319" i="4" s="1"/>
  <c r="K92" i="4"/>
  <c r="N92" i="4" s="1"/>
  <c r="P92" i="4" s="1"/>
  <c r="K60" i="4"/>
  <c r="N60" i="4" s="1"/>
  <c r="P60" i="4" s="1"/>
  <c r="K260" i="4"/>
  <c r="N260" i="4" s="1"/>
  <c r="P260" i="4" s="1"/>
  <c r="K170" i="4"/>
  <c r="N170" i="4" s="1"/>
  <c r="P170" i="4" s="1"/>
  <c r="K314" i="4"/>
  <c r="N314" i="4" s="1"/>
  <c r="P314" i="4" s="1"/>
  <c r="K359" i="4"/>
  <c r="N359" i="4" s="1"/>
  <c r="P359" i="4" s="1"/>
  <c r="K178" i="4"/>
  <c r="N178" i="4" s="1"/>
  <c r="P178" i="4" s="1"/>
  <c r="K242" i="4"/>
  <c r="N242" i="4" s="1"/>
  <c r="P242" i="4" s="1"/>
  <c r="K154" i="4"/>
  <c r="N154" i="4" s="1"/>
  <c r="P154" i="4" s="1"/>
  <c r="K185" i="4"/>
  <c r="N185" i="4" s="1"/>
  <c r="P185" i="4" s="1"/>
  <c r="N6" i="4"/>
  <c r="P6" i="4" s="1"/>
  <c r="K2" i="4"/>
  <c r="N2" i="4" s="1"/>
  <c r="P2" i="4" s="1"/>
  <c r="K245" i="4"/>
  <c r="N245" i="4" s="1"/>
  <c r="P245" i="4" s="1"/>
  <c r="K390" i="4"/>
  <c r="N390" i="4" s="1"/>
  <c r="P390" i="4" s="1"/>
  <c r="K163" i="4"/>
  <c r="N163" i="4" s="1"/>
  <c r="P163" i="4" s="1"/>
  <c r="K138" i="4"/>
  <c r="N138" i="4" s="1"/>
  <c r="P138" i="4" s="1"/>
  <c r="K231" i="4"/>
  <c r="N231" i="4" s="1"/>
  <c r="P231" i="4" s="1"/>
  <c r="K68" i="4"/>
  <c r="N68" i="4" s="1"/>
  <c r="P68" i="4" s="1"/>
  <c r="K246" i="4"/>
  <c r="N246" i="4" s="1"/>
  <c r="P246" i="4" s="1"/>
  <c r="K249" i="4"/>
  <c r="N249" i="4" s="1"/>
  <c r="P249" i="4" s="1"/>
  <c r="K247" i="4"/>
  <c r="N247" i="4" s="1"/>
  <c r="P247" i="4" s="1"/>
  <c r="K4" i="4"/>
  <c r="N4" i="4" s="1"/>
  <c r="P4" i="4" s="1"/>
  <c r="K339" i="4"/>
  <c r="N339" i="4" s="1"/>
  <c r="P339" i="4" s="1"/>
  <c r="K344" i="4"/>
  <c r="N344" i="4" s="1"/>
  <c r="P344" i="4" s="1"/>
  <c r="K330" i="4"/>
  <c r="N330" i="4" s="1"/>
  <c r="P330" i="4" s="1"/>
  <c r="K33" i="4"/>
  <c r="N33" i="4" s="1"/>
  <c r="P33" i="4" s="1"/>
  <c r="K186" i="4"/>
  <c r="N186" i="4" s="1"/>
  <c r="P186" i="4" s="1"/>
  <c r="K327" i="4"/>
  <c r="N327" i="4" s="1"/>
  <c r="P327" i="4" s="1"/>
  <c r="K168" i="4"/>
  <c r="N168" i="4" s="1"/>
  <c r="P168" i="4" s="1"/>
  <c r="K248" i="4"/>
  <c r="N248" i="4" s="1"/>
  <c r="P248" i="4" s="1"/>
  <c r="K75" i="4"/>
  <c r="N75" i="4" s="1"/>
  <c r="P75" i="4" s="1"/>
  <c r="K257" i="4"/>
  <c r="N257" i="4" s="1"/>
  <c r="P257" i="4" s="1"/>
  <c r="K8" i="4"/>
  <c r="N8" i="4" s="1"/>
  <c r="P8" i="4" s="1"/>
  <c r="K259" i="4"/>
  <c r="N259" i="4" s="1"/>
  <c r="P259" i="4" s="1"/>
  <c r="K254" i="4"/>
  <c r="N254" i="4" s="1"/>
  <c r="P254" i="4" s="1"/>
  <c r="K343" i="4"/>
  <c r="N343" i="4" s="1"/>
  <c r="P343" i="4" s="1"/>
  <c r="K155" i="4"/>
  <c r="N155" i="4" s="1"/>
  <c r="P155" i="4" s="1"/>
  <c r="K5" i="4"/>
  <c r="N5" i="4" s="1"/>
  <c r="P5" i="4" s="1"/>
  <c r="K333" i="4"/>
  <c r="N333" i="4" s="1"/>
  <c r="P333" i="4" s="1"/>
  <c r="K334" i="4"/>
  <c r="N334" i="4" s="1"/>
  <c r="P334" i="4" s="1"/>
  <c r="K78" i="4"/>
  <c r="N78" i="4" s="1"/>
  <c r="P78" i="4" s="1"/>
  <c r="K173" i="4"/>
  <c r="N173" i="4" s="1"/>
  <c r="P173" i="4" s="1"/>
  <c r="K171" i="4"/>
  <c r="N171" i="4" s="1"/>
  <c r="P171" i="4" s="1"/>
  <c r="K87" i="4"/>
  <c r="N87" i="4" s="1"/>
  <c r="P87" i="4" s="1"/>
  <c r="K21" i="4"/>
  <c r="N21" i="4" s="1"/>
  <c r="P21" i="4" s="1"/>
  <c r="K350" i="4"/>
  <c r="N350" i="4" s="1"/>
  <c r="P350" i="4" s="1"/>
  <c r="K273" i="4"/>
  <c r="N273" i="4" s="1"/>
  <c r="P273" i="4" s="1"/>
  <c r="K356" i="4"/>
  <c r="N356" i="4" s="1"/>
  <c r="P356" i="4" s="1"/>
  <c r="K353" i="4"/>
  <c r="N353" i="4" s="1"/>
  <c r="P353" i="4" s="1"/>
  <c r="K351" i="4"/>
  <c r="N351" i="4" s="1"/>
  <c r="P351" i="4" s="1"/>
  <c r="K365" i="4"/>
  <c r="N365" i="4" s="1"/>
  <c r="P365" i="4" s="1"/>
  <c r="K272" i="4"/>
  <c r="N272" i="4" s="1"/>
  <c r="P272" i="4" s="1"/>
  <c r="K261" i="4"/>
  <c r="N261" i="4" s="1"/>
  <c r="P261" i="4" s="1"/>
  <c r="K27" i="4"/>
  <c r="N27" i="4" s="1"/>
  <c r="P27" i="4" s="1"/>
  <c r="K99" i="4"/>
  <c r="N99" i="4" s="1"/>
  <c r="P99" i="4" s="1"/>
  <c r="K181" i="4"/>
  <c r="N181" i="4" s="1"/>
  <c r="P181" i="4" s="1"/>
  <c r="K29" i="4"/>
  <c r="N29" i="4" s="1"/>
  <c r="P29" i="4" s="1"/>
  <c r="K255" i="4"/>
  <c r="N255" i="4" s="1"/>
  <c r="P255" i="4" s="1"/>
  <c r="K240" i="4"/>
  <c r="N240" i="4" s="1"/>
  <c r="P240" i="4" s="1"/>
  <c r="K243" i="4"/>
  <c r="N243" i="4" s="1"/>
  <c r="P243" i="4" s="1"/>
  <c r="K164" i="4"/>
  <c r="N164" i="4" s="1"/>
  <c r="P164" i="4" s="1"/>
  <c r="K145" i="4"/>
  <c r="N145" i="4" s="1"/>
  <c r="P145" i="4" s="1"/>
  <c r="K360" i="4"/>
  <c r="N360" i="4" s="1"/>
  <c r="P360" i="4" s="1"/>
  <c r="K89" i="4"/>
  <c r="N89" i="4" s="1"/>
  <c r="P89" i="4" s="1"/>
  <c r="K326" i="4"/>
  <c r="N326" i="4" s="1"/>
  <c r="P326" i="4" s="1"/>
  <c r="K251" i="4"/>
  <c r="N251" i="4" s="1"/>
  <c r="P251" i="4" s="1"/>
  <c r="K337" i="4"/>
  <c r="N337" i="4" s="1"/>
  <c r="P337" i="4" s="1"/>
  <c r="K165" i="4"/>
  <c r="N165" i="4" s="1"/>
  <c r="P165" i="4" s="1"/>
  <c r="K74" i="4"/>
  <c r="N74" i="4" s="1"/>
  <c r="P74" i="4" s="1"/>
  <c r="K347" i="4"/>
  <c r="N347" i="4" s="1"/>
  <c r="P347" i="4" s="1"/>
  <c r="K10" i="4"/>
  <c r="N10" i="4" s="1"/>
  <c r="P10" i="4" s="1"/>
  <c r="K158" i="4"/>
  <c r="N158" i="4" s="1"/>
  <c r="P158" i="4" s="1"/>
  <c r="K338" i="4"/>
  <c r="N338" i="4" s="1"/>
  <c r="P338" i="4" s="1"/>
  <c r="K3" i="4"/>
  <c r="N3" i="4" s="1"/>
  <c r="P3" i="4" s="1"/>
  <c r="K335" i="4"/>
  <c r="N335" i="4" s="1"/>
  <c r="P335" i="4" s="1"/>
  <c r="K72" i="4"/>
  <c r="N72" i="4" s="1"/>
  <c r="P72" i="4" s="1"/>
  <c r="K397" i="4"/>
  <c r="N397" i="4" s="1"/>
  <c r="P397" i="4" s="1"/>
  <c r="K146" i="4"/>
  <c r="N146" i="4" s="1"/>
  <c r="P146" i="4" s="1"/>
  <c r="K396" i="4"/>
  <c r="N396" i="4" s="1"/>
  <c r="P396" i="4" s="1"/>
  <c r="K238" i="4"/>
  <c r="N238" i="4" s="1"/>
  <c r="P238" i="4" s="1"/>
  <c r="K148" i="4"/>
  <c r="N148" i="4" s="1"/>
  <c r="P148" i="4" s="1"/>
  <c r="K67" i="4"/>
  <c r="N67" i="4" s="1"/>
  <c r="P67" i="4" s="1"/>
  <c r="K147" i="4"/>
  <c r="N147" i="4" s="1"/>
  <c r="P147" i="4" s="1"/>
  <c r="K144" i="4"/>
  <c r="N144" i="4" s="1"/>
  <c r="P144" i="4" s="1"/>
  <c r="K401" i="4"/>
  <c r="N401" i="4" s="1"/>
  <c r="P401" i="4" s="1"/>
  <c r="K235" i="4"/>
  <c r="N235" i="4" s="1"/>
  <c r="P235" i="4" s="1"/>
  <c r="K241" i="4"/>
  <c r="N241" i="4" s="1"/>
  <c r="P241" i="4" s="1"/>
  <c r="K324" i="4"/>
  <c r="N324" i="4" s="1"/>
  <c r="P324" i="4" s="1"/>
  <c r="K153" i="4"/>
  <c r="N153" i="4" s="1"/>
  <c r="P153" i="4" s="1"/>
  <c r="K237" i="4"/>
  <c r="N237" i="4" s="1"/>
  <c r="P237" i="4" s="1"/>
  <c r="K142" i="4"/>
  <c r="N142" i="4" s="1"/>
  <c r="P142" i="4" s="1"/>
  <c r="K63" i="4"/>
  <c r="N63" i="4" s="1"/>
  <c r="P63" i="4" s="1"/>
  <c r="K244" i="4"/>
  <c r="N244" i="4" s="1"/>
  <c r="P244" i="4" s="1"/>
  <c r="K149" i="4"/>
  <c r="N149" i="4" s="1"/>
  <c r="P149" i="4" s="1"/>
  <c r="K141" i="4"/>
  <c r="N141" i="4" s="1"/>
  <c r="P141" i="4" s="1"/>
  <c r="K152" i="4"/>
  <c r="N152" i="4" s="1"/>
  <c r="P152" i="4" s="1"/>
  <c r="K400" i="4"/>
  <c r="N400" i="4" s="1"/>
  <c r="P400" i="4" s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мояработа.xlsm!брендыы" type="102" refreshedVersion="6" minRefreshableVersion="5">
    <extLst>
      <ext xmlns:x15="http://schemas.microsoft.com/office/spreadsheetml/2010/11/main" uri="{DE250136-89BD-433C-8126-D09CA5730AF9}">
        <x15:connection id="брендыы">
          <x15:rangePr sourceName="_xlcn.WorksheetConnection_мояработа.xlsmбрендыы"/>
        </x15:connection>
      </ext>
    </extLst>
  </connection>
  <connection id="3" name="WorksheetConnection_мояработа.xlsm!Таблица46" type="102" refreshedVersion="6" minRefreshableVersion="5">
    <extLst>
      <ext xmlns:x15="http://schemas.microsoft.com/office/spreadsheetml/2010/11/main" uri="{DE250136-89BD-433C-8126-D09CA5730AF9}">
        <x15:connection id="Таблица46">
          <x15:rangePr sourceName="_xlcn.WorksheetConnection_мояработа.xlsmТаблица46"/>
        </x15:connection>
      </ext>
    </extLst>
  </connection>
  <connection id="4" name="WorksheetConnection_полуэктова(1) (2).xlsm!Таблица3" type="102" refreshedVersion="6" minRefreshableVersion="5">
    <extLst>
      <ext xmlns:x15="http://schemas.microsoft.com/office/spreadsheetml/2010/11/main" uri="{DE250136-89BD-433C-8126-D09CA5730AF9}">
        <x15:connection id="Таблица3" autoDelete="1">
          <x15:rangePr sourceName="_xlcn.WorksheetConnection_полуэктова12.xlsmТаблица3"/>
        </x15:connection>
      </ext>
    </extLst>
  </connection>
  <connection id="5" keepAlive="1" name="Запрос — Исходные-данные_2 (2)" description="Соединение с запросом &quot;Исходные-данные_2 (2)&quot; в книге." type="5" refreshedVersion="7" background="1" saveData="1">
    <dbPr connection="Provider=Microsoft.Mashup.OleDb.1;Data Source=$Workbook$;Location=Исходные-данные_2 (2);Extended Properties=&quot;&quot;" command="SELECT * FROM [Исходные-данные_2 (2)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Таблица3].[id департамента].&amp;[3]}"/>
    <s v="{[Таблица3].[id департамента].&amp;[2]}"/>
    <s v="{[Таблица3].[id департамента].&amp;[1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<sst xmlns="http://schemas.openxmlformats.org/spreadsheetml/2006/main" count="6003" uniqueCount="552">
  <si>
    <t>Дата продажи</t>
  </si>
  <si>
    <t>ФИО покупателя</t>
  </si>
  <si>
    <t>Наименование товара</t>
  </si>
  <si>
    <t xml:space="preserve">Город отправки </t>
  </si>
  <si>
    <t>Зорина Т.Н.</t>
  </si>
  <si>
    <t>Товар A</t>
  </si>
  <si>
    <t>Сочи</t>
  </si>
  <si>
    <t>Миронова М.С.</t>
  </si>
  <si>
    <t>Товар B</t>
  </si>
  <si>
    <t>Санкт-Петерубрг</t>
  </si>
  <si>
    <t>Фокина П.И.</t>
  </si>
  <si>
    <t>Москва</t>
  </si>
  <si>
    <t>Яковлев Р. М.</t>
  </si>
  <si>
    <t>Владимир</t>
  </si>
  <si>
    <t>Акимов В. М.</t>
  </si>
  <si>
    <t>Товар F</t>
  </si>
  <si>
    <t>Кузнецова О. Г.</t>
  </si>
  <si>
    <t>Товар E</t>
  </si>
  <si>
    <t>Мурманск</t>
  </si>
  <si>
    <t>Кузьмин Д. Г.</t>
  </si>
  <si>
    <t>Вологда</t>
  </si>
  <si>
    <t>Максимов П.М.</t>
  </si>
  <si>
    <t>Товар C</t>
  </si>
  <si>
    <t>Волгоград</t>
  </si>
  <si>
    <t>Яковлев А. И.</t>
  </si>
  <si>
    <t>Волков М. А.</t>
  </si>
  <si>
    <t>Мартынов Я. Т.</t>
  </si>
  <si>
    <t>Иванов М.В.</t>
  </si>
  <si>
    <t>Юдина В. Ф.</t>
  </si>
  <si>
    <t>Ростов-на-Дону</t>
  </si>
  <si>
    <t>Сидоров Г.Я.</t>
  </si>
  <si>
    <t>Тула</t>
  </si>
  <si>
    <t>Соколова Е.М.</t>
  </si>
  <si>
    <t>Богданов Д.М.</t>
  </si>
  <si>
    <t>Петрозаводск</t>
  </si>
  <si>
    <t>Дмитриева С.Д.</t>
  </si>
  <si>
    <t>Комаров В.Я.</t>
  </si>
  <si>
    <t>Товар D</t>
  </si>
  <si>
    <t>Никитина В.А.</t>
  </si>
  <si>
    <t>Сидоров М.М.</t>
  </si>
  <si>
    <t>Аникин Г. М.</t>
  </si>
  <si>
    <t>Бочарова А.С.</t>
  </si>
  <si>
    <t>Олейников А.А.</t>
  </si>
  <si>
    <t>Соколов А.С.</t>
  </si>
  <si>
    <t>Филатов М.И.</t>
  </si>
  <si>
    <t>Юдин М. М.</t>
  </si>
  <si>
    <t>Зайцева Г. М.</t>
  </si>
  <si>
    <t>Кострома</t>
  </si>
  <si>
    <t>Кузнецова Е. С.</t>
  </si>
  <si>
    <t>Старостин Н.С.</t>
  </si>
  <si>
    <t>Степанова А.Р.</t>
  </si>
  <si>
    <t>Шишкин П. А.</t>
  </si>
  <si>
    <t>Антипова Д.Д.</t>
  </si>
  <si>
    <t>Смирнов Д.Т.</t>
  </si>
  <si>
    <t>Черепанов М.А.</t>
  </si>
  <si>
    <t>Безрукова М.К.</t>
  </si>
  <si>
    <t>Колесов С.А.</t>
  </si>
  <si>
    <t>Коротков Ф. Г.</t>
  </si>
  <si>
    <t>Фирсова Е.И.</t>
  </si>
  <si>
    <t>Зайцев Л. М.</t>
  </si>
  <si>
    <t>Ковалева А. А.</t>
  </si>
  <si>
    <t>Лазарев А. Е.</t>
  </si>
  <si>
    <t>Леонова А.Д.</t>
  </si>
  <si>
    <t>Литвинов Ю. Э.</t>
  </si>
  <si>
    <t>Овсянникова А. И.</t>
  </si>
  <si>
    <t>Розанов Н.И.</t>
  </si>
  <si>
    <t>Сотникова Е.А.</t>
  </si>
  <si>
    <t>Шаповалова А.И.</t>
  </si>
  <si>
    <t>Мухина А.А.</t>
  </si>
  <si>
    <t>Осипов Т.М.</t>
  </si>
  <si>
    <t>Панин Н.С.</t>
  </si>
  <si>
    <t>Афанасьев А.М.</t>
  </si>
  <si>
    <t>Гришин В. И.</t>
  </si>
  <si>
    <t>Гуляев Г. И.</t>
  </si>
  <si>
    <t>Захаров М.Г.</t>
  </si>
  <si>
    <t>Меркулова А.Г.</t>
  </si>
  <si>
    <t>Серов Т.М.</t>
  </si>
  <si>
    <t>Коновалова М.С.</t>
  </si>
  <si>
    <t>Воронеж</t>
  </si>
  <si>
    <t>Романова С.И.</t>
  </si>
  <si>
    <t>Чумакова А. Д.</t>
  </si>
  <si>
    <t>Шилова Д. Е.</t>
  </si>
  <si>
    <t>Никитин С.А.</t>
  </si>
  <si>
    <t>Ефремов А. М.</t>
  </si>
  <si>
    <t>Козлов В. Г.</t>
  </si>
  <si>
    <t>Николаева А.Л.</t>
  </si>
  <si>
    <t>Блинов М. А.</t>
  </si>
  <si>
    <t>Власова А. Я.</t>
  </si>
  <si>
    <t>Воробьева К.Л.</t>
  </si>
  <si>
    <t>Никольская В.С.</t>
  </si>
  <si>
    <t>Сергеев М.А.</t>
  </si>
  <si>
    <t>Соколов А.Л.</t>
  </si>
  <si>
    <t>Троицкая Д.Е.</t>
  </si>
  <si>
    <t>Селиванова В.Г.</t>
  </si>
  <si>
    <t>Тверь</t>
  </si>
  <si>
    <t>Смирнов Т.З.</t>
  </si>
  <si>
    <t>Давыдова М.О.</t>
  </si>
  <si>
    <t>Дьяконов Г.Б.</t>
  </si>
  <si>
    <t>Зыкова П.А.</t>
  </si>
  <si>
    <t>Максимов Л.А.</t>
  </si>
  <si>
    <t>Фролов М. К.</t>
  </si>
  <si>
    <t>Мухин И. К.</t>
  </si>
  <si>
    <t>Пономарева А.А.</t>
  </si>
  <si>
    <t>Астахов А.Д.</t>
  </si>
  <si>
    <t>Гордеева В.Я.</t>
  </si>
  <si>
    <t>Михайлов В. А.</t>
  </si>
  <si>
    <t>Овсянников М. П.</t>
  </si>
  <si>
    <t>Смирнов Е.К.</t>
  </si>
  <si>
    <t>Степанова О.Д.</t>
  </si>
  <si>
    <t>Белякова Е.А.</t>
  </si>
  <si>
    <t>Гаврилова А. А.</t>
  </si>
  <si>
    <t>Горбачева М. Н.</t>
  </si>
  <si>
    <t>Карасев М.А.</t>
  </si>
  <si>
    <t>Великий Новгород</t>
  </si>
  <si>
    <t>Сафонова К.М.</t>
  </si>
  <si>
    <t>Фокина А. М.</t>
  </si>
  <si>
    <t>Виноградова Е.А.</t>
  </si>
  <si>
    <t>Иванова К. Д.</t>
  </si>
  <si>
    <t>Копылов Е.С.</t>
  </si>
  <si>
    <t>Ульянов Ю.В.</t>
  </si>
  <si>
    <t>Панин К.Т.</t>
  </si>
  <si>
    <t>Алексеев Н.М.</t>
  </si>
  <si>
    <t>Егоров П. М.</t>
  </si>
  <si>
    <t>Красильникова В.А.</t>
  </si>
  <si>
    <t>Филиппова Я. Н.</t>
  </si>
  <si>
    <t>Баранова В.Е.</t>
  </si>
  <si>
    <t>Крылова А.И.</t>
  </si>
  <si>
    <t>Одинцов З.А.</t>
  </si>
  <si>
    <t>Филатова К. П.</t>
  </si>
  <si>
    <t>Фирсова В.Т.</t>
  </si>
  <si>
    <t>Богданов Я.Д.</t>
  </si>
  <si>
    <t>Кузьмина М.Д.</t>
  </si>
  <si>
    <t>Леонова Е. Д.</t>
  </si>
  <si>
    <t>Митчин А. М.</t>
  </si>
  <si>
    <t>Семенов Е.Д.</t>
  </si>
  <si>
    <t>Беляева П.Л.</t>
  </si>
  <si>
    <t>Белякова В.М.</t>
  </si>
  <si>
    <t>Колосов М.М.</t>
  </si>
  <si>
    <t>Лыткин О.И.</t>
  </si>
  <si>
    <t>Малахова В.А.</t>
  </si>
  <si>
    <t>Федоров Л.А.</t>
  </si>
  <si>
    <t>Максимов И.А.</t>
  </si>
  <si>
    <t>Нестеров М. М.</t>
  </si>
  <si>
    <t>Савин М.Ю.</t>
  </si>
  <si>
    <t>Федорова К. Г.</t>
  </si>
  <si>
    <t>Фокина В.Т.</t>
  </si>
  <si>
    <t>Зиновьева А. М.</t>
  </si>
  <si>
    <t>Мартынова В.П.</t>
  </si>
  <si>
    <t>Прохоров М.Н.</t>
  </si>
  <si>
    <t>Симонов Р.Л.</t>
  </si>
  <si>
    <t>Федорова В. М.</t>
  </si>
  <si>
    <t>Яковлев С.Д.</t>
  </si>
  <si>
    <t>Антонов Л.В.</t>
  </si>
  <si>
    <t>Громов М. Н.</t>
  </si>
  <si>
    <t>Лаптева В. А.</t>
  </si>
  <si>
    <t>Егоров Д.Д.</t>
  </si>
  <si>
    <t>Костин Г.А.</t>
  </si>
  <si>
    <t>Федоров В. Д.</t>
  </si>
  <si>
    <t>Щеглов И.И.</t>
  </si>
  <si>
    <t>Князев Д. М.</t>
  </si>
  <si>
    <t>Попов Д.Г.</t>
  </si>
  <si>
    <t>Ушаков Д. А.</t>
  </si>
  <si>
    <t>Васильева М.М.</t>
  </si>
  <si>
    <t>Гуляева А. А.</t>
  </si>
  <si>
    <t>Иванова В. Д.</t>
  </si>
  <si>
    <t>Литвинов Д. А.</t>
  </si>
  <si>
    <t>Моисеев А.Р.</t>
  </si>
  <si>
    <t>Петрова Г.Н.</t>
  </si>
  <si>
    <t>Титова А. С.</t>
  </si>
  <si>
    <t>Тихонов Д. В.</t>
  </si>
  <si>
    <t>Григорьев М. Т.</t>
  </si>
  <si>
    <t>Гуров И.А.</t>
  </si>
  <si>
    <t>Киселева А.Е.</t>
  </si>
  <si>
    <t>Козырев Г.С.</t>
  </si>
  <si>
    <t>Константинова А.А.</t>
  </si>
  <si>
    <t>Кузина П.М.</t>
  </si>
  <si>
    <t>Попова М.А.</t>
  </si>
  <si>
    <t>Воронова В.А.</t>
  </si>
  <si>
    <t>Калинина В. Н.</t>
  </si>
  <si>
    <t>Коровина Д. Г.</t>
  </si>
  <si>
    <t>Волкова А.А.</t>
  </si>
  <si>
    <t>Морозов М. А.</t>
  </si>
  <si>
    <t>Селиванова В.Я.</t>
  </si>
  <si>
    <t>Смирнов Д.П.</t>
  </si>
  <si>
    <t>Тимофеев А.М.</t>
  </si>
  <si>
    <t>Устинова А.Я.</t>
  </si>
  <si>
    <t>Авдеева С. В.</t>
  </si>
  <si>
    <t>Дроздов Т.А.</t>
  </si>
  <si>
    <t>Калашников М.М.</t>
  </si>
  <si>
    <t>Калмыков И. Д.</t>
  </si>
  <si>
    <t>Корчагина Е. А.</t>
  </si>
  <si>
    <t>Куликова А.Ф.</t>
  </si>
  <si>
    <t>Поляков Г.В.</t>
  </si>
  <si>
    <t>Титов С. Д.</t>
  </si>
  <si>
    <t>Тарасова А. А.</t>
  </si>
  <si>
    <t>Хохлов К.И.</t>
  </si>
  <si>
    <t>Аникин К.Ю.</t>
  </si>
  <si>
    <t>Воробьева Е.В.</t>
  </si>
  <si>
    <t>Глушкова А.М.</t>
  </si>
  <si>
    <t>Ефимова А.Д.</t>
  </si>
  <si>
    <t>Зверев М. Л.</t>
  </si>
  <si>
    <t>Карасев И. Н.</t>
  </si>
  <si>
    <t>Никонов В.Ф.</t>
  </si>
  <si>
    <t>Тарасов Д. П.</t>
  </si>
  <si>
    <t>Масленников П.И.</t>
  </si>
  <si>
    <t>Боброва В. Г.</t>
  </si>
  <si>
    <t>Иванов И. А.</t>
  </si>
  <si>
    <t>Лебедев Т. С.</t>
  </si>
  <si>
    <t>Мельников А.И.</t>
  </si>
  <si>
    <t>Бобров Т.А.</t>
  </si>
  <si>
    <t>Ефимова А.М.</t>
  </si>
  <si>
    <t>Иванова Д.М.</t>
  </si>
  <si>
    <t>Ярославль</t>
  </si>
  <si>
    <t>Васильев И. М.</t>
  </si>
  <si>
    <t>Карпов А.Г.</t>
  </si>
  <si>
    <t>Ковалева К.М.</t>
  </si>
  <si>
    <t>Столярова А. А.</t>
  </si>
  <si>
    <t>Сысоева Л.А.</t>
  </si>
  <si>
    <t>Абрамов И.Б.</t>
  </si>
  <si>
    <t>Зайцев С. Э.</t>
  </si>
  <si>
    <t>Матвеева А.К.</t>
  </si>
  <si>
    <t>Рябинина А.А.</t>
  </si>
  <si>
    <t>Демидова Д. М.</t>
  </si>
  <si>
    <t>Кузьмин Л. А.</t>
  </si>
  <si>
    <t>Левина З.М.</t>
  </si>
  <si>
    <t>Мельникова С.А.</t>
  </si>
  <si>
    <t>Демина М. И.</t>
  </si>
  <si>
    <t>Козлов М.М.</t>
  </si>
  <si>
    <t>Касаткина А. Т.</t>
  </si>
  <si>
    <t>Александров И.Н.</t>
  </si>
  <si>
    <t>Алексеев Р.И.</t>
  </si>
  <si>
    <t>Воробьева А.Г.</t>
  </si>
  <si>
    <t>Гущина Е.Н.</t>
  </si>
  <si>
    <t>Касаткина С.Т.</t>
  </si>
  <si>
    <t>Майоров С.А.</t>
  </si>
  <si>
    <t>Михеева С.Т.</t>
  </si>
  <si>
    <t>Морозов З. М.</t>
  </si>
  <si>
    <t>Стариков А. М.</t>
  </si>
  <si>
    <t>Богданов М. А.</t>
  </si>
  <si>
    <t>Васильева Е.А.</t>
  </si>
  <si>
    <t>Волков И.А.</t>
  </si>
  <si>
    <t>Воробьева М.С.</t>
  </si>
  <si>
    <t>Герасимов Д. И.</t>
  </si>
  <si>
    <t>Кудрявцев П. М.</t>
  </si>
  <si>
    <t>Лопатина З.Д.</t>
  </si>
  <si>
    <t>Соколова П. Ю.</t>
  </si>
  <si>
    <t>Соловьёв Г.В.</t>
  </si>
  <si>
    <t>Фомина А.А.</t>
  </si>
  <si>
    <t>Давыдов Д.И.</t>
  </si>
  <si>
    <t>Соколов К. Л.</t>
  </si>
  <si>
    <t>Соколова В. Е.</t>
  </si>
  <si>
    <t>Антонова М.Е.</t>
  </si>
  <si>
    <t>Смирнова С. М.</t>
  </si>
  <si>
    <t>Филиппова В.Р.</t>
  </si>
  <si>
    <t>Левина К. В.</t>
  </si>
  <si>
    <t>Максимова П.Д.</t>
  </si>
  <si>
    <t>Муратов М. Е.</t>
  </si>
  <si>
    <t>Плотникова Е.В.</t>
  </si>
  <si>
    <t>Кудряшов К. М.</t>
  </si>
  <si>
    <t>Смирнов А. С.</t>
  </si>
  <si>
    <t>Молчанова М. И.</t>
  </si>
  <si>
    <t>Рыбакова А. М.</t>
  </si>
  <si>
    <t>Синицына С. Ф.</t>
  </si>
  <si>
    <t>Софронов Е.М.</t>
  </si>
  <si>
    <t>Куликов П.А.</t>
  </si>
  <si>
    <t>Моисеев А.И.</t>
  </si>
  <si>
    <t>Рожков С. А.</t>
  </si>
  <si>
    <t>Романов И. М.</t>
  </si>
  <si>
    <t>Карпова К.А.</t>
  </si>
  <si>
    <t>Лебедев С.С.</t>
  </si>
  <si>
    <t>Мартынов В.Е.</t>
  </si>
  <si>
    <t>Семенов А.А.</t>
  </si>
  <si>
    <t>Богомолов С.А.</t>
  </si>
  <si>
    <t>Долгова Е.Е.</t>
  </si>
  <si>
    <t>Емельянов А. Р.</t>
  </si>
  <si>
    <t>Максимов С. П.</t>
  </si>
  <si>
    <t>Потапова М. Г.</t>
  </si>
  <si>
    <t>Прохоров М. Н.</t>
  </si>
  <si>
    <t>Соловьев Д.Р.</t>
  </si>
  <si>
    <t>Попова С. И.</t>
  </si>
  <si>
    <t>Потапов Ю. П.</t>
  </si>
  <si>
    <t>Тимофеева А.Л.</t>
  </si>
  <si>
    <t>Ефимова А. А.</t>
  </si>
  <si>
    <t>Журавлев А.Н.</t>
  </si>
  <si>
    <t>Комарова В.Б.</t>
  </si>
  <si>
    <t>Мельников Э.Ф.</t>
  </si>
  <si>
    <t>Данилова В.А.</t>
  </si>
  <si>
    <t>Зверев А.А.</t>
  </si>
  <si>
    <t>Носков А.А.</t>
  </si>
  <si>
    <t>Павловский Д.А.</t>
  </si>
  <si>
    <t>Попова П. Д.</t>
  </si>
  <si>
    <t>Смирнов А.М.</t>
  </si>
  <si>
    <t>Белоусова М.М.</t>
  </si>
  <si>
    <t>Муравьев З.Р.</t>
  </si>
  <si>
    <t>Поляков И. А.</t>
  </si>
  <si>
    <t>Бородин А. М.</t>
  </si>
  <si>
    <t>Васильев Р. А.</t>
  </si>
  <si>
    <t>Дмитриева В.Д.</t>
  </si>
  <si>
    <t>Иванова Э. Д.</t>
  </si>
  <si>
    <t>Ильинский М.Р.</t>
  </si>
  <si>
    <t>Калашникова С. М.</t>
  </si>
  <si>
    <t>Маркова П.Д.</t>
  </si>
  <si>
    <t>Королева К. С.</t>
  </si>
  <si>
    <t>Лебедева В.А.</t>
  </si>
  <si>
    <t>Литвинов П.И.</t>
  </si>
  <si>
    <t>Максимова С.А.</t>
  </si>
  <si>
    <t>Литвинов М. А.</t>
  </si>
  <si>
    <t>Озеров П.М.</t>
  </si>
  <si>
    <t>Тарасов К.В.</t>
  </si>
  <si>
    <t>Иванов Д. Д.</t>
  </si>
  <si>
    <t>Краснов А. К.</t>
  </si>
  <si>
    <t>Кузьмина Д.В.</t>
  </si>
  <si>
    <t>Семенова В.А.</t>
  </si>
  <si>
    <t>Барсукова К.П.</t>
  </si>
  <si>
    <t>Евдокимова А. А.</t>
  </si>
  <si>
    <t>Куликова Я.К.</t>
  </si>
  <si>
    <t>Белоусов И. Л.</t>
  </si>
  <si>
    <t>Васильев С. Г.</t>
  </si>
  <si>
    <t>Григорьев Е.К.</t>
  </si>
  <si>
    <t>Евсеев И.Д.</t>
  </si>
  <si>
    <t>Игнатьева А.А.</t>
  </si>
  <si>
    <t>Минин Д.А.</t>
  </si>
  <si>
    <t>Соколова А.С.</t>
  </si>
  <si>
    <t>Титов С.М.</t>
  </si>
  <si>
    <t>Воронков Д.М.</t>
  </si>
  <si>
    <t>Воронцова С. К.</t>
  </si>
  <si>
    <t>Корнеев М.Р.</t>
  </si>
  <si>
    <t>Романов С.Д.</t>
  </si>
  <si>
    <t>Гаврилов П. М.</t>
  </si>
  <si>
    <t>Зорина К. М.</t>
  </si>
  <si>
    <t>Корнеева В.Ф.</t>
  </si>
  <si>
    <t>Лаврентьев А. Н.</t>
  </si>
  <si>
    <t>Малинина Т.Д.</t>
  </si>
  <si>
    <t>Чернов П.Г.</t>
  </si>
  <si>
    <t>Ильинская В.П.</t>
  </si>
  <si>
    <t>Нестерова М.С.</t>
  </si>
  <si>
    <t>Фокина А.М.</t>
  </si>
  <si>
    <t>Борисов М.И.</t>
  </si>
  <si>
    <t>Быкова А. Б.</t>
  </si>
  <si>
    <t>Васильева Т.Е.</t>
  </si>
  <si>
    <t>Захарова М.Д.</t>
  </si>
  <si>
    <t>Козлова Е.Р.</t>
  </si>
  <si>
    <t>Осипов Р.В.</t>
  </si>
  <si>
    <t>Соловьева А.М.</t>
  </si>
  <si>
    <t>Анохина А.М.</t>
  </si>
  <si>
    <t>Волошина В. Ф.</t>
  </si>
  <si>
    <t>Дорофеев Д.А.</t>
  </si>
  <si>
    <t>Майоров К.М.</t>
  </si>
  <si>
    <t>Орлов Г. А.</t>
  </si>
  <si>
    <t>Воробьева В.А.</t>
  </si>
  <si>
    <t>Калинина П. Д.</t>
  </si>
  <si>
    <t>Крылова Е.С.</t>
  </si>
  <si>
    <t>Селезнева В.И.</t>
  </si>
  <si>
    <t>Воронкова В.Н.</t>
  </si>
  <si>
    <t>Канахина А.В.</t>
  </si>
  <si>
    <t>Назарова В.И.</t>
  </si>
  <si>
    <t>Псков</t>
  </si>
  <si>
    <t>Покровский Ф.Г.</t>
  </si>
  <si>
    <t>Васильева Е.М.</t>
  </si>
  <si>
    <t>Волкова К. Д.</t>
  </si>
  <si>
    <t>Зеленин А.П.</t>
  </si>
  <si>
    <t>Лебедев С. А.</t>
  </si>
  <si>
    <t>Медведев М.И.</t>
  </si>
  <si>
    <t>Петров А. А.</t>
  </si>
  <si>
    <t>Петров И. Л.</t>
  </si>
  <si>
    <t>Петров Т. В.</t>
  </si>
  <si>
    <t>Лавров М. Г.</t>
  </si>
  <si>
    <t>Левин Е.Б.</t>
  </si>
  <si>
    <t>Васильев Д. Д.</t>
  </si>
  <si>
    <t>Жукова А. Д.</t>
  </si>
  <si>
    <t>Иванов Д. П.</t>
  </si>
  <si>
    <t>Игнатова А.И.</t>
  </si>
  <si>
    <t>Кочергин А.И.</t>
  </si>
  <si>
    <t>Воробьева А. А.</t>
  </si>
  <si>
    <t>Золотарев А.Г.</t>
  </si>
  <si>
    <t>Королева М.А.</t>
  </si>
  <si>
    <t>Макарова Е.Д.</t>
  </si>
  <si>
    <t>Соколов И.М.</t>
  </si>
  <si>
    <t>Иванов К.А.</t>
  </si>
  <si>
    <t>Комаров М.М.</t>
  </si>
  <si>
    <t>Кузьмин С.М.</t>
  </si>
  <si>
    <t>Островская В. К.</t>
  </si>
  <si>
    <t>Панова М. Е.</t>
  </si>
  <si>
    <t>Прокофьева М.В.</t>
  </si>
  <si>
    <t>Рогов Д.М.</t>
  </si>
  <si>
    <t>Соколова В.А.</t>
  </si>
  <si>
    <t>Фролова А.А.</t>
  </si>
  <si>
    <t>Владимирова А.М.</t>
  </si>
  <si>
    <t>Данилова М.Г.</t>
  </si>
  <si>
    <t>Демьянов Н.Л.</t>
  </si>
  <si>
    <t>Золотарева А.Ф.</t>
  </si>
  <si>
    <t>Иванова Т.В.</t>
  </si>
  <si>
    <t>Коновалов Т. Е.</t>
  </si>
  <si>
    <t>Крылов С.М.</t>
  </si>
  <si>
    <t>Осипова А. М.</t>
  </si>
  <si>
    <t>Воронцов М.К.</t>
  </si>
  <si>
    <t>Громов Д.М.</t>
  </si>
  <si>
    <t>Тихонова А.М.</t>
  </si>
  <si>
    <t>Александрова А.А.</t>
  </si>
  <si>
    <t>Быков Л.Н.</t>
  </si>
  <si>
    <t>Иванов А.М.</t>
  </si>
  <si>
    <t>Киселева В.Л.</t>
  </si>
  <si>
    <t>Кочергина С. И.</t>
  </si>
  <si>
    <t>Кузнецова А.Е.</t>
  </si>
  <si>
    <t>Виноградов Б. А.</t>
  </si>
  <si>
    <t>Иванов П. Р.</t>
  </si>
  <si>
    <t>Вавилов М. Я.</t>
  </si>
  <si>
    <t>Гришин Ф.В.</t>
  </si>
  <si>
    <t>Иванов Е.В.</t>
  </si>
  <si>
    <t>Логинова М. К.</t>
  </si>
  <si>
    <t>Макарова А.А.</t>
  </si>
  <si>
    <t>Сафонов Е.Я.</t>
  </si>
  <si>
    <t>Смирнов С.М.</t>
  </si>
  <si>
    <t>Фетисов С.И.</t>
  </si>
  <si>
    <t>Менеджер по продажам</t>
  </si>
  <si>
    <t>Персональная скидка менеджмера</t>
  </si>
  <si>
    <t>Дата</t>
  </si>
  <si>
    <t>Город отправления</t>
  </si>
  <si>
    <t>Гаврилов Н.А.</t>
  </si>
  <si>
    <t>Иванов К.Г.</t>
  </si>
  <si>
    <t>Никифорова В.М.</t>
  </si>
  <si>
    <t>Петров М.В.</t>
  </si>
  <si>
    <t>Соколов Г.П.</t>
  </si>
  <si>
    <t>id департамента</t>
  </si>
  <si>
    <t>№ договора</t>
  </si>
  <si>
    <t>Дата продажи (Месяц)</t>
  </si>
  <si>
    <t>Валовая себестоимость, тс. единицы, руб</t>
  </si>
  <si>
    <t>Полная себестоимость единицы, руб.</t>
  </si>
  <si>
    <t>Цена за единицу (с учетом наценки продавца), руб.</t>
  </si>
  <si>
    <t>Персональная скидка менеджера</t>
  </si>
  <si>
    <t>Цена продажи с учетом персональной скидки, руб.</t>
  </si>
  <si>
    <t xml:space="preserve"> Комиссия продавца, руб.</t>
  </si>
  <si>
    <t>Названия строк</t>
  </si>
  <si>
    <t>Количество по полю № договора</t>
  </si>
  <si>
    <t>ВЫРУЧКА</t>
  </si>
  <si>
    <t>Валовая себестоимость пр. продукции</t>
  </si>
  <si>
    <t>Валовая прибыль проданной продукции, руб.</t>
  </si>
  <si>
    <t>Полная себестоимость  продукции, руб.</t>
  </si>
  <si>
    <t>Комиссия менеджера, руб.</t>
  </si>
  <si>
    <t xml:space="preserve"> Страховые взносы на нач.комиссию</t>
  </si>
  <si>
    <t xml:space="preserve"> Операционная прибыль</t>
  </si>
  <si>
    <t>фев</t>
  </si>
  <si>
    <t>янв</t>
  </si>
  <si>
    <t>мар</t>
  </si>
  <si>
    <t>Общий итог</t>
  </si>
  <si>
    <t xml:space="preserve">                 </t>
  </si>
  <si>
    <t>2</t>
  </si>
  <si>
    <t>Комиссия продавца, руб.</t>
  </si>
  <si>
    <t>Месяцы</t>
  </si>
  <si>
    <t>3</t>
  </si>
  <si>
    <t xml:space="preserve">id департамента </t>
  </si>
  <si>
    <t>Бренд</t>
  </si>
  <si>
    <t>Квартал</t>
  </si>
  <si>
    <t>Комиссия продавца, %</t>
  </si>
  <si>
    <t>рентабельность</t>
  </si>
  <si>
    <t>Porto</t>
  </si>
  <si>
    <t>Person</t>
  </si>
  <si>
    <t>Colisto</t>
  </si>
  <si>
    <t>Gmt</t>
  </si>
  <si>
    <t>(Все)</t>
  </si>
  <si>
    <t xml:space="preserve">Полная себестоимость единицы, руб.   </t>
  </si>
  <si>
    <t xml:space="preserve">  Операционная прибыль, руб. </t>
  </si>
  <si>
    <t>(пусто)</t>
  </si>
  <si>
    <t>Виды товаров</t>
  </si>
  <si>
    <t>Сумма по столбцу Валовая себестоимость, тс. единицы, руб</t>
  </si>
  <si>
    <t>Бразилия</t>
  </si>
  <si>
    <t>Китай</t>
  </si>
  <si>
    <t>Португалия</t>
  </si>
  <si>
    <t>Россия</t>
  </si>
  <si>
    <t>рент = операционная/выручка(цена продажи с учетом скидки)</t>
  </si>
  <si>
    <t>Номер департамента</t>
  </si>
  <si>
    <t>месяц</t>
  </si>
  <si>
    <t>план</t>
  </si>
  <si>
    <t>факт</t>
  </si>
  <si>
    <t>янв-23</t>
  </si>
  <si>
    <t>1 департамент</t>
  </si>
  <si>
    <t>фев-23</t>
  </si>
  <si>
    <t>мар-23</t>
  </si>
  <si>
    <t>2 департамент</t>
  </si>
  <si>
    <t>3 департамент</t>
  </si>
  <si>
    <t>ФИО менеджера</t>
  </si>
  <si>
    <t>Сумма по полю Валовая себестоимость, тс. единицы, руб</t>
  </si>
  <si>
    <t>Сумма по полю Цена продажи с учетом персональной скидки, руб.</t>
  </si>
  <si>
    <t>Количество по полю Цена продажи с учетом персональной скидки, руб.</t>
  </si>
  <si>
    <t>Выручка</t>
  </si>
  <si>
    <t>Сумма по полю Операционная прибыль, руб.</t>
  </si>
  <si>
    <t>Сумма по полю Полная себестоимость единицы, руб.</t>
  </si>
  <si>
    <t>Наименовани не товара</t>
  </si>
  <si>
    <t>Переходящий остаток с прошлого периода</t>
  </si>
  <si>
    <t>Закупочная цена перехода с прошлого периода</t>
  </si>
  <si>
    <t>Количество товара, закупленного на начало периода</t>
  </si>
  <si>
    <t>Закупочная цена на складе с учетом доставки</t>
  </si>
  <si>
    <t>Количество товара на складе на начало периода</t>
  </si>
  <si>
    <t>Средняя цена</t>
  </si>
  <si>
    <t>Себестоимость товара с учетом постоянных расходов</t>
  </si>
  <si>
    <t>Продано единиц товара</t>
  </si>
  <si>
    <t>Продано единиц товара, %</t>
  </si>
  <si>
    <t>Количество товара на складе на конец периода</t>
  </si>
  <si>
    <t>№ департамента</t>
  </si>
  <si>
    <t>% комиссии</t>
  </si>
  <si>
    <t>Постоянные издержки</t>
  </si>
  <si>
    <t xml:space="preserve"> Сумма, руб./квартал.</t>
  </si>
  <si>
    <t>Номер департамента /</t>
  </si>
  <si>
    <t>Месяц</t>
  </si>
  <si>
    <t>Заработная плата сотрудников</t>
  </si>
  <si>
    <t>Страховые отчисления (30,2% от з/п сотрудников)</t>
  </si>
  <si>
    <t>Департамент 1</t>
  </si>
  <si>
    <t>январь</t>
  </si>
  <si>
    <t>февраль</t>
  </si>
  <si>
    <t>март</t>
  </si>
  <si>
    <t>апрель</t>
  </si>
  <si>
    <t>май</t>
  </si>
  <si>
    <t>июнь</t>
  </si>
  <si>
    <t>Управленческие расходы</t>
  </si>
  <si>
    <t>Аренда помещений</t>
  </si>
  <si>
    <t>Итого</t>
  </si>
  <si>
    <t>Товар</t>
  </si>
  <si>
    <t>Доля каждого вида товара %</t>
  </si>
  <si>
    <t>Постоянные издержки, распределенные по доле всего объема товара на складе</t>
  </si>
  <si>
    <t>Надбавка на единицу товара, руб.</t>
  </si>
  <si>
    <t>Департамент 2</t>
  </si>
  <si>
    <t>Страна поставщика</t>
  </si>
  <si>
    <t>ИТОГО</t>
  </si>
  <si>
    <t>Департамент 3</t>
  </si>
  <si>
    <t>Показатель</t>
  </si>
  <si>
    <t>отклонение, %</t>
  </si>
  <si>
    <r>
      <rPr>
        <b/>
        <sz val="11"/>
        <color theme="1"/>
        <rFont val="Calibri"/>
        <family val="2"/>
        <charset val="204"/>
        <scheme val="minor"/>
      </rPr>
      <t>«Горячие» клавиши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</si>
  <si>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Макрос</t>
  </si>
  <si>
    <t xml:space="preserve">Ctrl+e </t>
  </si>
  <si>
    <t>Открытие формы данных на листе «Журнал учета договоров»</t>
  </si>
  <si>
    <t>Ctrl+g</t>
  </si>
  <si>
    <t>Открытие листа «Склад»</t>
  </si>
  <si>
    <t>Ctrl+j</t>
  </si>
  <si>
    <t>Открытие листа id 1</t>
  </si>
  <si>
    <t>Ctrl+k</t>
  </si>
  <si>
    <t>Открытие листа id 2</t>
  </si>
  <si>
    <t>Ctrl+l</t>
  </si>
  <si>
    <t>Открытие листа id 3</t>
  </si>
  <si>
    <t>Ctrl+q</t>
  </si>
  <si>
    <t>Открытие листа «Итоговые таблицы»</t>
  </si>
  <si>
    <t>Ctrl+n</t>
  </si>
  <si>
    <t>Открытие листа «Отчет за 1 кв. 2023»</t>
  </si>
  <si>
    <t xml:space="preserve">Ctrl+y </t>
  </si>
  <si>
    <t>Открытие листа «Дашборд»</t>
  </si>
  <si>
    <t>Ctrl+o</t>
  </si>
  <si>
    <t>Открытие листа «Справочная информация»</t>
  </si>
  <si>
    <t>Ctrl+r</t>
  </si>
  <si>
    <t>Обновление информационной системы</t>
  </si>
  <si>
    <t>Сумма по полю Рентабельность2</t>
  </si>
  <si>
    <t>Сумма по полю рент80</t>
  </si>
  <si>
    <t>Пробов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</si>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</sst>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₽&quot;_-;\-* #,##0.00\ &quot;₽&quot;_-;_-* &quot;-&quot;??\ &quot;₽&quot;_-;_-@_-"/>
    <numFmt numFmtId="164" formatCode="\1\-#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theme="4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9" fontId="1" fillId="0" borderId="0" applyFont="0" applyFill="0" applyBorder="0" applyAlignment="0" applyProtection="0"/>
  </cellStyleXfs>
  <cellXfs count="102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6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9" fontId="0" fillId="0" borderId="10" xfId="0" applyNumberFormat="1" applyBorder="1"/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0" fillId="0" borderId="10" xfId="0" applyNumberFormat="1" applyBorder="1"/>
    <xf numFmtId="9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0" xfId="0" pivotButton="1" applyNumberFormat="1"/>
    <xf numFmtId="0" fontId="0" fillId="0" borderId="0" xfId="0" applyAlignment="1">
      <alignment horizontal="left" indent="1"/>
    </xf>
    <xf numFmtId="0" fontId="20" fillId="0" borderId="13" xfId="0" applyFont="1" applyBorder="1" applyAlignment="1">
      <alignment horizontal="center" vertical="center" wrapText="1"/>
    </xf>
    <xf numFmtId="4" fontId="20" fillId="0" borderId="17" xfId="0" applyNumberFormat="1" applyFont="1" applyBorder="1" applyAlignment="1">
      <alignment horizontal="center" vertical="center" wrapText="1"/>
    </xf>
    <xf numFmtId="0" fontId="21" fillId="0" borderId="17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 wrapText="1"/>
    </xf>
    <xf numFmtId="4" fontId="22" fillId="0" borderId="17" xfId="0" applyNumberFormat="1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2" fontId="0" fillId="0" borderId="0" xfId="0" applyNumberFormat="1"/>
    <xf numFmtId="10" fontId="0" fillId="0" borderId="0" xfId="0" applyNumberFormat="1"/>
    <xf numFmtId="0" fontId="22" fillId="0" borderId="0" xfId="0" applyFont="1" applyAlignment="1">
      <alignment horizontal="center" vertical="center" wrapText="1"/>
    </xf>
    <xf numFmtId="4" fontId="22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 indent="4"/>
    </xf>
    <xf numFmtId="0" fontId="20" fillId="0" borderId="0" xfId="0" applyFont="1" applyAlignment="1">
      <alignment horizontal="left" vertical="center" wrapText="1" indent="5"/>
    </xf>
    <xf numFmtId="4" fontId="20" fillId="0" borderId="0" xfId="0" applyNumberFormat="1" applyFont="1" applyAlignment="1">
      <alignment horizontal="center" vertical="center" wrapText="1"/>
    </xf>
    <xf numFmtId="0" fontId="20" fillId="0" borderId="10" xfId="0" applyFont="1" applyBorder="1" applyAlignment="1">
      <alignment horizontal="left" vertical="center" wrapText="1" indent="4"/>
    </xf>
    <xf numFmtId="0" fontId="20" fillId="0" borderId="10" xfId="0" applyFont="1" applyBorder="1" applyAlignment="1">
      <alignment horizontal="left" vertical="center" wrapText="1" indent="5"/>
    </xf>
    <xf numFmtId="0" fontId="20" fillId="0" borderId="10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49" fontId="0" fillId="0" borderId="10" xfId="0" applyNumberFormat="1" applyBorder="1"/>
    <xf numFmtId="0" fontId="23" fillId="0" borderId="0" xfId="0" applyFont="1"/>
    <xf numFmtId="0" fontId="16" fillId="0" borderId="0" xfId="0" applyFont="1"/>
    <xf numFmtId="0" fontId="16" fillId="33" borderId="20" xfId="0" applyFont="1" applyFill="1" applyBorder="1"/>
    <xf numFmtId="0" fontId="16" fillId="33" borderId="21" xfId="0" applyFont="1" applyFill="1" applyBorder="1" applyAlignment="1">
      <alignment horizontal="left"/>
    </xf>
    <xf numFmtId="0" fontId="16" fillId="33" borderId="21" xfId="0" applyFont="1" applyFill="1" applyBorder="1"/>
    <xf numFmtId="14" fontId="0" fillId="0" borderId="0" xfId="0" applyNumberFormat="1" applyAlignment="1">
      <alignment horizontal="left" indent="1"/>
    </xf>
    <xf numFmtId="14" fontId="24" fillId="0" borderId="0" xfId="0" applyNumberFormat="1" applyFont="1"/>
    <xf numFmtId="9" fontId="0" fillId="0" borderId="0" xfId="43" applyFont="1"/>
    <xf numFmtId="0" fontId="0" fillId="0" borderId="10" xfId="0" applyBorder="1" applyAlignment="1">
      <alignment vertical="center"/>
    </xf>
    <xf numFmtId="0" fontId="16" fillId="0" borderId="10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20" fillId="0" borderId="17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0" xfId="0" applyNumberFormat="1"/>
    <xf numFmtId="0" fontId="0" fillId="0" borderId="24" xfId="0" applyBorder="1"/>
    <xf numFmtId="0" fontId="0" fillId="0" borderId="25" xfId="0" applyBorder="1"/>
    <xf numFmtId="0" fontId="0" fillId="0" borderId="29" xfId="0" applyBorder="1"/>
    <xf numFmtId="0" fontId="0" fillId="0" borderId="30" xfId="0" applyBorder="1"/>
    <xf numFmtId="10" fontId="0" fillId="0" borderId="30" xfId="0" applyNumberFormat="1" applyBorder="1"/>
    <xf numFmtId="0" fontId="0" fillId="0" borderId="35" xfId="0" applyBorder="1"/>
    <xf numFmtId="10" fontId="0" fillId="0" borderId="35" xfId="0" applyNumberFormat="1" applyBorder="1"/>
    <xf numFmtId="10" fontId="0" fillId="0" borderId="36" xfId="0" applyNumberForma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10" xfId="0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3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₽&quot;_-;\-* #,##0.00\ &quot;₽&quot;_-;_-* &quot;-&quot;??\ &quot;₽&quot;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textRotation="0" indent="0" justifyLastLine="0" shrinkToFit="0" readingOrder="0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numFmt numFmtId="164" formatCode="\1\-#"/>
    </dxf>
    <dxf>
      <alignment horizontal="center"/>
    </dxf>
    <dxf>
      <numFmt numFmtId="0" formatCode="General"/>
    </dxf>
    <dxf>
      <numFmt numFmtId="19" formatCode="dd/mm/yyyy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7B10F"/>
      <color rgb="FFF2DC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9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microsoft.com/office/2011/relationships/timelineCache" Target="timelineCaches/timelineCache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pivotCacheDefinition" Target="pivotCache/pivotCacheDefinition8.xml"/><Relationship Id="rId29" Type="http://schemas.openxmlformats.org/officeDocument/2006/relationships/sharedStrings" Target="sharedStrings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7/relationships/slicerCache" Target="slicerCaches/slicerCache2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1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[Анализ_деятельности_компании.xlsm]Дашборд1!Сводная таблица2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 продаж </a:t>
            </a:r>
          </a:p>
          <a:p>
            <a:pPr>
              <a:defRPr/>
            </a:pPr>
            <a:r>
              <a:rPr lang="ru-RU"/>
              <a:t>(по видам продукции, доля)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Дашборд1!$B$13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12-41A9-8567-BAA209F1D22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12-41A9-8567-BAA209F1D22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12-41A9-8567-BAA209F1D22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212-41A9-8567-BAA209F1D22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212-41A9-8567-BAA209F1D22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212-41A9-8567-BAA209F1D22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78-4CD6-8BE2-6BD54E5D49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Дашборд1!$A$14:$A$21</c:f>
              <c:strCache>
                <c:ptCount val="7"/>
                <c:pt idx="0">
                  <c:v>Товар A</c:v>
                </c:pt>
                <c:pt idx="1">
                  <c:v>Товар B</c:v>
                </c:pt>
                <c:pt idx="2">
                  <c:v>Товар C</c:v>
                </c:pt>
                <c:pt idx="3">
                  <c:v>Товар D</c:v>
                </c:pt>
                <c:pt idx="4">
                  <c:v>Товар E</c:v>
                </c:pt>
                <c:pt idx="5">
                  <c:v>Товар F</c:v>
                </c:pt>
                <c:pt idx="6">
                  <c:v>(пусто)</c:v>
                </c:pt>
              </c:strCache>
            </c:strRef>
          </c:cat>
          <c:val>
            <c:numRef>
              <c:f>Дашборд1!$B$14:$B$21</c:f>
              <c:numCache>
                <c:formatCode>General</c:formatCode>
                <c:ptCount val="7"/>
                <c:pt idx="0">
                  <c:v>75</c:v>
                </c:pt>
                <c:pt idx="1">
                  <c:v>109</c:v>
                </c:pt>
                <c:pt idx="2">
                  <c:v>51</c:v>
                </c:pt>
                <c:pt idx="3">
                  <c:v>41</c:v>
                </c:pt>
                <c:pt idx="4">
                  <c:v>79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9-4180-B82B-F763B4D04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[Анализ_деятельности_компании.xlsm]Дашборд1!Сводная таблица4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Количество проданных товаров по департаментам за 1 кв. 2023 года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Дашборд1!$B$38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FBC-4E93-8E05-FA01BB9044C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FBC-4E93-8E05-FA01BB9044C7}"/>
              </c:ext>
            </c:extLst>
          </c:dPt>
          <c:cat>
            <c:strRef>
              <c:f>Дашборд1!$A$39:$A$42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Дашборд1!$B$39:$B$42</c:f>
              <c:numCache>
                <c:formatCode>General</c:formatCode>
                <c:ptCount val="3"/>
                <c:pt idx="0">
                  <c:v>156</c:v>
                </c:pt>
                <c:pt idx="1">
                  <c:v>169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9-40F3-8970-A9B5F822F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98106680"/>
        <c:axId val="998107008"/>
        <c:axId val="0"/>
      </c:bar3DChart>
      <c:catAx>
        <c:axId val="998106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107008"/>
        <c:crosses val="autoZero"/>
        <c:auto val="1"/>
        <c:lblAlgn val="ctr"/>
        <c:lblOffset val="100"/>
        <c:noMultiLvlLbl val="0"/>
      </c:catAx>
      <c:valAx>
        <c:axId val="99810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10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[Анализ_деятельности_компании.xlsm]Дашборд1!Сводная таблица8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Валовая себестоимость проданной продукции,</a:t>
            </a:r>
            <a:r>
              <a:rPr lang="ru-RU" baseline="0"/>
              <a:t> руб. (по стране поставщика)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Дашборд1!$E$13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Дашборд1!$D$14:$D$18</c:f>
              <c:strCache>
                <c:ptCount val="4"/>
                <c:pt idx="0">
                  <c:v>Бразилия</c:v>
                </c:pt>
                <c:pt idx="1">
                  <c:v>Китай</c:v>
                </c:pt>
                <c:pt idx="2">
                  <c:v>Португалия</c:v>
                </c:pt>
                <c:pt idx="3">
                  <c:v>Россия</c:v>
                </c:pt>
              </c:strCache>
            </c:strRef>
          </c:cat>
          <c:val>
            <c:numRef>
              <c:f>Дашборд1!$E$14:$E$18</c:f>
              <c:numCache>
                <c:formatCode>General</c:formatCode>
                <c:ptCount val="4"/>
                <c:pt idx="0">
                  <c:v>12234.749999999985</c:v>
                </c:pt>
                <c:pt idx="1">
                  <c:v>10594.800000000007</c:v>
                </c:pt>
                <c:pt idx="2">
                  <c:v>20979.600000000035</c:v>
                </c:pt>
                <c:pt idx="3">
                  <c:v>14137.199999999995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5C-493E-9B7E-C3BAFA7F4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8522336"/>
        <c:axId val="1188506528"/>
      </c:barChart>
      <c:catAx>
        <c:axId val="1188522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8506528"/>
        <c:crosses val="autoZero"/>
        <c:auto val="1"/>
        <c:lblAlgn val="ctr"/>
        <c:lblOffset val="100"/>
        <c:noMultiLvlLbl val="0"/>
      </c:catAx>
      <c:valAx>
        <c:axId val="118850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85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План и факт по объему продаж (по менеджерам)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Дашборд1!$C$62:$C$63</c:f>
              <c:strCache>
                <c:ptCount val="2"/>
                <c:pt idx="0">
                  <c:v>план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Дашборд1!$A$64:$B$82</c:f>
              <c:multiLvlStrCache>
                <c:ptCount val="19"/>
                <c:lvl>
                  <c:pt idx="0">
                    <c:v>янв-23</c:v>
                  </c:pt>
                  <c:pt idx="1">
                    <c:v>фев-23</c:v>
                  </c:pt>
                  <c:pt idx="2">
                    <c:v>мар-23</c:v>
                  </c:pt>
                  <c:pt idx="4">
                    <c:v>янв-23</c:v>
                  </c:pt>
                  <c:pt idx="5">
                    <c:v>фев-23</c:v>
                  </c:pt>
                  <c:pt idx="6">
                    <c:v>мар-23</c:v>
                  </c:pt>
                  <c:pt idx="8">
                    <c:v>янв-23</c:v>
                  </c:pt>
                  <c:pt idx="9">
                    <c:v>фев-23</c:v>
                  </c:pt>
                  <c:pt idx="10">
                    <c:v>мар-23</c:v>
                  </c:pt>
                  <c:pt idx="12">
                    <c:v>янв-23</c:v>
                  </c:pt>
                  <c:pt idx="13">
                    <c:v>фев-23</c:v>
                  </c:pt>
                  <c:pt idx="14">
                    <c:v>мар-23</c:v>
                  </c:pt>
                  <c:pt idx="16">
                    <c:v>янв-23</c:v>
                  </c:pt>
                  <c:pt idx="17">
                    <c:v>фев-23</c:v>
                  </c:pt>
                  <c:pt idx="18">
                    <c:v>мар-23</c:v>
                  </c:pt>
                </c:lvl>
                <c:lvl>
                  <c:pt idx="3">
                    <c:v>Гаврилов Н.А.</c:v>
                  </c:pt>
                  <c:pt idx="7">
                    <c:v>Петров М.В.</c:v>
                  </c:pt>
                  <c:pt idx="11">
                    <c:v>Иванов К.Г.</c:v>
                  </c:pt>
                  <c:pt idx="15">
                    <c:v>Соколов Г.П.</c:v>
                  </c:pt>
                </c:lvl>
              </c:multiLvlStrCache>
            </c:multiLvlStrRef>
          </c:cat>
          <c:val>
            <c:numRef>
              <c:f>Дашборд1!$C$64:$C$82</c:f>
              <c:numCache>
                <c:formatCode>General</c:formatCode>
                <c:ptCount val="19"/>
                <c:pt idx="0">
                  <c:v>15000</c:v>
                </c:pt>
                <c:pt idx="1">
                  <c:v>17250</c:v>
                </c:pt>
                <c:pt idx="2">
                  <c:v>22425</c:v>
                </c:pt>
                <c:pt idx="4">
                  <c:v>10000</c:v>
                </c:pt>
                <c:pt idx="5">
                  <c:v>11500</c:v>
                </c:pt>
                <c:pt idx="6">
                  <c:v>14950</c:v>
                </c:pt>
                <c:pt idx="8">
                  <c:v>18000</c:v>
                </c:pt>
                <c:pt idx="9">
                  <c:v>20700</c:v>
                </c:pt>
                <c:pt idx="10">
                  <c:v>26910</c:v>
                </c:pt>
                <c:pt idx="12">
                  <c:v>12000</c:v>
                </c:pt>
                <c:pt idx="13">
                  <c:v>13800</c:v>
                </c:pt>
                <c:pt idx="14">
                  <c:v>17940</c:v>
                </c:pt>
                <c:pt idx="16">
                  <c:v>15000</c:v>
                </c:pt>
                <c:pt idx="17">
                  <c:v>17250</c:v>
                </c:pt>
                <c:pt idx="18">
                  <c:v>22425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C-486A-ABBB-4FC4A77CCD46}"/>
            </c:ext>
          </c:extLst>
        </c:ser>
        <c:ser>
          <c:idx val="1"/>
          <c:order val="1"/>
          <c:tx>
            <c:strRef>
              <c:f>Дашборд1!$D$62:$D$63</c:f>
              <c:strCache>
                <c:ptCount val="2"/>
                <c:pt idx="0">
                  <c:v>факт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Дашборд1!$A$64:$B$82</c:f>
              <c:multiLvlStrCache>
                <c:ptCount val="19"/>
                <c:lvl>
                  <c:pt idx="0">
                    <c:v>янв-23</c:v>
                  </c:pt>
                  <c:pt idx="1">
                    <c:v>фев-23</c:v>
                  </c:pt>
                  <c:pt idx="2">
                    <c:v>мар-23</c:v>
                  </c:pt>
                  <c:pt idx="4">
                    <c:v>янв-23</c:v>
                  </c:pt>
                  <c:pt idx="5">
                    <c:v>фев-23</c:v>
                  </c:pt>
                  <c:pt idx="6">
                    <c:v>мар-23</c:v>
                  </c:pt>
                  <c:pt idx="8">
                    <c:v>янв-23</c:v>
                  </c:pt>
                  <c:pt idx="9">
                    <c:v>фев-23</c:v>
                  </c:pt>
                  <c:pt idx="10">
                    <c:v>мар-23</c:v>
                  </c:pt>
                  <c:pt idx="12">
                    <c:v>янв-23</c:v>
                  </c:pt>
                  <c:pt idx="13">
                    <c:v>фев-23</c:v>
                  </c:pt>
                  <c:pt idx="14">
                    <c:v>мар-23</c:v>
                  </c:pt>
                  <c:pt idx="16">
                    <c:v>янв-23</c:v>
                  </c:pt>
                  <c:pt idx="17">
                    <c:v>фев-23</c:v>
                  </c:pt>
                  <c:pt idx="18">
                    <c:v>мар-23</c:v>
                  </c:pt>
                </c:lvl>
                <c:lvl>
                  <c:pt idx="3">
                    <c:v>Гаврилов Н.А.</c:v>
                  </c:pt>
                  <c:pt idx="7">
                    <c:v>Петров М.В.</c:v>
                  </c:pt>
                  <c:pt idx="11">
                    <c:v>Иванов К.Г.</c:v>
                  </c:pt>
                  <c:pt idx="15">
                    <c:v>Соколов Г.П.</c:v>
                  </c:pt>
                </c:lvl>
              </c:multiLvlStrCache>
            </c:multiLvlStrRef>
          </c:cat>
          <c:val>
            <c:numRef>
              <c:f>Дашборд1!$D$64:$D$82</c:f>
              <c:numCache>
                <c:formatCode>General</c:formatCode>
                <c:ptCount val="19"/>
                <c:pt idx="0">
                  <c:v>16472</c:v>
                </c:pt>
                <c:pt idx="1">
                  <c:v>22019</c:v>
                </c:pt>
                <c:pt idx="2">
                  <c:v>28502</c:v>
                </c:pt>
                <c:pt idx="4">
                  <c:v>19594</c:v>
                </c:pt>
                <c:pt idx="5">
                  <c:v>11511</c:v>
                </c:pt>
                <c:pt idx="6">
                  <c:v>16062</c:v>
                </c:pt>
                <c:pt idx="8">
                  <c:v>16595</c:v>
                </c:pt>
                <c:pt idx="9">
                  <c:v>24944</c:v>
                </c:pt>
                <c:pt idx="10">
                  <c:v>18566</c:v>
                </c:pt>
                <c:pt idx="12">
                  <c:v>28008</c:v>
                </c:pt>
                <c:pt idx="13">
                  <c:v>16355</c:v>
                </c:pt>
                <c:pt idx="14">
                  <c:v>20760</c:v>
                </c:pt>
                <c:pt idx="16">
                  <c:v>16445</c:v>
                </c:pt>
                <c:pt idx="17">
                  <c:v>13103</c:v>
                </c:pt>
                <c:pt idx="18">
                  <c:v>25668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C-486A-ABBB-4FC4A77CC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188529824"/>
        <c:axId val="1188545216"/>
      </c:barChart>
      <c:catAx>
        <c:axId val="118852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8545216"/>
        <c:crosses val="autoZero"/>
        <c:auto val="1"/>
        <c:lblAlgn val="ctr"/>
        <c:lblOffset val="100"/>
        <c:noMultiLvlLbl val="0"/>
      </c:catAx>
      <c:valAx>
        <c:axId val="118854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852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План</a:t>
            </a:r>
            <a:r>
              <a:rPr lang="ru-RU" baseline="0"/>
              <a:t> и факт по объему продаж (по департаментам)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Дашборд1!$C$46</c:f>
              <c:strCache>
                <c:ptCount val="1"/>
                <c:pt idx="0">
                  <c:v>план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Дашборд1!$A$47:$B$58</c:f>
              <c:multiLvlStrCache>
                <c:ptCount val="12"/>
                <c:lvl>
                  <c:pt idx="1">
                    <c:v>янв-23</c:v>
                  </c:pt>
                  <c:pt idx="2">
                    <c:v>фев-23</c:v>
                  </c:pt>
                  <c:pt idx="3">
                    <c:v>мар-23</c:v>
                  </c:pt>
                  <c:pt idx="5">
                    <c:v>янв-23</c:v>
                  </c:pt>
                  <c:pt idx="6">
                    <c:v>фев-23</c:v>
                  </c:pt>
                  <c:pt idx="7">
                    <c:v>мар-23</c:v>
                  </c:pt>
                  <c:pt idx="9">
                    <c:v>янв-23</c:v>
                  </c:pt>
                  <c:pt idx="10">
                    <c:v>фев-23</c:v>
                  </c:pt>
                  <c:pt idx="11">
                    <c:v>мар-23</c:v>
                  </c:pt>
                </c:lvl>
                <c:lvl>
                  <c:pt idx="2">
                    <c:v>1 департамент</c:v>
                  </c:pt>
                  <c:pt idx="6">
                    <c:v>2 департамент</c:v>
                  </c:pt>
                  <c:pt idx="10">
                    <c:v>3 департамент</c:v>
                  </c:pt>
                </c:lvl>
              </c:multiLvlStrCache>
            </c:multiLvlStrRef>
          </c:cat>
          <c:val>
            <c:numRef>
              <c:f>Дашборд1!$C$47:$C$58</c:f>
              <c:numCache>
                <c:formatCode>General</c:formatCode>
                <c:ptCount val="12"/>
                <c:pt idx="1">
                  <c:v>25000</c:v>
                </c:pt>
                <c:pt idx="2">
                  <c:v>28750</c:v>
                </c:pt>
                <c:pt idx="3">
                  <c:v>37375</c:v>
                </c:pt>
                <c:pt idx="5">
                  <c:v>30000</c:v>
                </c:pt>
                <c:pt idx="6">
                  <c:v>34500</c:v>
                </c:pt>
                <c:pt idx="7">
                  <c:v>44850</c:v>
                </c:pt>
                <c:pt idx="9">
                  <c:v>15000</c:v>
                </c:pt>
                <c:pt idx="10">
                  <c:v>17250</c:v>
                </c:pt>
                <c:pt idx="11">
                  <c:v>22425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F-497C-B001-6C0B6A19B806}"/>
            </c:ext>
          </c:extLst>
        </c:ser>
        <c:ser>
          <c:idx val="1"/>
          <c:order val="1"/>
          <c:tx>
            <c:strRef>
              <c:f>Дашборд1!$D$46</c:f>
              <c:strCache>
                <c:ptCount val="1"/>
                <c:pt idx="0">
                  <c:v>факт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Дашборд1!$A$47:$B$58</c:f>
              <c:multiLvlStrCache>
                <c:ptCount val="12"/>
                <c:lvl>
                  <c:pt idx="1">
                    <c:v>янв-23</c:v>
                  </c:pt>
                  <c:pt idx="2">
                    <c:v>фев-23</c:v>
                  </c:pt>
                  <c:pt idx="3">
                    <c:v>мар-23</c:v>
                  </c:pt>
                  <c:pt idx="5">
                    <c:v>янв-23</c:v>
                  </c:pt>
                  <c:pt idx="6">
                    <c:v>фев-23</c:v>
                  </c:pt>
                  <c:pt idx="7">
                    <c:v>мар-23</c:v>
                  </c:pt>
                  <c:pt idx="9">
                    <c:v>янв-23</c:v>
                  </c:pt>
                  <c:pt idx="10">
                    <c:v>фев-23</c:v>
                  </c:pt>
                  <c:pt idx="11">
                    <c:v>мар-23</c:v>
                  </c:pt>
                </c:lvl>
                <c:lvl>
                  <c:pt idx="2">
                    <c:v>1 департамент</c:v>
                  </c:pt>
                  <c:pt idx="6">
                    <c:v>2 департамент</c:v>
                  </c:pt>
                  <c:pt idx="10">
                    <c:v>3 департамент</c:v>
                  </c:pt>
                </c:lvl>
              </c:multiLvlStrCache>
            </c:multiLvlStrRef>
          </c:cat>
          <c:val>
            <c:numRef>
              <c:f>Дашборд1!$D$47:$D$58</c:f>
              <c:numCache>
                <c:formatCode>General</c:formatCode>
                <c:ptCount val="12"/>
                <c:pt idx="1">
                  <c:v>36066</c:v>
                </c:pt>
                <c:pt idx="2">
                  <c:v>33530</c:v>
                </c:pt>
                <c:pt idx="3">
                  <c:v>44564</c:v>
                </c:pt>
                <c:pt idx="5">
                  <c:v>44603</c:v>
                </c:pt>
                <c:pt idx="6">
                  <c:v>41299</c:v>
                </c:pt>
                <c:pt idx="7">
                  <c:v>39326</c:v>
                </c:pt>
                <c:pt idx="9">
                  <c:v>16445</c:v>
                </c:pt>
                <c:pt idx="10">
                  <c:v>13103</c:v>
                </c:pt>
                <c:pt idx="11">
                  <c:v>25668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2F-497C-B001-6C0B6A19B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210255"/>
        <c:axId val="157208591"/>
      </c:lineChart>
      <c:catAx>
        <c:axId val="15721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208591"/>
        <c:crosses val="autoZero"/>
        <c:auto val="1"/>
        <c:lblAlgn val="ctr"/>
        <c:lblOffset val="100"/>
        <c:noMultiLvlLbl val="0"/>
      </c:catAx>
      <c:valAx>
        <c:axId val="15720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210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[Анализ_деятельности_компании.xlsm]Дашборд1!Сводная таблица3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</a:t>
            </a:r>
            <a:r>
              <a:rPr lang="ru-RU" baseline="0"/>
              <a:t> заключенных договоров</a:t>
            </a:r>
          </a:p>
          <a:p>
            <a:pPr>
              <a:defRPr/>
            </a:pPr>
            <a:r>
              <a:rPr lang="ru-RU" baseline="0"/>
              <a:t>(по менеджерам)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8571758643179469E-2"/>
              <c:y val="-5.28378302222555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2.4143286236133332E-2"/>
              <c:y val="-5.28378302222555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2.2286110371815382E-2"/>
              <c:y val="-6.24447084444837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8575835996723047E-2"/>
              <c:y val="-4.78652296042299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2.414858679573996E-2"/>
              <c:y val="-6.70113214459219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Дашборд1!$B$25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E3BD-4F80-9A86-B4559344BCA8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BD-4F80-9A86-B4559344BCA8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3BD-4F80-9A86-B4559344BCA8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BD-4F80-9A86-B4559344BCA8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3BD-4F80-9A86-B4559344BCA8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A22-4139-89C1-58128A00FCFC}"/>
              </c:ext>
            </c:extLst>
          </c:dPt>
          <c:dLbls>
            <c:dLbl>
              <c:idx val="0"/>
              <c:layout>
                <c:manualLayout>
                  <c:x val="-1.8571758643179469E-2"/>
                  <c:y val="-5.28378302222555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BD-4F80-9A86-B4559344BCA8}"/>
                </c:ext>
              </c:extLst>
            </c:dLbl>
            <c:dLbl>
              <c:idx val="1"/>
              <c:layout>
                <c:manualLayout>
                  <c:x val="-2.4143286236133332E-2"/>
                  <c:y val="-5.28378302222555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BD-4F80-9A86-B4559344BCA8}"/>
                </c:ext>
              </c:extLst>
            </c:dLbl>
            <c:dLbl>
              <c:idx val="2"/>
              <c:layout>
                <c:manualLayout>
                  <c:x val="-2.2286110371815382E-2"/>
                  <c:y val="-6.2444708444483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BD-4F80-9A86-B4559344BCA8}"/>
                </c:ext>
              </c:extLst>
            </c:dLbl>
            <c:dLbl>
              <c:idx val="3"/>
              <c:layout>
                <c:manualLayout>
                  <c:x val="-1.8575835996723047E-2"/>
                  <c:y val="-4.78652296042299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BD-4F80-9A86-B4559344BCA8}"/>
                </c:ext>
              </c:extLst>
            </c:dLbl>
            <c:dLbl>
              <c:idx val="4"/>
              <c:layout>
                <c:manualLayout>
                  <c:x val="-2.414858679573996E-2"/>
                  <c:y val="-6.70113214459219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BD-4F80-9A86-B4559344BCA8}"/>
                </c:ext>
              </c:extLst>
            </c:dLbl>
            <c:dLbl>
              <c:idx val="5"/>
              <c:layout>
                <c:manualLayout>
                  <c:x val="-1.8571758643179469E-2"/>
                  <c:y val="-5.28378302222555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22-4139-89C1-58128A00FC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Дашборд1!$A$26:$A$32</c:f>
              <c:strCache>
                <c:ptCount val="6"/>
                <c:pt idx="0">
                  <c:v>Гаврилов Н.А.</c:v>
                </c:pt>
                <c:pt idx="1">
                  <c:v>Иванов К.Г.</c:v>
                </c:pt>
                <c:pt idx="2">
                  <c:v>Никифорова В.М.</c:v>
                </c:pt>
                <c:pt idx="3">
                  <c:v>Петров М.В.</c:v>
                </c:pt>
                <c:pt idx="4">
                  <c:v>Соколов Г.П.</c:v>
                </c:pt>
                <c:pt idx="5">
                  <c:v>(пусто)</c:v>
                </c:pt>
              </c:strCache>
            </c:strRef>
          </c:cat>
          <c:val>
            <c:numRef>
              <c:f>Дашборд1!$B$26:$B$32</c:f>
              <c:numCache>
                <c:formatCode>General</c:formatCode>
                <c:ptCount val="6"/>
                <c:pt idx="0">
                  <c:v>66</c:v>
                </c:pt>
                <c:pt idx="1">
                  <c:v>87</c:v>
                </c:pt>
                <c:pt idx="2">
                  <c:v>90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3-4C83-BAFD-0D4860B637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8136400"/>
        <c:axId val="708129184"/>
      </c:lineChart>
      <c:catAx>
        <c:axId val="70813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8129184"/>
        <c:crosses val="autoZero"/>
        <c:auto val="1"/>
        <c:lblAlgn val="ctr"/>
        <c:lblOffset val="100"/>
        <c:noMultiLvlLbl val="0"/>
      </c:catAx>
      <c:valAx>
        <c:axId val="7081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81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[Анализ_деятельности_компании.xlsm]Дашборд1!Сводная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300"/>
              <a:t>Финансовые результаты за 1 кв. 2023 года,</a:t>
            </a:r>
            <a:r>
              <a:rPr lang="ru-RU" sz="1300" baseline="0"/>
              <a:t> руб.</a:t>
            </a:r>
          </a:p>
          <a:p>
            <a:pPr>
              <a:defRPr/>
            </a:pPr>
            <a:r>
              <a:rPr lang="ru-RU" sz="1300" baseline="0"/>
              <a:t>(по департаментам)</a:t>
            </a:r>
            <a:endParaRPr lang="ru-RU" sz="1300"/>
          </a:p>
        </c:rich>
      </c:tx>
      <c:layout>
        <c:manualLayout>
          <c:xMode val="edge"/>
          <c:yMode val="edge"/>
          <c:x val="0.1376804461942257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5905468957760735E-2"/>
              <c:y val="4.77399983113168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366137714790067E-2"/>
              <c:y val="-4.77399983113168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7322754295802163E-3"/>
              <c:y val="2.9378460499271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70019816920983E-2"/>
              <c:y val="4.40676907489078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6102295246501156E-2"/>
              <c:y val="-4.40676907489079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1.3464550859160268E-2"/>
              <c:y val="2.57061529368627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5.6102295246501115E-2"/>
              <c:y val="3.30507680616808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4.9370019816921025E-2"/>
              <c:y val="4.40676907489077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2.2440918098600448E-2"/>
              <c:y val="-4.40676907489078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946981627296587"/>
          <c:y val="0.17634259259259263"/>
          <c:w val="0.51051202974628174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Дашборд1!$B$3</c:f>
              <c:strCache>
                <c:ptCount val="1"/>
                <c:pt idx="0">
                  <c:v>ВЫРУЧКА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434-4DD4-8647-9C5A26BB8C1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34-4DD4-8647-9C5A26BB8C1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434-4DD4-8647-9C5A26BB8C1E}"/>
              </c:ext>
            </c:extLst>
          </c:dPt>
          <c:dLbls>
            <c:dLbl>
              <c:idx val="0"/>
              <c:layout>
                <c:manualLayout>
                  <c:x val="-3.5905468957760735E-2"/>
                  <c:y val="4.77399983113168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34-4DD4-8647-9C5A26BB8C1E}"/>
                </c:ext>
              </c:extLst>
            </c:dLbl>
            <c:dLbl>
              <c:idx val="1"/>
              <c:layout>
                <c:manualLayout>
                  <c:x val="-3.366137714790067E-2"/>
                  <c:y val="-4.77399983113168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34-4DD4-8647-9C5A26BB8C1E}"/>
                </c:ext>
              </c:extLst>
            </c:dLbl>
            <c:dLbl>
              <c:idx val="2"/>
              <c:layout>
                <c:manualLayout>
                  <c:x val="-6.7322754295802163E-3"/>
                  <c:y val="2.93784604992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34-4DD4-8647-9C5A26BB8C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Дашборд1!$A$4:$A$8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(пусто)</c:v>
                </c:pt>
              </c:strCache>
            </c:strRef>
          </c:cat>
          <c:val>
            <c:numRef>
              <c:f>Дашборд1!$B$4:$B$8</c:f>
              <c:numCache>
                <c:formatCode>General</c:formatCode>
                <c:ptCount val="4"/>
                <c:pt idx="0">
                  <c:v>114160</c:v>
                </c:pt>
                <c:pt idx="1">
                  <c:v>125228</c:v>
                </c:pt>
                <c:pt idx="2">
                  <c:v>55216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3-4A0F-822E-6A780D0C9FC3}"/>
            </c:ext>
          </c:extLst>
        </c:ser>
        <c:ser>
          <c:idx val="1"/>
          <c:order val="1"/>
          <c:tx>
            <c:strRef>
              <c:f>Дашборд1!$C$3</c:f>
              <c:strCache>
                <c:ptCount val="1"/>
                <c:pt idx="0">
                  <c:v>Полная себестоимость единицы, руб.  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34-4DD4-8647-9C5A26BB8C1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434-4DD4-8647-9C5A26BB8C1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34-4DD4-8647-9C5A26BB8C1E}"/>
              </c:ext>
            </c:extLst>
          </c:dPt>
          <c:dLbls>
            <c:dLbl>
              <c:idx val="0"/>
              <c:layout>
                <c:manualLayout>
                  <c:x val="-4.9370019816920983E-2"/>
                  <c:y val="4.4067690748907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34-4DD4-8647-9C5A26BB8C1E}"/>
                </c:ext>
              </c:extLst>
            </c:dLbl>
            <c:dLbl>
              <c:idx val="1"/>
              <c:layout>
                <c:manualLayout>
                  <c:x val="-5.6102295246501156E-2"/>
                  <c:y val="-4.40676907489079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34-4DD4-8647-9C5A26BB8C1E}"/>
                </c:ext>
              </c:extLst>
            </c:dLbl>
            <c:dLbl>
              <c:idx val="2"/>
              <c:layout>
                <c:manualLayout>
                  <c:x val="-1.3464550859160268E-2"/>
                  <c:y val="2.5706152936862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34-4DD4-8647-9C5A26BB8C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Дашборд1!$A$4:$A$8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(пусто)</c:v>
                </c:pt>
              </c:strCache>
            </c:strRef>
          </c:cat>
          <c:val>
            <c:numRef>
              <c:f>Дашборд1!$C$4:$C$8</c:f>
              <c:numCache>
                <c:formatCode>General</c:formatCode>
                <c:ptCount val="4"/>
                <c:pt idx="0">
                  <c:v>75990.880000000048</c:v>
                </c:pt>
                <c:pt idx="1">
                  <c:v>82940.880000000121</c:v>
                </c:pt>
                <c:pt idx="2">
                  <c:v>36746.589999999946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3-4A0F-822E-6A780D0C9FC3}"/>
            </c:ext>
          </c:extLst>
        </c:ser>
        <c:ser>
          <c:idx val="2"/>
          <c:order val="2"/>
          <c:tx>
            <c:strRef>
              <c:f>Дашборд1!$D$3</c:f>
              <c:strCache>
                <c:ptCount val="1"/>
                <c:pt idx="0">
                  <c:v>  Операционная прибыль, руб.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434-4DD4-8647-9C5A26BB8C1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34-4DD4-8647-9C5A26BB8C1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434-4DD4-8647-9C5A26BB8C1E}"/>
              </c:ext>
            </c:extLst>
          </c:dPt>
          <c:dLbls>
            <c:dLbl>
              <c:idx val="0"/>
              <c:layout>
                <c:manualLayout>
                  <c:x val="-5.6102295246501115E-2"/>
                  <c:y val="3.30507680616808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34-4DD4-8647-9C5A26BB8C1E}"/>
                </c:ext>
              </c:extLst>
            </c:dLbl>
            <c:dLbl>
              <c:idx val="1"/>
              <c:layout>
                <c:manualLayout>
                  <c:x val="-4.9370019816921025E-2"/>
                  <c:y val="4.40676907489077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34-4DD4-8647-9C5A26BB8C1E}"/>
                </c:ext>
              </c:extLst>
            </c:dLbl>
            <c:dLbl>
              <c:idx val="2"/>
              <c:layout>
                <c:manualLayout>
                  <c:x val="-2.2440918098600448E-2"/>
                  <c:y val="-4.4067690748907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34-4DD4-8647-9C5A26BB8C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Дашборд1!$A$4:$A$8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(пусто)</c:v>
                </c:pt>
              </c:strCache>
            </c:strRef>
          </c:cat>
          <c:val>
            <c:numRef>
              <c:f>Дашборд1!$D$4:$D$8</c:f>
              <c:numCache>
                <c:formatCode>General</c:formatCode>
                <c:ptCount val="4"/>
                <c:pt idx="0">
                  <c:v>15873.671999999962</c:v>
                </c:pt>
                <c:pt idx="1">
                  <c:v>17830.091599999905</c:v>
                </c:pt>
                <c:pt idx="2">
                  <c:v>11280.286800000054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C3-4A0F-822E-6A780D0C9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715128"/>
        <c:axId val="885716440"/>
      </c:lineChart>
      <c:catAx>
        <c:axId val="88571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5716440"/>
        <c:crosses val="autoZero"/>
        <c:auto val="1"/>
        <c:lblAlgn val="ctr"/>
        <c:lblOffset val="100"/>
        <c:noMultiLvlLbl val="0"/>
      </c:catAx>
      <c:valAx>
        <c:axId val="88571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571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109295713035876"/>
          <c:y val="0.24418817439486731"/>
          <c:w val="0.33488447723118331"/>
          <c:h val="0.305003424236672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[Анализ_деятельности_компании.xlsm]Дашборд2!Сводная таблица4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 продаж, руб</a:t>
            </a:r>
          </a:p>
          <a:p>
            <a:pPr>
              <a:defRPr/>
            </a:pPr>
            <a:r>
              <a:rPr lang="ru-RU"/>
              <a:t>(по брендам)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Дашборд2!$X$72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Дашборд2!$W$73:$W$77</c:f>
              <c:strCache>
                <c:ptCount val="4"/>
                <c:pt idx="0">
                  <c:v>Gmt</c:v>
                </c:pt>
                <c:pt idx="1">
                  <c:v>Person</c:v>
                </c:pt>
                <c:pt idx="2">
                  <c:v>Colisto</c:v>
                </c:pt>
                <c:pt idx="3">
                  <c:v>Porto</c:v>
                </c:pt>
              </c:strCache>
            </c:strRef>
          </c:cat>
          <c:val>
            <c:numRef>
              <c:f>Дашборд2!$X$73:$X$77</c:f>
              <c:numCache>
                <c:formatCode>General</c:formatCode>
                <c:ptCount val="4"/>
                <c:pt idx="0">
                  <c:v>50400</c:v>
                </c:pt>
                <c:pt idx="1">
                  <c:v>57150</c:v>
                </c:pt>
                <c:pt idx="2">
                  <c:v>67357</c:v>
                </c:pt>
                <c:pt idx="3">
                  <c:v>119697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3-4889-8B20-14FE558FF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429888"/>
        <c:axId val="870426936"/>
      </c:lineChart>
      <c:catAx>
        <c:axId val="87042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0426936"/>
        <c:crosses val="autoZero"/>
        <c:auto val="1"/>
        <c:lblAlgn val="ctr"/>
        <c:lblOffset val="100"/>
        <c:noMultiLvlLbl val="0"/>
      </c:catAx>
      <c:valAx>
        <c:axId val="8704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04298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[Анализ_деятельности_компании.xlsm]Дашборд2!Сводная таблица5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</a:t>
            </a:r>
            <a:r>
              <a:rPr lang="ru-RU" baseline="0"/>
              <a:t> продаж, руб </a:t>
            </a:r>
          </a:p>
          <a:p>
            <a:pPr>
              <a:defRPr/>
            </a:pPr>
            <a:r>
              <a:rPr lang="ru-RU" baseline="0"/>
              <a:t>(по видам продукции)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Дашборд2!$X$80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Дашборд2!$W$81:$W$87</c:f>
              <c:strCache>
                <c:ptCount val="6"/>
                <c:pt idx="0">
                  <c:v>Товар D</c:v>
                </c:pt>
                <c:pt idx="1">
                  <c:v>Товар C</c:v>
                </c:pt>
                <c:pt idx="2">
                  <c:v>Товар F</c:v>
                </c:pt>
                <c:pt idx="3">
                  <c:v>Товар E</c:v>
                </c:pt>
                <c:pt idx="4">
                  <c:v>Товар A</c:v>
                </c:pt>
                <c:pt idx="5">
                  <c:v>Товар B</c:v>
                </c:pt>
              </c:strCache>
            </c:strRef>
          </c:cat>
          <c:val>
            <c:numRef>
              <c:f>Дашборд2!$X$81:$X$87</c:f>
              <c:numCache>
                <c:formatCode>General</c:formatCode>
                <c:ptCount val="6"/>
                <c:pt idx="0">
                  <c:v>27853</c:v>
                </c:pt>
                <c:pt idx="1">
                  <c:v>35429</c:v>
                </c:pt>
                <c:pt idx="2">
                  <c:v>50400</c:v>
                </c:pt>
                <c:pt idx="3">
                  <c:v>56415</c:v>
                </c:pt>
                <c:pt idx="4">
                  <c:v>57150</c:v>
                </c:pt>
                <c:pt idx="5">
                  <c:v>67357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D-49CA-A85C-57E1812B8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6868056"/>
        <c:axId val="976863136"/>
      </c:barChart>
      <c:catAx>
        <c:axId val="97686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6863136"/>
        <c:crosses val="autoZero"/>
        <c:auto val="1"/>
        <c:lblAlgn val="ctr"/>
        <c:lblOffset val="100"/>
        <c:noMultiLvlLbl val="0"/>
      </c:catAx>
      <c:valAx>
        <c:axId val="9768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686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[Анализ_деятельности_компании.xlsm]Дашборд2!Сводная таблица6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/>
              <a:t>Количество</a:t>
            </a:r>
            <a:r>
              <a:rPr lang="ru-RU" sz="1600" baseline="0"/>
              <a:t> проданной продукции, %</a:t>
            </a:r>
          </a:p>
          <a:p>
            <a:pPr>
              <a:defRPr sz="1600"/>
            </a:pPr>
            <a:r>
              <a:rPr lang="ru-RU" sz="1600" baseline="0"/>
              <a:t>(по видам продукции)</a:t>
            </a:r>
            <a:endParaRPr lang="ru-RU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Дашборд2!$X$90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F2-45ED-9005-ED9754B548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F2-45ED-9005-ED9754B548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F2-45ED-9005-ED9754B548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F2-45ED-9005-ED9754B548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F2-45ED-9005-ED9754B548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F2-45ED-9005-ED9754B54823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Дашборд2!$W$91:$W$97</c:f>
              <c:strCache>
                <c:ptCount val="6"/>
                <c:pt idx="0">
                  <c:v>Товар A</c:v>
                </c:pt>
                <c:pt idx="1">
                  <c:v>Товар B</c:v>
                </c:pt>
                <c:pt idx="2">
                  <c:v>Товар C</c:v>
                </c:pt>
                <c:pt idx="3">
                  <c:v>Товар D</c:v>
                </c:pt>
                <c:pt idx="4">
                  <c:v>Товар E</c:v>
                </c:pt>
                <c:pt idx="5">
                  <c:v>Товар F</c:v>
                </c:pt>
              </c:strCache>
            </c:strRef>
          </c:cat>
          <c:val>
            <c:numRef>
              <c:f>Дашборд2!$X$91:$X$97</c:f>
              <c:numCache>
                <c:formatCode>0.00</c:formatCode>
                <c:ptCount val="6"/>
                <c:pt idx="0">
                  <c:v>75</c:v>
                </c:pt>
                <c:pt idx="1">
                  <c:v>109</c:v>
                </c:pt>
                <c:pt idx="2">
                  <c:v>51</c:v>
                </c:pt>
                <c:pt idx="3">
                  <c:v>41</c:v>
                </c:pt>
                <c:pt idx="4">
                  <c:v>79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88-499D-BF47-990BE75A5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2490500488546"/>
          <c:y val="0.40156571664089796"/>
          <c:w val="0.18918630663581973"/>
          <c:h val="0.468691006005108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[Анализ_деятельности_компании.xlsm]Дашборд2!Сводная таблица7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проданной продукции, %</a:t>
            </a:r>
          </a:p>
          <a:p>
            <a:pPr>
              <a:defRPr/>
            </a:pPr>
            <a:r>
              <a:rPr lang="ru-RU"/>
              <a:t>(по видам продукции)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6">
              <a:tint val="58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6">
              <a:tint val="8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6">
              <a:shade val="8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6">
              <a:shade val="58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Дашборд2!$X$108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CE-4C76-BC87-B2F73900ECCD}"/>
              </c:ext>
            </c:extLst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CE-4C76-BC87-B2F73900ECCD}"/>
              </c:ext>
            </c:extLst>
          </c:dPt>
          <c:dPt>
            <c:idx val="2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4CE-4C76-BC87-B2F73900ECCD}"/>
              </c:ext>
            </c:extLst>
          </c:dPt>
          <c:dPt>
            <c:idx val="3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4CE-4C76-BC87-B2F73900EC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Дашборд2!$W$109:$W$113</c:f>
              <c:strCache>
                <c:ptCount val="4"/>
                <c:pt idx="0">
                  <c:v>Colisto</c:v>
                </c:pt>
                <c:pt idx="1">
                  <c:v>Gmt</c:v>
                </c:pt>
                <c:pt idx="2">
                  <c:v>Person</c:v>
                </c:pt>
                <c:pt idx="3">
                  <c:v>Porto</c:v>
                </c:pt>
              </c:strCache>
            </c:strRef>
          </c:cat>
          <c:val>
            <c:numRef>
              <c:f>Дашборд2!$X$109:$X$113</c:f>
              <c:numCache>
                <c:formatCode>0.00</c:formatCode>
                <c:ptCount val="4"/>
                <c:pt idx="0">
                  <c:v>109</c:v>
                </c:pt>
                <c:pt idx="1">
                  <c:v>45</c:v>
                </c:pt>
                <c:pt idx="2">
                  <c:v>75</c:v>
                </c:pt>
                <c:pt idx="3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A-475F-AF7C-BE3B23962C3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[Анализ_деятельности_компании.xlsm]Дашборд2!фин резы1</c:name>
    <c:fmtId val="17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4.9135391216371789E-2"/>
              <c:y val="6.46143553255329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9.212885853069705E-2"/>
              <c:y val="4.846076649414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3.0709619510232346E-3"/>
              <c:y val="-3.23071776627665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7.6774048775580875E-2"/>
              <c:y val="-4.82951760597897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9.8185612287608665E-2"/>
              <c:y val="-4.77133343248142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8348277069441463E-2"/>
              <c:y val="4.29290453864797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layout>
            <c:manualLayout>
              <c:x val="-4.6064429265348525E-2"/>
              <c:y val="3.75629147131696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layout>
            <c:manualLayout>
              <c:x val="-4.9135391216371754E-2"/>
              <c:y val="-5.90274374064096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layout>
            <c:manualLayout>
              <c:x val="-6.141923902046582E-3"/>
              <c:y val="1.60983920199296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Дашборд2!$X$116</c:f>
              <c:strCache>
                <c:ptCount val="1"/>
                <c:pt idx="0">
                  <c:v>Сумма по полю Полная себестоимость единицы, руб.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E1-4118-9B7C-CE7577EBAA30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0E1-4118-9B7C-CE7577EBAA3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E1-4118-9B7C-CE7577EBAA30}"/>
              </c:ext>
            </c:extLst>
          </c:dPt>
          <c:dLbls>
            <c:dLbl>
              <c:idx val="0"/>
              <c:layout>
                <c:manualLayout>
                  <c:x val="-7.6774048775580875E-2"/>
                  <c:y val="-4.82951760597897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0E1-4118-9B7C-CE7577EBAA30}"/>
                </c:ext>
              </c:extLst>
            </c:dLbl>
            <c:dLbl>
              <c:idx val="1"/>
              <c:layout>
                <c:manualLayout>
                  <c:x val="-9.8185612287608665E-2"/>
                  <c:y val="-4.77133343248142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F0E1-4118-9B7C-CE7577EBAA30}"/>
                </c:ext>
              </c:extLst>
            </c:dLbl>
            <c:dLbl>
              <c:idx val="2"/>
              <c:layout>
                <c:manualLayout>
                  <c:x val="-5.8348277069441463E-2"/>
                  <c:y val="4.29290453864797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F0E1-4118-9B7C-CE7577EBAA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Дашборд2!$W$117:$W$120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Дашборд2!$X$117:$X$120</c:f>
              <c:numCache>
                <c:formatCode>General</c:formatCode>
                <c:ptCount val="3"/>
                <c:pt idx="0">
                  <c:v>75990.880000000048</c:v>
                </c:pt>
                <c:pt idx="1">
                  <c:v>82940.880000000121</c:v>
                </c:pt>
                <c:pt idx="2">
                  <c:v>36746.589999999946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A-4B40-990C-8699EF415599}"/>
            </c:ext>
          </c:extLst>
        </c:ser>
        <c:ser>
          <c:idx val="1"/>
          <c:order val="1"/>
          <c:tx>
            <c:strRef>
              <c:f>Дашборд2!$Y$116</c:f>
              <c:strCache>
                <c:ptCount val="1"/>
                <c:pt idx="0">
                  <c:v>Сумма по полю Операционная прибыль, руб.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0E1-4118-9B7C-CE7577EBAA30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E1-4118-9B7C-CE7577EBAA3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0E1-4118-9B7C-CE7577EBAA30}"/>
              </c:ext>
            </c:extLst>
          </c:dPt>
          <c:dLbls>
            <c:dLbl>
              <c:idx val="0"/>
              <c:layout>
                <c:manualLayout>
                  <c:x val="-4.6064429265348525E-2"/>
                  <c:y val="3.75629147131696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F0E1-4118-9B7C-CE7577EBAA30}"/>
                </c:ext>
              </c:extLst>
            </c:dLbl>
            <c:dLbl>
              <c:idx val="1"/>
              <c:layout>
                <c:manualLayout>
                  <c:x val="-4.9135391216371754E-2"/>
                  <c:y val="-5.9027437406409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F0E1-4118-9B7C-CE7577EBAA30}"/>
                </c:ext>
              </c:extLst>
            </c:dLbl>
            <c:dLbl>
              <c:idx val="2"/>
              <c:layout>
                <c:manualLayout>
                  <c:x val="-6.141923902046582E-3"/>
                  <c:y val="1.60983920199296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F0E1-4118-9B7C-CE7577EBAA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Дашборд2!$W$117:$W$120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Дашборд2!$Y$117:$Y$120</c:f>
              <c:numCache>
                <c:formatCode>General</c:formatCode>
                <c:ptCount val="3"/>
                <c:pt idx="0">
                  <c:v>15873.671999999962</c:v>
                </c:pt>
                <c:pt idx="1">
                  <c:v>17830.091599999905</c:v>
                </c:pt>
                <c:pt idx="2">
                  <c:v>11280.286800000054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A-4B40-990C-8699EF415599}"/>
            </c:ext>
          </c:extLst>
        </c:ser>
        <c:ser>
          <c:idx val="2"/>
          <c:order val="2"/>
          <c:tx>
            <c:strRef>
              <c:f>Дашборд2!$Z$116</c:f>
              <c:strCache>
                <c:ptCount val="1"/>
                <c:pt idx="0">
                  <c:v>Сумма по полю Цена продажи с учетом персональной скидки, руб.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0E1-4118-9B7C-CE7577EBAA30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E1-4118-9B7C-CE7577EBAA3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0E1-4118-9B7C-CE7577EBAA30}"/>
              </c:ext>
            </c:extLst>
          </c:dPt>
          <c:dLbls>
            <c:dLbl>
              <c:idx val="0"/>
              <c:layout>
                <c:manualLayout>
                  <c:x val="-4.9135391216371789E-2"/>
                  <c:y val="6.46143553255329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0E1-4118-9B7C-CE7577EBAA30}"/>
                </c:ext>
              </c:extLst>
            </c:dLbl>
            <c:dLbl>
              <c:idx val="1"/>
              <c:layout>
                <c:manualLayout>
                  <c:x val="-9.212885853069705E-2"/>
                  <c:y val="4.846076649414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0E1-4118-9B7C-CE7577EBAA30}"/>
                </c:ext>
              </c:extLst>
            </c:dLbl>
            <c:dLbl>
              <c:idx val="2"/>
              <c:layout>
                <c:manualLayout>
                  <c:x val="-3.0709619510232346E-3"/>
                  <c:y val="-3.23071776627665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F0E1-4118-9B7C-CE7577EBAA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Дашборд2!$W$117:$W$120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Дашборд2!$Z$117:$Z$120</c:f>
              <c:numCache>
                <c:formatCode>General</c:formatCode>
                <c:ptCount val="3"/>
                <c:pt idx="0">
                  <c:v>114160</c:v>
                </c:pt>
                <c:pt idx="1">
                  <c:v>125228</c:v>
                </c:pt>
                <c:pt idx="2">
                  <c:v>55216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CA-4B40-990C-8699EF415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51592"/>
        <c:axId val="779064712"/>
      </c:lineChart>
      <c:catAx>
        <c:axId val="779051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9064712"/>
        <c:crosses val="autoZero"/>
        <c:auto val="1"/>
        <c:lblAlgn val="ctr"/>
        <c:lblOffset val="100"/>
        <c:noMultiLvlLbl val="0"/>
      </c:catAx>
      <c:valAx>
        <c:axId val="77906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905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37073490813653"/>
          <c:y val="9.287948381452317E-2"/>
          <c:w val="0.27162920793200696"/>
          <c:h val="0.74854139115166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[Анализ_деятельности_компании.xlsm]Дашборд2!фин резы2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финансовых результатов, руб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Дашборд2!$X$123</c:f>
              <c:strCache>
                <c:ptCount val="1"/>
                <c:pt idx="0">
                  <c:v>Сумма по полю Полная себестоимость единицы, руб.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Дашборд2!$W$124:$W$129</c:f>
              <c:strCache>
                <c:ptCount val="5"/>
                <c:pt idx="0">
                  <c:v>Гаврилов Н.А.</c:v>
                </c:pt>
                <c:pt idx="1">
                  <c:v>Иванов К.Г.</c:v>
                </c:pt>
                <c:pt idx="2">
                  <c:v>Никифорова В.М.</c:v>
                </c:pt>
                <c:pt idx="3">
                  <c:v>Петров М.В.</c:v>
                </c:pt>
                <c:pt idx="4">
                  <c:v>Соколов Г.П.</c:v>
                </c:pt>
              </c:strCache>
            </c:strRef>
          </c:cat>
          <c:val>
            <c:numRef>
              <c:f>Дашборд2!$X$124:$X$129</c:f>
              <c:numCache>
                <c:formatCode>General</c:formatCode>
                <c:ptCount val="5"/>
                <c:pt idx="0">
                  <c:v>31699.859999999986</c:v>
                </c:pt>
                <c:pt idx="1">
                  <c:v>42982.349999999933</c:v>
                </c:pt>
                <c:pt idx="2">
                  <c:v>44291.019999999939</c:v>
                </c:pt>
                <c:pt idx="3">
                  <c:v>39958.529999999948</c:v>
                </c:pt>
                <c:pt idx="4">
                  <c:v>36746.589999999946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7-4187-9C9E-3C4A27FF4AF5}"/>
            </c:ext>
          </c:extLst>
        </c:ser>
        <c:ser>
          <c:idx val="1"/>
          <c:order val="1"/>
          <c:tx>
            <c:strRef>
              <c:f>Дашборд2!$Y$123</c:f>
              <c:strCache>
                <c:ptCount val="1"/>
                <c:pt idx="0">
                  <c:v>Сумма по полю Операционная прибыль, руб.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Дашборд2!$W$124:$W$129</c:f>
              <c:strCache>
                <c:ptCount val="5"/>
                <c:pt idx="0">
                  <c:v>Гаврилов Н.А.</c:v>
                </c:pt>
                <c:pt idx="1">
                  <c:v>Иванов К.Г.</c:v>
                </c:pt>
                <c:pt idx="2">
                  <c:v>Никифорова В.М.</c:v>
                </c:pt>
                <c:pt idx="3">
                  <c:v>Петров М.В.</c:v>
                </c:pt>
                <c:pt idx="4">
                  <c:v>Соколов Г.П.</c:v>
                </c:pt>
              </c:strCache>
            </c:strRef>
          </c:cat>
          <c:val>
            <c:numRef>
              <c:f>Дашборд2!$Y$124:$Y$129</c:f>
              <c:numCache>
                <c:formatCode>General</c:formatCode>
                <c:ptCount val="5"/>
                <c:pt idx="0">
                  <c:v>6255.4249000000173</c:v>
                </c:pt>
                <c:pt idx="1">
                  <c:v>9422.1281000000745</c:v>
                </c:pt>
                <c:pt idx="2">
                  <c:v>9618.2471000000751</c:v>
                </c:pt>
                <c:pt idx="3">
                  <c:v>8407.9635000000617</c:v>
                </c:pt>
                <c:pt idx="4">
                  <c:v>11280.286800000054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F7-4187-9C9E-3C4A27FF4AF5}"/>
            </c:ext>
          </c:extLst>
        </c:ser>
        <c:ser>
          <c:idx val="2"/>
          <c:order val="2"/>
          <c:tx>
            <c:strRef>
              <c:f>Дашборд2!$Z$123</c:f>
              <c:strCache>
                <c:ptCount val="1"/>
                <c:pt idx="0">
                  <c:v>Сумма по полю Цена продажи с учетом персональной скидки, руб.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Дашборд2!$W$124:$W$129</c:f>
              <c:strCache>
                <c:ptCount val="5"/>
                <c:pt idx="0">
                  <c:v>Гаврилов Н.А.</c:v>
                </c:pt>
                <c:pt idx="1">
                  <c:v>Иванов К.Г.</c:v>
                </c:pt>
                <c:pt idx="2">
                  <c:v>Никифорова В.М.</c:v>
                </c:pt>
                <c:pt idx="3">
                  <c:v>Петров М.В.</c:v>
                </c:pt>
                <c:pt idx="4">
                  <c:v>Соколов Г.П.</c:v>
                </c:pt>
              </c:strCache>
            </c:strRef>
          </c:cat>
          <c:val>
            <c:numRef>
              <c:f>Дашборд2!$Z$124:$Z$129</c:f>
              <c:numCache>
                <c:formatCode>General</c:formatCode>
                <c:ptCount val="5"/>
                <c:pt idx="0">
                  <c:v>47167</c:v>
                </c:pt>
                <c:pt idx="1">
                  <c:v>65123</c:v>
                </c:pt>
                <c:pt idx="2">
                  <c:v>66993</c:v>
                </c:pt>
                <c:pt idx="3">
                  <c:v>60105</c:v>
                </c:pt>
                <c:pt idx="4">
                  <c:v>55216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F7-4187-9C9E-3C4A27FF4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827000"/>
        <c:axId val="779830936"/>
      </c:barChart>
      <c:catAx>
        <c:axId val="77982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9830936"/>
        <c:crosses val="autoZero"/>
        <c:auto val="1"/>
        <c:lblAlgn val="ctr"/>
        <c:lblOffset val="100"/>
        <c:noMultiLvlLbl val="0"/>
      </c:catAx>
      <c:valAx>
        <c:axId val="77983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982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[Анализ_деятельности_компании.xlsm]Дашборд2!Сводная таблица1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Рентабельность</a:t>
            </a:r>
            <a:r>
              <a:rPr lang="ru-RU" sz="2000" baseline="0"/>
              <a:t> продаж, %</a:t>
            </a:r>
            <a:endParaRPr lang="ru-RU" sz="20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487080548635151E-2"/>
              <c:y val="6.2051673472665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291011255105093"/>
          <c:y val="0.13303827808624227"/>
          <c:w val="0.46608467206355608"/>
          <c:h val="0.8526629918592411"/>
        </c:manualLayout>
      </c:layout>
      <c:radarChart>
        <c:radarStyle val="marker"/>
        <c:varyColors val="0"/>
        <c:ser>
          <c:idx val="0"/>
          <c:order val="0"/>
          <c:tx>
            <c:strRef>
              <c:f>Дашборд2!$O$120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90C-4C43-AB67-B387C3C8DA70}"/>
              </c:ext>
            </c:extLst>
          </c:dPt>
          <c:dLbls>
            <c:dLbl>
              <c:idx val="15"/>
              <c:layout>
                <c:manualLayout>
                  <c:x val="-1.487080548635151E-2"/>
                  <c:y val="6.205167347266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790C-4C43-AB67-B387C3C8DA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Дашборд2!$N$121:$N$137</c:f>
              <c:strCache>
                <c:ptCount val="16"/>
                <c:pt idx="0">
                  <c:v>Воронеж</c:v>
                </c:pt>
                <c:pt idx="1">
                  <c:v>Кострома</c:v>
                </c:pt>
                <c:pt idx="2">
                  <c:v>Псков</c:v>
                </c:pt>
                <c:pt idx="3">
                  <c:v>Тула</c:v>
                </c:pt>
                <c:pt idx="4">
                  <c:v>Ярославль</c:v>
                </c:pt>
                <c:pt idx="5">
                  <c:v>Владимир</c:v>
                </c:pt>
                <c:pt idx="6">
                  <c:v>Санкт-Петерубрг</c:v>
                </c:pt>
                <c:pt idx="7">
                  <c:v>Вологда</c:v>
                </c:pt>
                <c:pt idx="8">
                  <c:v>Москва</c:v>
                </c:pt>
                <c:pt idx="9">
                  <c:v>Петрозаводск</c:v>
                </c:pt>
                <c:pt idx="10">
                  <c:v>Великий Новгород</c:v>
                </c:pt>
                <c:pt idx="11">
                  <c:v>Мурманск</c:v>
                </c:pt>
                <c:pt idx="12">
                  <c:v>Тверь</c:v>
                </c:pt>
                <c:pt idx="13">
                  <c:v>Сочи</c:v>
                </c:pt>
                <c:pt idx="14">
                  <c:v>Ростов-на-Дону</c:v>
                </c:pt>
                <c:pt idx="15">
                  <c:v>Волгоград</c:v>
                </c:pt>
              </c:strCache>
            </c:strRef>
          </c:cat>
          <c:val>
            <c:numRef>
              <c:f>Дашборд2!$O$121:$O$137</c:f>
              <c:numCache>
                <c:formatCode>0.00%</c:formatCode>
                <c:ptCount val="16"/>
                <c:pt idx="0">
                  <c:v>0.12465035631355609</c:v>
                </c:pt>
                <c:pt idx="1">
                  <c:v>0.13022180822885401</c:v>
                </c:pt>
                <c:pt idx="2">
                  <c:v>0.13275193933700186</c:v>
                </c:pt>
                <c:pt idx="3">
                  <c:v>0.13581829446625104</c:v>
                </c:pt>
                <c:pt idx="4">
                  <c:v>0.13664912930207049</c:v>
                </c:pt>
                <c:pt idx="5">
                  <c:v>0.13781724329196426</c:v>
                </c:pt>
                <c:pt idx="6">
                  <c:v>0.13970208246563978</c:v>
                </c:pt>
                <c:pt idx="7">
                  <c:v>0.14045158190766363</c:v>
                </c:pt>
                <c:pt idx="8">
                  <c:v>0.14380108829158195</c:v>
                </c:pt>
                <c:pt idx="9">
                  <c:v>0.14422504992619611</c:v>
                </c:pt>
                <c:pt idx="10">
                  <c:v>0.14780878212008336</c:v>
                </c:pt>
                <c:pt idx="11">
                  <c:v>0.15287288374871036</c:v>
                </c:pt>
                <c:pt idx="12">
                  <c:v>0.15464975251237431</c:v>
                </c:pt>
                <c:pt idx="13">
                  <c:v>0.19193168055273313</c:v>
                </c:pt>
                <c:pt idx="14">
                  <c:v>0.19826834966088908</c:v>
                </c:pt>
                <c:pt idx="15">
                  <c:v>0.21924462142932999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7-4CF9-960B-96336FE5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734024"/>
        <c:axId val="719740584"/>
      </c:radarChart>
      <c:catAx>
        <c:axId val="71973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9740584"/>
        <c:crosses val="autoZero"/>
        <c:auto val="1"/>
        <c:lblAlgn val="ctr"/>
        <c:lblOffset val="100"/>
        <c:noMultiLvlLbl val="0"/>
      </c:catAx>
      <c:valAx>
        <c:axId val="719740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7197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[Анализ_деятельности_компании.xlsm]Дашборд2!Сводная таблица8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Рентабельность</a:t>
            </a:r>
            <a:r>
              <a:rPr lang="ru-RU" baseline="0"/>
              <a:t> продаж, </a:t>
            </a:r>
            <a:r>
              <a:rPr lang="en-US" baseline="0"/>
              <a:t>%</a:t>
            </a:r>
            <a:endParaRPr lang="ru-RU" baseline="0"/>
          </a:p>
          <a:p>
            <a:pPr>
              <a:defRPr/>
            </a:pPr>
            <a:r>
              <a:rPr lang="ru-RU" baseline="0"/>
              <a:t>(по видам продукции)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Дашборд2!$R$120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Дашборд2!$Q$121:$Q$127</c:f>
              <c:strCache>
                <c:ptCount val="6"/>
                <c:pt idx="0">
                  <c:v>Товар F</c:v>
                </c:pt>
                <c:pt idx="1">
                  <c:v>Товар A</c:v>
                </c:pt>
                <c:pt idx="2">
                  <c:v>Товар E</c:v>
                </c:pt>
                <c:pt idx="3">
                  <c:v>Товар C</c:v>
                </c:pt>
                <c:pt idx="4">
                  <c:v>Товар D</c:v>
                </c:pt>
                <c:pt idx="5">
                  <c:v>Товар B</c:v>
                </c:pt>
              </c:strCache>
            </c:strRef>
          </c:cat>
          <c:val>
            <c:numRef>
              <c:f>Дашборд2!$R$121:$R$127</c:f>
              <c:numCache>
                <c:formatCode>0.00%</c:formatCode>
                <c:ptCount val="6"/>
                <c:pt idx="0">
                  <c:v>0.22544249999999941</c:v>
                </c:pt>
                <c:pt idx="1">
                  <c:v>0.15870599475065703</c:v>
                </c:pt>
                <c:pt idx="2">
                  <c:v>0.15202589736772237</c:v>
                </c:pt>
                <c:pt idx="3">
                  <c:v>0.1473491518247767</c:v>
                </c:pt>
                <c:pt idx="4">
                  <c:v>0.14340543208990078</c:v>
                </c:pt>
                <c:pt idx="5">
                  <c:v>0.10036752230651703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F-4466-9B20-BE89C2FEA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7792792"/>
        <c:axId val="727796072"/>
      </c:barChart>
      <c:catAx>
        <c:axId val="727792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7796072"/>
        <c:crosses val="autoZero"/>
        <c:auto val="1"/>
        <c:lblAlgn val="ctr"/>
        <c:lblOffset val="100"/>
        <c:noMultiLvlLbl val="0"/>
      </c:catAx>
      <c:valAx>
        <c:axId val="72779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7792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[Анализ_деятельности_компании.xlsm]Дашборд2!Сводная таблица10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</a:t>
            </a:r>
            <a:r>
              <a:rPr lang="ru-RU" baseline="0"/>
              <a:t> заключенных договоров</a:t>
            </a:r>
          </a:p>
          <a:p>
            <a:pPr>
              <a:defRPr/>
            </a:pPr>
            <a:r>
              <a:rPr lang="ru-RU" baseline="0"/>
              <a:t>(по месяцам)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layout>
            <c:manualLayout>
              <c:x val="-2.1049273787305048E-2"/>
              <c:y val="-6.30984767866231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layout>
            <c:manualLayout>
              <c:x val="-2.590679850745228E-2"/>
              <c:y val="-5.1267512389131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Дашборд2!$F$127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5F2E-4548-84E4-EB683E135E7F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2E-4548-84E4-EB683E135E7F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F2E-4548-84E4-EB683E135E7F}"/>
              </c:ext>
            </c:extLst>
          </c:dPt>
          <c:dLbls>
            <c:dLbl>
              <c:idx val="0"/>
              <c:layout>
                <c:manualLayout>
                  <c:x val="-2.1049273787305048E-2"/>
                  <c:y val="-6.3098476786623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2E-4548-84E4-EB683E135E7F}"/>
                </c:ext>
              </c:extLst>
            </c:dLbl>
            <c:dLbl>
              <c:idx val="1"/>
              <c:layout>
                <c:manualLayout>
                  <c:x val="-2.590679850745228E-2"/>
                  <c:y val="-5.126751238913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2E-4548-84E4-EB683E135E7F}"/>
                </c:ext>
              </c:extLst>
            </c:dLbl>
            <c:dLbl>
              <c:idx val="2"/>
              <c:layout>
                <c:manualLayout>
                  <c:x val="-2.1049273787305048E-2"/>
                  <c:y val="-6.3098476786623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2E-4548-84E4-EB683E135E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Дашборд2!$E$128:$E$131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Дашборд2!$F$128:$F$131</c:f>
              <c:numCache>
                <c:formatCode>General</c:formatCode>
                <c:ptCount val="3"/>
                <c:pt idx="0">
                  <c:v>132</c:v>
                </c:pt>
                <c:pt idx="1">
                  <c:v>119</c:v>
                </c:pt>
                <c:pt idx="2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1-4987-A4C0-EFC21B2174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5787824"/>
        <c:axId val="985792416"/>
      </c:lineChart>
      <c:catAx>
        <c:axId val="98578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792416"/>
        <c:crosses val="autoZero"/>
        <c:auto val="1"/>
        <c:lblAlgn val="ctr"/>
        <c:lblOffset val="100"/>
        <c:noMultiLvlLbl val="0"/>
      </c:catAx>
      <c:valAx>
        <c:axId val="9857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78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_xlchart.v1.0</cx:f>
      </cx:numDim>
    </cx:data>
  </cx:chartData>
  <cx:chart>
    <cx:title pos="t" align="ctr" overlay="0">
      <cx:tx>
        <cx:txData>
          <cx:v>Рентабельность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Рентабельность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sunburst" uniqueId="{696FDFD8-D278-46EB-BD61-9BCC9053C2B3}">
          <cx:dataPt idx="0">
            <cx:spPr>
              <a:solidFill>
                <a:schemeClr val="accent1"/>
              </a:solidFill>
            </cx:spPr>
          </cx:dataPt>
          <cx:dataPt idx="1">
            <cx:spPr>
              <a:solidFill>
                <a:schemeClr val="bg2">
                  <a:lumMod val="90000"/>
                </a:schemeClr>
              </a:solidFill>
            </cx:spPr>
          </cx:dataPt>
          <cx:dataId val="0"/>
        </cx:series>
      </cx:plotAreaRegion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&#1055;&#1086;&#1084;&#1086;&#1097;&#1100;!A1"/><Relationship Id="rId3" Type="http://schemas.openxmlformats.org/officeDocument/2006/relationships/chart" Target="../charts/chart10.xml"/><Relationship Id="rId7" Type="http://schemas.microsoft.com/office/2014/relationships/chartEx" Target="../charts/chartEx1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6.xml"/><Relationship Id="rId5" Type="http://schemas.openxmlformats.org/officeDocument/2006/relationships/chart" Target="../charts/chart12.xml"/><Relationship Id="rId10" Type="http://schemas.openxmlformats.org/officeDocument/2006/relationships/chart" Target="../charts/chart15.xml"/><Relationship Id="rId4" Type="http://schemas.openxmlformats.org/officeDocument/2006/relationships/chart" Target="../charts/chart11.xml"/><Relationship Id="rId9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92</xdr:row>
      <xdr:rowOff>44426</xdr:rowOff>
    </xdr:from>
    <xdr:to>
      <xdr:col>6</xdr:col>
      <xdr:colOff>581025</xdr:colOff>
      <xdr:row>176</xdr:row>
      <xdr:rowOff>65850</xdr:rowOff>
    </xdr:to>
    <xdr:sp macro="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B5F58EED-FD02-427A-AF49-98CCD937678F}"/>
            </a:ext>
          </a:extLst>
        </xdr:cNvPr>
        <xdr:cNvSpPr/>
      </xdr:nvSpPr>
      <xdr:spPr>
        <a:xfrm>
          <a:off x="495300" y="16469759"/>
          <a:ext cx="11957873" cy="15035647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173620</xdr:colOff>
      <xdr:row>102</xdr:row>
      <xdr:rowOff>106100</xdr:rowOff>
    </xdr:from>
    <xdr:to>
      <xdr:col>3</xdr:col>
      <xdr:colOff>569087</xdr:colOff>
      <xdr:row>119</xdr:row>
      <xdr:rowOff>183264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724940</xdr:colOff>
      <xdr:row>102</xdr:row>
      <xdr:rowOff>81676</xdr:rowOff>
    </xdr:from>
    <xdr:to>
      <xdr:col>6</xdr:col>
      <xdr:colOff>150395</xdr:colOff>
      <xdr:row>120</xdr:row>
      <xdr:rowOff>10374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141178</xdr:colOff>
      <xdr:row>140</xdr:row>
      <xdr:rowOff>22847</xdr:rowOff>
    </xdr:from>
    <xdr:to>
      <xdr:col>3</xdr:col>
      <xdr:colOff>530505</xdr:colOff>
      <xdr:row>154</xdr:row>
      <xdr:rowOff>106466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50B1B68-B4E7-46C8-8304-444E702ED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56506</xdr:colOff>
      <xdr:row>122</xdr:row>
      <xdr:rowOff>23816</xdr:rowOff>
    </xdr:from>
    <xdr:to>
      <xdr:col>3</xdr:col>
      <xdr:colOff>439309</xdr:colOff>
      <xdr:row>138</xdr:row>
      <xdr:rowOff>125393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0AFB350-CCB4-4E8C-BE1A-B4D312C14A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699305</xdr:colOff>
      <xdr:row>122</xdr:row>
      <xdr:rowOff>18366</xdr:rowOff>
    </xdr:from>
    <xdr:to>
      <xdr:col>6</xdr:col>
      <xdr:colOff>154328</xdr:colOff>
      <xdr:row>138</xdr:row>
      <xdr:rowOff>115747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7E4A4715-890D-42A4-B229-EB1A990FB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200025</xdr:colOff>
      <xdr:row>33</xdr:row>
      <xdr:rowOff>85725</xdr:rowOff>
    </xdr:from>
    <xdr:to>
      <xdr:col>4</xdr:col>
      <xdr:colOff>3533775</xdr:colOff>
      <xdr:row>40</xdr:row>
      <xdr:rowOff>123825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4" name="Дата продажи">
              <a:extLst>
                <a:ext uri="{FF2B5EF4-FFF2-40B4-BE49-F238E27FC236}">
                  <a16:creationId xmlns:a16="http://schemas.microsoft.com/office/drawing/2014/main" id="{4F73860E-7242-462D-9D4A-A92EB5A734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одаж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81850" y="63436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 или более поздней версии.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>
    <xdr:from>
      <xdr:col>1</xdr:col>
      <xdr:colOff>472166</xdr:colOff>
      <xdr:row>97</xdr:row>
      <xdr:rowOff>131989</xdr:rowOff>
    </xdr:from>
    <xdr:to>
      <xdr:col>5</xdr:col>
      <xdr:colOff>789213</xdr:colOff>
      <xdr:row>100</xdr:row>
      <xdr:rowOff>149678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1655987" y="17276989"/>
          <a:ext cx="9651547" cy="548368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ru-RU" sz="24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Анализ операционной деятельности компании за 1 квартал 2023 года</a:t>
          </a:r>
        </a:p>
      </xdr:txBody>
    </xdr:sp>
    <xdr:clientData/>
  </xdr:twoCellAnchor>
  <xdr:twoCellAnchor>
    <xdr:from>
      <xdr:col>3</xdr:col>
      <xdr:colOff>697578</xdr:colOff>
      <xdr:row>140</xdr:row>
      <xdr:rowOff>33525</xdr:rowOff>
    </xdr:from>
    <xdr:to>
      <xdr:col>6</xdr:col>
      <xdr:colOff>136898</xdr:colOff>
      <xdr:row>154</xdr:row>
      <xdr:rowOff>117144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1843852</xdr:colOff>
      <xdr:row>156</xdr:row>
      <xdr:rowOff>112889</xdr:rowOff>
    </xdr:from>
    <xdr:to>
      <xdr:col>4</xdr:col>
      <xdr:colOff>2831630</xdr:colOff>
      <xdr:row>175</xdr:row>
      <xdr:rowOff>84666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0.07341</cdr:x>
      <cdr:y>0.83003</cdr:y>
    </cdr:from>
    <cdr:to>
      <cdr:x>0.26565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411F2D-B5DA-47C2-9208-12D040514740}"/>
            </a:ext>
          </a:extLst>
        </cdr:cNvPr>
        <cdr:cNvSpPr txBox="1"/>
      </cdr:nvSpPr>
      <cdr:spPr>
        <a:xfrm xmlns:a="http://schemas.openxmlformats.org/drawingml/2006/main">
          <a:off x="379211" y="2641157"/>
          <a:ext cx="993032" cy="540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900">
              <a:solidFill>
                <a:schemeClr val="bg2">
                  <a:lumMod val="50000"/>
                </a:schemeClr>
              </a:solidFill>
            </a:rPr>
            <a:t>Никифорова</a:t>
          </a:r>
          <a:r>
            <a:rPr lang="ru-RU" sz="900" baseline="0">
              <a:solidFill>
                <a:schemeClr val="bg2">
                  <a:lumMod val="50000"/>
                </a:schemeClr>
              </a:solidFill>
            </a:rPr>
            <a:t> А.А</a:t>
          </a:r>
          <a:endParaRPr lang="ru-RU" sz="9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184880</xdr:colOff>
      <xdr:row>0</xdr:row>
      <xdr:rowOff>101022</xdr:rowOff>
    </xdr:from>
    <xdr:to>
      <xdr:col>20</xdr:col>
      <xdr:colOff>584489</xdr:colOff>
      <xdr:row>116</xdr:row>
      <xdr:rowOff>67235</xdr:rowOff>
    </xdr:to>
    <xdr:sp macro="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BD1002F2-A69D-4E32-B404-BEEA1691424F}"/>
            </a:ext>
          </a:extLst>
        </xdr:cNvPr>
        <xdr:cNvSpPr/>
      </xdr:nvSpPr>
      <xdr:spPr>
        <a:xfrm>
          <a:off x="789998" y="101022"/>
          <a:ext cx="21309785" cy="20876389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677026</xdr:colOff>
      <xdr:row>2</xdr:row>
      <xdr:rowOff>54908</xdr:rowOff>
    </xdr:from>
    <xdr:to>
      <xdr:col>15</xdr:col>
      <xdr:colOff>2326662</xdr:colOff>
      <xdr:row>5</xdr:row>
      <xdr:rowOff>140369</xdr:rowOff>
    </xdr:to>
    <xdr:sp macro="" textlink="$U$2">
      <xdr:nvSpPr>
        <xdr:cNvPr id="5" name="TextBox 4">
          <a:extLst>
            <a:ext uri="{FF2B5EF4-FFF2-40B4-BE49-F238E27FC236}">
              <a16:creationId xmlns:a16="http://schemas.microsoft.com/office/drawing/2014/main" id="{D5FBD9CC-B510-4722-A2E4-49C2718B757B}"/>
            </a:ext>
          </a:extLst>
        </xdr:cNvPr>
        <xdr:cNvSpPr txBox="1"/>
      </xdr:nvSpPr>
      <xdr:spPr>
        <a:xfrm>
          <a:off x="14075526" y="547033"/>
          <a:ext cx="1649636" cy="656961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F63596E-A458-4458-82AB-921A2771870A}" type="TxLink">
            <a:rPr lang="en-US" sz="2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Light" panose="020B0502040204020203" pitchFamily="34" charset="0"/>
              <a:cs typeface="Calibri"/>
            </a:rPr>
            <a:pPr/>
            <a:t>11.04.2025</a:t>
          </a:fld>
          <a:endParaRPr lang="en-US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Light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158335</xdr:colOff>
      <xdr:row>8</xdr:row>
      <xdr:rowOff>143680</xdr:rowOff>
    </xdr:from>
    <xdr:to>
      <xdr:col>12</xdr:col>
      <xdr:colOff>353785</xdr:colOff>
      <xdr:row>21</xdr:row>
      <xdr:rowOff>293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Дата продажи 1">
              <a:extLst>
                <a:ext uri="{FF2B5EF4-FFF2-40B4-BE49-F238E27FC236}">
                  <a16:creationId xmlns:a16="http://schemas.microsoft.com/office/drawing/2014/main" id="{9B98A110-9925-4758-9F50-EFE0F6B867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одажи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8489" y="1667680"/>
              <a:ext cx="2618220" cy="21426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>
    <xdr:from>
      <xdr:col>5</xdr:col>
      <xdr:colOff>340380</xdr:colOff>
      <xdr:row>2</xdr:row>
      <xdr:rowOff>52681</xdr:rowOff>
    </xdr:from>
    <xdr:to>
      <xdr:col>15</xdr:col>
      <xdr:colOff>687916</xdr:colOff>
      <xdr:row>5</xdr:row>
      <xdr:rowOff>148167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4023380" y="544806"/>
          <a:ext cx="10063036" cy="6669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3200" b="1" i="1"/>
            <a:t>Дашборд о финансовых показателях компании на</a:t>
          </a:r>
        </a:p>
      </xdr:txBody>
    </xdr:sp>
    <xdr:clientData/>
  </xdr:twoCellAnchor>
  <xdr:twoCellAnchor>
    <xdr:from>
      <xdr:col>14</xdr:col>
      <xdr:colOff>191629</xdr:colOff>
      <xdr:row>39</xdr:row>
      <xdr:rowOff>81361</xdr:rowOff>
    </xdr:from>
    <xdr:to>
      <xdr:col>17</xdr:col>
      <xdr:colOff>1783773</xdr:colOff>
      <xdr:row>66</xdr:row>
      <xdr:rowOff>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418171</xdr:colOff>
      <xdr:row>69</xdr:row>
      <xdr:rowOff>39838</xdr:rowOff>
    </xdr:from>
    <xdr:to>
      <xdr:col>11</xdr:col>
      <xdr:colOff>472352</xdr:colOff>
      <xdr:row>88</xdr:row>
      <xdr:rowOff>158668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90620</xdr:colOff>
      <xdr:row>69</xdr:row>
      <xdr:rowOff>27843</xdr:rowOff>
    </xdr:from>
    <xdr:to>
      <xdr:col>15</xdr:col>
      <xdr:colOff>1234310</xdr:colOff>
      <xdr:row>88</xdr:row>
      <xdr:rowOff>113237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124200</xdr:colOff>
      <xdr:row>9</xdr:row>
      <xdr:rowOff>33462</xdr:rowOff>
    </xdr:from>
    <xdr:to>
      <xdr:col>15</xdr:col>
      <xdr:colOff>1880530</xdr:colOff>
      <xdr:row>21</xdr:row>
      <xdr:rowOff>55598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Менеджер по продажам"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неджер по продажам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49700" y="1851871"/>
              <a:ext cx="1756330" cy="23081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2092354</xdr:colOff>
      <xdr:row>9</xdr:row>
      <xdr:rowOff>38124</xdr:rowOff>
    </xdr:from>
    <xdr:to>
      <xdr:col>17</xdr:col>
      <xdr:colOff>158972</xdr:colOff>
      <xdr:row>21</xdr:row>
      <xdr:rowOff>51956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id департамента "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департамента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17854" y="1856533"/>
              <a:ext cx="1755391" cy="2299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15</xdr:col>
      <xdr:colOff>1449377</xdr:colOff>
      <xdr:row>69</xdr:row>
      <xdr:rowOff>3484</xdr:rowOff>
    </xdr:from>
    <xdr:to>
      <xdr:col>20</xdr:col>
      <xdr:colOff>290613</xdr:colOff>
      <xdr:row>88</xdr:row>
      <xdr:rowOff>114891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2274475</xdr:colOff>
      <xdr:row>23</xdr:row>
      <xdr:rowOff>154921</xdr:rowOff>
    </xdr:from>
    <xdr:to>
      <xdr:col>18</xdr:col>
      <xdr:colOff>521621</xdr:colOff>
      <xdr:row>37</xdr:row>
      <xdr:rowOff>13433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567127</xdr:colOff>
      <xdr:row>24</xdr:row>
      <xdr:rowOff>23383</xdr:rowOff>
    </xdr:from>
    <xdr:to>
      <xdr:col>15</xdr:col>
      <xdr:colOff>1379138</xdr:colOff>
      <xdr:row>37</xdr:row>
      <xdr:rowOff>121921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595260</xdr:colOff>
      <xdr:row>8</xdr:row>
      <xdr:rowOff>156131</xdr:rowOff>
    </xdr:from>
    <xdr:to>
      <xdr:col>14</xdr:col>
      <xdr:colOff>569584</xdr:colOff>
      <xdr:row>20</xdr:row>
      <xdr:rowOff>154862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Наименование товара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именование товар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08183" y="1680131"/>
              <a:ext cx="1895754" cy="21088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</xdr:col>
      <xdr:colOff>453342</xdr:colOff>
      <xdr:row>11</xdr:row>
      <xdr:rowOff>46714</xdr:rowOff>
    </xdr:from>
    <xdr:to>
      <xdr:col>7</xdr:col>
      <xdr:colOff>450274</xdr:colOff>
      <xdr:row>13</xdr:row>
      <xdr:rowOff>23092</xdr:rowOff>
    </xdr:to>
    <xdr:sp macro="" textlink="$W$103">
      <xdr:nvSpPr>
        <xdr:cNvPr id="18" name="TextBox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/>
      </xdr:nvSpPr>
      <xdr:spPr>
        <a:xfrm>
          <a:off x="1677160" y="2194169"/>
          <a:ext cx="3137296" cy="345832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336877C-1F90-4690-90B4-08FF552CF9CA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294604,00</a:t>
          </a:fld>
          <a:endParaRPr lang="en-US" sz="1800"/>
        </a:p>
      </xdr:txBody>
    </xdr:sp>
    <xdr:clientData/>
  </xdr:twoCellAnchor>
  <xdr:twoCellAnchor>
    <xdr:from>
      <xdr:col>2</xdr:col>
      <xdr:colOff>468756</xdr:colOff>
      <xdr:row>17</xdr:row>
      <xdr:rowOff>27900</xdr:rowOff>
    </xdr:from>
    <xdr:to>
      <xdr:col>7</xdr:col>
      <xdr:colOff>415636</xdr:colOff>
      <xdr:row>19</xdr:row>
      <xdr:rowOff>28223</xdr:rowOff>
    </xdr:to>
    <xdr:sp macro="" textlink="$X$103">
      <xdr:nvSpPr>
        <xdr:cNvPr id="19" name="TextBox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 txBox="1"/>
      </xdr:nvSpPr>
      <xdr:spPr>
        <a:xfrm>
          <a:off x="1692574" y="3283718"/>
          <a:ext cx="3087244" cy="369778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9B0C23C-DB7C-4275-8B8C-0A4878490AEC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44984,05</a:t>
          </a:fld>
          <a:endParaRPr lang="en-US" sz="1800"/>
        </a:p>
      </xdr:txBody>
    </xdr:sp>
    <xdr:clientData/>
  </xdr:twoCellAnchor>
  <xdr:twoCellAnchor>
    <xdr:from>
      <xdr:col>2</xdr:col>
      <xdr:colOff>456178</xdr:colOff>
      <xdr:row>8</xdr:row>
      <xdr:rowOff>125052</xdr:rowOff>
    </xdr:from>
    <xdr:to>
      <xdr:col>7</xdr:col>
      <xdr:colOff>427182</xdr:colOff>
      <xdr:row>11</xdr:row>
      <xdr:rowOff>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 txBox="1"/>
      </xdr:nvSpPr>
      <xdr:spPr>
        <a:xfrm>
          <a:off x="1679996" y="1718325"/>
          <a:ext cx="3111368" cy="42913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800" b="0" i="1" u="sng"/>
            <a:t>Выручка</a:t>
          </a:r>
          <a:r>
            <a:rPr lang="ru-RU" sz="1800" b="0" i="1" u="sng" baseline="0"/>
            <a:t> от продаж, руб</a:t>
          </a:r>
          <a:endParaRPr lang="en-US" sz="1800" b="0" i="1" u="sng">
            <a:effectLst/>
          </a:endParaRPr>
        </a:p>
      </xdr:txBody>
    </xdr:sp>
    <xdr:clientData/>
  </xdr:twoCellAnchor>
  <xdr:twoCellAnchor>
    <xdr:from>
      <xdr:col>2</xdr:col>
      <xdr:colOff>453096</xdr:colOff>
      <xdr:row>14</xdr:row>
      <xdr:rowOff>106562</xdr:rowOff>
    </xdr:from>
    <xdr:to>
      <xdr:col>7</xdr:col>
      <xdr:colOff>404091</xdr:colOff>
      <xdr:row>16</xdr:row>
      <xdr:rowOff>150518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1676914" y="2808198"/>
          <a:ext cx="3091359" cy="41341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800" b="0" i="1" u="sng"/>
            <a:t>Операционная</a:t>
          </a:r>
          <a:r>
            <a:rPr lang="ru-RU" sz="1800" b="0" i="1" u="sng" baseline="0"/>
            <a:t> прибыль, руб</a:t>
          </a:r>
          <a:endParaRPr lang="en-US" sz="1800" b="0" i="1" u="sng"/>
        </a:p>
      </xdr:txBody>
    </xdr:sp>
    <xdr:clientData/>
  </xdr:twoCellAnchor>
  <xdr:twoCellAnchor>
    <xdr:from>
      <xdr:col>2</xdr:col>
      <xdr:colOff>443102</xdr:colOff>
      <xdr:row>24</xdr:row>
      <xdr:rowOff>11887</xdr:rowOff>
    </xdr:from>
    <xdr:to>
      <xdr:col>7</xdr:col>
      <xdr:colOff>381000</xdr:colOff>
      <xdr:row>37</xdr:row>
      <xdr:rowOff>117231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Диаграмма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</xdr:col>
      <xdr:colOff>432328</xdr:colOff>
      <xdr:row>20</xdr:row>
      <xdr:rowOff>159788</xdr:rowOff>
    </xdr:from>
    <xdr:to>
      <xdr:col>7</xdr:col>
      <xdr:colOff>394607</xdr:colOff>
      <xdr:row>23</xdr:row>
      <xdr:rowOff>54428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1656971" y="3820109"/>
          <a:ext cx="5187422" cy="42531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800" i="1" u="sng"/>
            <a:t>Рентабельность, %</a:t>
          </a:r>
          <a:endParaRPr lang="en-US" sz="1800" i="1" u="sng"/>
        </a:p>
      </xdr:txBody>
    </xdr:sp>
    <xdr:clientData/>
  </xdr:twoCellAnchor>
  <xdr:twoCellAnchor>
    <xdr:from>
      <xdr:col>5</xdr:col>
      <xdr:colOff>160812</xdr:colOff>
      <xdr:row>30</xdr:row>
      <xdr:rowOff>54074</xdr:rowOff>
    </xdr:from>
    <xdr:to>
      <xdr:col>5</xdr:col>
      <xdr:colOff>888447</xdr:colOff>
      <xdr:row>33</xdr:row>
      <xdr:rowOff>21228</xdr:rowOff>
    </xdr:to>
    <xdr:sp macro="" textlink="$W$135">
      <xdr:nvSpPr>
        <xdr:cNvPr id="26" name="TextBox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3951274" y="5446689"/>
          <a:ext cx="727635" cy="4946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9E0BAA1-73D5-4AC4-A5C5-DA45DFB5021C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15%</a:t>
          </a:fld>
          <a:endParaRPr lang="en-US" sz="2400"/>
        </a:p>
      </xdr:txBody>
    </xdr:sp>
    <xdr:clientData/>
  </xdr:twoCellAnchor>
  <xdr:twoCellAnchor>
    <xdr:from>
      <xdr:col>16</xdr:col>
      <xdr:colOff>746126</xdr:colOff>
      <xdr:row>2</xdr:row>
      <xdr:rowOff>79374</xdr:rowOff>
    </xdr:from>
    <xdr:to>
      <xdr:col>17</xdr:col>
      <xdr:colOff>921950</xdr:colOff>
      <xdr:row>5</xdr:row>
      <xdr:rowOff>142875</xdr:rowOff>
    </xdr:to>
    <xdr:sp macro="" textlink="">
      <xdr:nvSpPr>
        <xdr:cNvPr id="28" name="TextBox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16621126" y="571499"/>
          <a:ext cx="1445824" cy="635001"/>
        </a:xfrm>
        <a:custGeom>
          <a:avLst/>
          <a:gdLst>
            <a:gd name="connsiteX0" fmla="*/ 0 w 1445824"/>
            <a:gd name="connsiteY0" fmla="*/ 0 h 635001"/>
            <a:gd name="connsiteX1" fmla="*/ 1445824 w 1445824"/>
            <a:gd name="connsiteY1" fmla="*/ 0 h 635001"/>
            <a:gd name="connsiteX2" fmla="*/ 1445824 w 1445824"/>
            <a:gd name="connsiteY2" fmla="*/ 635001 h 635001"/>
            <a:gd name="connsiteX3" fmla="*/ 0 w 1445824"/>
            <a:gd name="connsiteY3" fmla="*/ 635001 h 635001"/>
            <a:gd name="connsiteX4" fmla="*/ 0 w 1445824"/>
            <a:gd name="connsiteY4" fmla="*/ 0 h 6350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5824" h="635001" fill="none" extrusionOk="0">
              <a:moveTo>
                <a:pt x="0" y="0"/>
              </a:moveTo>
              <a:cubicBezTo>
                <a:pt x="450766" y="64171"/>
                <a:pt x="1198646" y="-108285"/>
                <a:pt x="1445824" y="0"/>
              </a:cubicBezTo>
              <a:cubicBezTo>
                <a:pt x="1490316" y="104905"/>
                <a:pt x="1425547" y="351771"/>
                <a:pt x="1445824" y="635001"/>
              </a:cubicBezTo>
              <a:cubicBezTo>
                <a:pt x="745613" y="702404"/>
                <a:pt x="213306" y="514589"/>
                <a:pt x="0" y="635001"/>
              </a:cubicBezTo>
              <a:cubicBezTo>
                <a:pt x="-23922" y="471825"/>
                <a:pt x="12143" y="135016"/>
                <a:pt x="0" y="0"/>
              </a:cubicBezTo>
              <a:close/>
            </a:path>
            <a:path w="1445824" h="635001" stroke="0" extrusionOk="0">
              <a:moveTo>
                <a:pt x="0" y="0"/>
              </a:moveTo>
              <a:cubicBezTo>
                <a:pt x="396842" y="-11925"/>
                <a:pt x="800755" y="-8166"/>
                <a:pt x="1445824" y="0"/>
              </a:cubicBezTo>
              <a:cubicBezTo>
                <a:pt x="1395458" y="176309"/>
                <a:pt x="1405701" y="509402"/>
                <a:pt x="1445824" y="635001"/>
              </a:cubicBezTo>
              <a:cubicBezTo>
                <a:pt x="780158" y="570095"/>
                <a:pt x="563113" y="703532"/>
                <a:pt x="0" y="635001"/>
              </a:cubicBezTo>
              <a:cubicBezTo>
                <a:pt x="2746" y="504413"/>
                <a:pt x="48262" y="245701"/>
                <a:pt x="0" y="0"/>
              </a:cubicBezTo>
              <a:close/>
            </a:path>
          </a:pathLst>
        </a:custGeom>
        <a:solidFill>
          <a:schemeClr val="accent6">
            <a:lumMod val="75000"/>
          </a:schemeClr>
        </a:solidFill>
        <a:ln w="9525" cmpd="sng">
          <a:solidFill>
            <a:schemeClr val="lt1">
              <a:shade val="50000"/>
            </a:schemeClr>
          </a:solidFill>
          <a:extLst>
            <a:ext uri="{C807C97D-BFC1-408E-A445-0C87EB9F89A2}">
              <ask:lineSketchStyleProps xmlns="" xmlns:ask="http://schemas.microsoft.com/office/drawing/2018/sketchyshapes" sd="1219033472">
                <a:prstGeom prst="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>
              <a:solidFill>
                <a:schemeClr val="bg1"/>
              </a:solidFill>
              <a:latin typeface="Arial Black" panose="020B0A04020102020204" pitchFamily="34" charset="0"/>
            </a:rPr>
            <a:t>ПОМОЩЬ</a:t>
          </a:r>
        </a:p>
      </xdr:txBody>
    </xdr:sp>
    <xdr:clientData/>
  </xdr:twoCellAnchor>
  <xdr:twoCellAnchor>
    <xdr:from>
      <xdr:col>4</xdr:col>
      <xdr:colOff>401674</xdr:colOff>
      <xdr:row>39</xdr:row>
      <xdr:rowOff>103909</xdr:rowOff>
    </xdr:from>
    <xdr:to>
      <xdr:col>13</xdr:col>
      <xdr:colOff>381284</xdr:colOff>
      <xdr:row>66</xdr:row>
      <xdr:rowOff>19156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457494</xdr:colOff>
      <xdr:row>92</xdr:row>
      <xdr:rowOff>159320</xdr:rowOff>
    </xdr:from>
    <xdr:to>
      <xdr:col>17</xdr:col>
      <xdr:colOff>1741823</xdr:colOff>
      <xdr:row>110</xdr:row>
      <xdr:rowOff>149412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373684</xdr:colOff>
      <xdr:row>92</xdr:row>
      <xdr:rowOff>152069</xdr:rowOff>
    </xdr:from>
    <xdr:to>
      <xdr:col>12</xdr:col>
      <xdr:colOff>571500</xdr:colOff>
      <xdr:row>110</xdr:row>
      <xdr:rowOff>136072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Kalashnikova" refreshedDate="45617.535616782407" backgroundQuery="1" createdVersion="7" refreshedVersion="6" minRefreshableVersion="3" recordCount="0" supportSubquery="1" supportAdvancedDrill="1">
  <cacheSource type="external" connectionId="1"/>
  <cacheFields count="11">
    <cacheField name="[Таблица3].[id департамента].[id департамента]" caption="id департамента" numFmtId="0" hierarchy="4" level="1">
      <sharedItems containsSemiMixedTypes="0" containsNonDate="0" containsString="0"/>
    </cacheField>
    <cacheField name="[Таблица3].[№ договора].[№ договора]" caption="№ договора" numFmtId="0" hierarchy="2" level="1">
      <sharedItems containsSemiMixedTypes="0" containsString="0" containsNumber="1" containsInteger="1" minValue="326" maxValue="400" count="75"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</sharedItems>
      <extLst>
        <ext xmlns:x15="http://schemas.microsoft.com/office/spreadsheetml/2010/11/main" uri="{4F2E5C28-24EA-4eb8-9CBF-B6C8F9C3D259}">
          <x15:cachedUniqueNames>
            <x15:cachedUniqueName index="0" name="[Таблица3].[№ договора].&amp;[326]"/>
            <x15:cachedUniqueName index="1" name="[Таблица3].[№ договора].&amp;[327]"/>
            <x15:cachedUniqueName index="2" name="[Таблица3].[№ договора].&amp;[328]"/>
            <x15:cachedUniqueName index="3" name="[Таблица3].[№ договора].&amp;[329]"/>
            <x15:cachedUniqueName index="4" name="[Таблица3].[№ договора].&amp;[330]"/>
            <x15:cachedUniqueName index="5" name="[Таблица3].[№ договора].&amp;[331]"/>
            <x15:cachedUniqueName index="6" name="[Таблица3].[№ договора].&amp;[332]"/>
            <x15:cachedUniqueName index="7" name="[Таблица3].[№ договора].&amp;[333]"/>
            <x15:cachedUniqueName index="8" name="[Таблица3].[№ договора].&amp;[334]"/>
            <x15:cachedUniqueName index="9" name="[Таблица3].[№ договора].&amp;[335]"/>
            <x15:cachedUniqueName index="10" name="[Таблица3].[№ договора].&amp;[336]"/>
            <x15:cachedUniqueName index="11" name="[Таблица3].[№ договора].&amp;[337]"/>
            <x15:cachedUniqueName index="12" name="[Таблица3].[№ договора].&amp;[338]"/>
            <x15:cachedUniqueName index="13" name="[Таблица3].[№ договора].&amp;[339]"/>
            <x15:cachedUniqueName index="14" name="[Таблица3].[№ договора].&amp;[340]"/>
            <x15:cachedUniqueName index="15" name="[Таблица3].[№ договора].&amp;[341]"/>
            <x15:cachedUniqueName index="16" name="[Таблица3].[№ договора].&amp;[342]"/>
            <x15:cachedUniqueName index="17" name="[Таблица3].[№ договора].&amp;[343]"/>
            <x15:cachedUniqueName index="18" name="[Таблица3].[№ договора].&amp;[344]"/>
            <x15:cachedUniqueName index="19" name="[Таблица3].[№ договора].&amp;[345]"/>
            <x15:cachedUniqueName index="20" name="[Таблица3].[№ договора].&amp;[346]"/>
            <x15:cachedUniqueName index="21" name="[Таблица3].[№ договора].&amp;[347]"/>
            <x15:cachedUniqueName index="22" name="[Таблица3].[№ договора].&amp;[348]"/>
            <x15:cachedUniqueName index="23" name="[Таблица3].[№ договора].&amp;[349]"/>
            <x15:cachedUniqueName index="24" name="[Таблица3].[№ договора].&amp;[350]"/>
            <x15:cachedUniqueName index="25" name="[Таблица3].[№ договора].&amp;[351]"/>
            <x15:cachedUniqueName index="26" name="[Таблица3].[№ договора].&amp;[352]"/>
            <x15:cachedUniqueName index="27" name="[Таблица3].[№ договора].&amp;[353]"/>
            <x15:cachedUniqueName index="28" name="[Таблица3].[№ договора].&amp;[354]"/>
            <x15:cachedUniqueName index="29" name="[Таблица3].[№ договора].&amp;[355]"/>
            <x15:cachedUniqueName index="30" name="[Таблица3].[№ договора].&amp;[356]"/>
            <x15:cachedUniqueName index="31" name="[Таблица3].[№ договора].&amp;[357]"/>
            <x15:cachedUniqueName index="32" name="[Таблица3].[№ договора].&amp;[358]"/>
            <x15:cachedUniqueName index="33" name="[Таблица3].[№ договора].&amp;[359]"/>
            <x15:cachedUniqueName index="34" name="[Таблица3].[№ договора].&amp;[360]"/>
            <x15:cachedUniqueName index="35" name="[Таблица3].[№ договора].&amp;[361]"/>
            <x15:cachedUniqueName index="36" name="[Таблица3].[№ договора].&amp;[362]"/>
            <x15:cachedUniqueName index="37" name="[Таблица3].[№ договора].&amp;[363]"/>
            <x15:cachedUniqueName index="38" name="[Таблица3].[№ договора].&amp;[364]"/>
            <x15:cachedUniqueName index="39" name="[Таблица3].[№ договора].&amp;[365]"/>
            <x15:cachedUniqueName index="40" name="[Таблица3].[№ договора].&amp;[366]"/>
            <x15:cachedUniqueName index="41" name="[Таблица3].[№ договора].&amp;[367]"/>
            <x15:cachedUniqueName index="42" name="[Таблица3].[№ договора].&amp;[368]"/>
            <x15:cachedUniqueName index="43" name="[Таблица3].[№ договора].&amp;[369]"/>
            <x15:cachedUniqueName index="44" name="[Таблица3].[№ договора].&amp;[370]"/>
            <x15:cachedUniqueName index="45" name="[Таблица3].[№ договора].&amp;[371]"/>
            <x15:cachedUniqueName index="46" name="[Таблица3].[№ договора].&amp;[372]"/>
            <x15:cachedUniqueName index="47" name="[Таблица3].[№ договора].&amp;[373]"/>
            <x15:cachedUniqueName index="48" name="[Таблица3].[№ договора].&amp;[374]"/>
            <x15:cachedUniqueName index="49" name="[Таблица3].[№ договора].&amp;[375]"/>
            <x15:cachedUniqueName index="50" name="[Таблица3].[№ договора].&amp;[376]"/>
            <x15:cachedUniqueName index="51" name="[Таблица3].[№ договора].&amp;[377]"/>
            <x15:cachedUniqueName index="52" name="[Таблица3].[№ договора].&amp;[378]"/>
            <x15:cachedUniqueName index="53" name="[Таблица3].[№ договора].&amp;[379]"/>
            <x15:cachedUniqueName index="54" name="[Таблица3].[№ договора].&amp;[380]"/>
            <x15:cachedUniqueName index="55" name="[Таблица3].[№ договора].&amp;[381]"/>
            <x15:cachedUniqueName index="56" name="[Таблица3].[№ договора].&amp;[382]"/>
            <x15:cachedUniqueName index="57" name="[Таблица3].[№ договора].&amp;[383]"/>
            <x15:cachedUniqueName index="58" name="[Таблица3].[№ договора].&amp;[384]"/>
            <x15:cachedUniqueName index="59" name="[Таблица3].[№ договора].&amp;[385]"/>
            <x15:cachedUniqueName index="60" name="[Таблица3].[№ договора].&amp;[386]"/>
            <x15:cachedUniqueName index="61" name="[Таблица3].[№ договора].&amp;[387]"/>
            <x15:cachedUniqueName index="62" name="[Таблица3].[№ договора].&amp;[388]"/>
            <x15:cachedUniqueName index="63" name="[Таблица3].[№ договора].&amp;[389]"/>
            <x15:cachedUniqueName index="64" name="[Таблица3].[№ договора].&amp;[390]"/>
            <x15:cachedUniqueName index="65" name="[Таблица3].[№ договора].&amp;[391]"/>
            <x15:cachedUniqueName index="66" name="[Таблица3].[№ договора].&amp;[392]"/>
            <x15:cachedUniqueName index="67" name="[Таблица3].[№ договора].&amp;[393]"/>
            <x15:cachedUniqueName index="68" name="[Таблица3].[№ договора].&amp;[394]"/>
            <x15:cachedUniqueName index="69" name="[Таблица3].[№ договора].&amp;[395]"/>
            <x15:cachedUniqueName index="70" name="[Таблица3].[№ договора].&amp;[396]"/>
            <x15:cachedUniqueName index="71" name="[Таблица3].[№ договора].&amp;[397]"/>
            <x15:cachedUniqueName index="72" name="[Таблица3].[№ договора].&amp;[398]"/>
            <x15:cachedUniqueName index="73" name="[Таблица3].[№ договора].&amp;[399]"/>
            <x15:cachedUniqueName index="74" name="[Таблица3].[№ договора].&amp;[400]"/>
          </x15:cachedUniqueNames>
        </ext>
      </extLst>
    </cacheField>
    <cacheField name="[Таблица3].[Менеджер по продажам].[Менеджер по продажам]" caption="Менеджер по продажам" numFmtId="0" hierarchy="3" level="1">
      <sharedItems count="1">
        <s v="Соколов Г.П."/>
      </sharedItems>
    </cacheField>
    <cacheField name="[Таблица3].[Дата продажи (Месяц)].[Дата продажи (Месяц)]" caption="Дата продажи (Месяц)" numFmtId="0" hierarchy="18" level="1">
      <sharedItems count="3">
        <s v="мар"/>
        <s v="янв"/>
        <s v="фев"/>
      </sharedItems>
    </cacheField>
    <cacheField name="[Таблица3].[Наименование товара].[Наименование товара]" caption="Наименование товара" numFmtId="0" hierarchy="7" level="1">
      <sharedItems count="6">
        <s v="Товар A"/>
        <s v="Товар B"/>
        <s v="Товар C"/>
        <s v="Товар D"/>
        <s v="Товар E"/>
        <s v="Товар F"/>
      </sharedItems>
    </cacheField>
    <cacheField name="[Measures].[Сумма по столбцу Комиссия продавца, руб.]" caption="Сумма по столбцу Комиссия продавца, руб." numFmtId="0" hierarchy="34" level="32767"/>
    <cacheField name="[Measures].[Сумма по столбцу Цена за единицу (с учетом наценки продавца), руб.]" caption="Сумма по столбцу Цена за единицу (с учетом наценки продавца), руб." numFmtId="0" hierarchy="31" level="32767"/>
    <cacheField name="[Measures].[Сумма по столбцу Персональная скидка менеджера]" caption="Сумма по столбцу Персональная скидка менеджера" numFmtId="0" hierarchy="32" level="32767"/>
    <cacheField name="[Measures].[Сумма по столбцу Цена продажи с учетом персональной скидки, руб.]" caption="Сумма по столбцу Цена продажи с учетом персональной скидки, руб." numFmtId="0" hierarchy="33" level="32767"/>
    <cacheField name="[Measures].[Сумма по столбцу Валовая себестоимость, тс. единицы, руб]" caption="Сумма по столбцу Валовая себестоимость, тс. единицы, руб" numFmtId="0" hierarchy="29" level="32767"/>
    <cacheField name="[Measures].[Сумма по столбцу Полная себестоимость единицы, руб.]" caption="Сумма по столбцу Полная себестоимость единицы, руб." numFmtId="0" hierarchy="37" level="32767"/>
  </cacheFields>
  <cacheHierarchies count="40">
    <cacheHierarchy uniqueName="[брендыы].[Бренд]" caption="Бренд" attribute="1" defaultMemberUniqueName="[брендыы].[Бренд].[All]" allUniqueName="[брендыы].[Бренд].[All]" dimensionUniqueName="[брендыы]" displayFolder="" count="0" memberValueDatatype="130" unbalanced="0"/>
    <cacheHierarchy uniqueName="[брендыы].[Страна поставщика]" caption="Страна поставщика" attribute="1" defaultMemberUniqueName="[брендыы].[Страна поставщика].[All]" allUniqueName="[брендыы].[Страна поставщика].[All]" dimensionUniqueName="[брендыы]" displayFolder="" count="0" memberValueDatatype="130" unbalanced="0"/>
    <cacheHierarchy uniqueName="[Таблица3].[№ договора]" caption="№ договора" attribute="1" defaultMemberUniqueName="[Таблица3].[№ договора].[All]" allUniqueName="[Таблица3].[№ договора].[All]" dimensionUniqueName="[Таблица3]" displayFolder="" count="2" memberValueDatatype="20" unbalanced="0">
      <fieldsUsage count="2">
        <fieldUsage x="-1"/>
        <fieldUsage x="1"/>
      </fieldsUsage>
    </cacheHierarchy>
    <cacheHierarchy uniqueName="[Таблица3].[Менеджер по продажам]" caption="Менеджер по продажам" attribute="1" defaultMemberUniqueName="[Таблица3].[Менеджер по продажам].[All]" allUniqueName="[Таблица3].[Менеджер по продажам].[All]" dimensionUniqueName="[Таблица3]" displayFolder="" count="2" memberValueDatatype="130" unbalanced="0">
      <fieldsUsage count="2">
        <fieldUsage x="-1"/>
        <fieldUsage x="2"/>
      </fieldsUsage>
    </cacheHierarchy>
    <cacheHierarchy uniqueName="[Таблица3].[id департамента]" caption="id департамента" attribute="1" defaultMemberUniqueName="[Таблица3].[id департамента].[All]" allUniqueName="[Таблица3].[id департамента].[All]" dimensionUniqueName="[Таблица3]" displayFolder="" count="2" memberValueDatatype="20" unbalanced="0">
      <fieldsUsage count="2">
        <fieldUsage x="-1"/>
        <fieldUsage x="0"/>
      </fieldsUsage>
    </cacheHierarchy>
    <cacheHierarchy uniqueName="[Таблица3].[ФИО покупателя]" caption="ФИО покупателя" attribute="1" defaultMemberUniqueName="[Таблица3].[ФИО покупателя].[All]" allUniqueName="[Таблица3].[ФИО покупателя].[All]" dimensionUniqueName="[Таблица3]" displayFolder="" count="0" memberValueDatatype="130" unbalanced="0"/>
    <cacheHierarchy uniqueName="[Таблица3].[Город отправления]" caption="Город отправления" attribute="1" defaultMemberUniqueName="[Таблица3].[Город отправления].[All]" allUniqueName="[Таблица3].[Город отправления].[All]" dimensionUniqueName="[Таблица3]" displayFolder="" count="0" memberValueDatatype="130" unbalanced="0"/>
    <cacheHierarchy uniqueName="[Таблица3].[Наименование товара]" caption="Наименование товара" attribute="1" defaultMemberUniqueName="[Таблица3].[Наименование товара].[All]" allUniqueName="[Таблица3].[Наименование товара].[All]" dimensionUniqueName="[Таблица3]" displayFolder="" count="2" memberValueDatatype="130" unbalanced="0">
      <fieldsUsage count="2">
        <fieldUsage x="-1"/>
        <fieldUsage x="4"/>
      </fieldsUsage>
    </cacheHierarchy>
    <cacheHierarchy uniqueName="[Таблица3].[Бренд]" caption="Бренд" attribute="1" defaultMemberUniqueName="[Таблица3].[Бренд].[All]" allUniqueName="[Таблица3].[Бренд].[All]" dimensionUniqueName="[Таблица3]" displayFolder="" count="0" memberValueDatatype="130" unbalanced="0"/>
    <cacheHierarchy uniqueName="[Таблица3].[Дата продажи]" caption="Дата продажи" attribute="1" time="1" defaultMemberUniqueName="[Таблица3].[Дата продажи].[All]" allUniqueName="[Таблица3].[Дата продажи].[All]" dimensionUniqueName="[Таблица3]" displayFolder="" count="0" memberValueDatatype="7" unbalanced="0"/>
    <cacheHierarchy uniqueName="[Таблица3].[Квартал]" caption="Квартал" attribute="1" defaultMemberUniqueName="[Таблица3].[Квартал].[All]" allUniqueName="[Таблица3].[Квартал].[All]" dimensionUniqueName="[Таблица3]" displayFolder="" count="0" memberValueDatatype="20" unbalanced="0"/>
    <cacheHierarchy uniqueName="[Таблица3].[Валовая себестоимость, тс. единицы, руб]" caption="Валовая себестоимость, тс. единицы, руб" attribute="1" defaultMemberUniqueName="[Таблица3].[Валовая себестоимость, тс. единицы, руб].[All]" allUniqueName="[Таблица3].[Валовая себестоимость, тс. единицы, руб].[All]" dimensionUniqueName="[Таблица3]" displayFolder="" count="0" memberValueDatatype="5" unbalanced="0"/>
    <cacheHierarchy uniqueName="[Таблица3].[Полная себестоимость единицы, руб.]" caption="Полная себестоимость единицы, руб." attribute="1" defaultMemberUniqueName="[Таблица3].[Полная себестоимость единицы, руб.].[All]" allUniqueName="[Таблица3].[Полная себестоимость единицы, руб.].[All]" dimensionUniqueName="[Таблица3]" displayFolder="" count="0" memberValueDatatype="5" unbalanced="0"/>
    <cacheHierarchy uniqueName="[Таблица3].[Цена за единицу (с учетом наценки продавца), руб.]" caption="Цена за единицу (с учетом наценки продавца), руб." attribute="1" defaultMemberUniqueName="[Таблица3].[Цена за единицу (с учетом наценки продавца), руб.].[All]" allUniqueName="[Таблица3].[Цена за единицу (с учетом наценки продавца), руб.].[All]" dimensionUniqueName="[Таблица3]" displayFolder="" count="0" memberValueDatatype="20" unbalanced="0"/>
    <cacheHierarchy uniqueName="[Таблица3].[Персональная скидка менеджера]" caption="Персональная скидка менеджера" attribute="1" defaultMemberUniqueName="[Таблица3].[Персональная скидка менеджера].[All]" allUniqueName="[Таблица3].[Персональная скидка менеджера].[All]" dimensionUniqueName="[Таблица3]" displayFolder="" count="0" memberValueDatatype="5" unbalanced="0"/>
    <cacheHierarchy uniqueName="[Таблица3].[Цена продажи с учетом персональной скидки, руб.]" caption="Цена продажи с учетом персональной скидки, руб." attribute="1" defaultMemberUniqueName="[Таблица3].[Цена продажи с учетом персональной скидки, руб.].[All]" allUniqueName="[Таблица3].[Цена продажи с учетом персональной скидки, руб.].[All]" dimensionUniqueName="[Таблица3]" displayFolder="" count="0" memberValueDatatype="20" unbalanced="0"/>
    <cacheHierarchy uniqueName="[Таблица3].[Комиссия продавца, %]" caption="Комиссия продавца, %" attribute="1" defaultMemberUniqueName="[Таблица3].[Комиссия продавца, %].[All]" allUniqueName="[Таблица3].[Комиссия продавца, %].[All]" dimensionUniqueName="[Таблица3]" displayFolder="" count="0" memberValueDatatype="5" unbalanced="0"/>
    <cacheHierarchy uniqueName="[Таблица3].[Комиссия продавца, руб.]" caption="Комиссия продавца, руб." attribute="1" defaultMemberUniqueName="[Таблица3].[Комиссия продавца, руб.].[All]" allUniqueName="[Таблица3].[Комиссия продавца, руб.].[All]" dimensionUniqueName="[Таблица3]" displayFolder="" count="0" memberValueDatatype="5" unbalanced="0"/>
    <cacheHierarchy uniqueName="[Таблица3].[Дата продажи (Месяц)]" caption="Дата продажи (Месяц)" attribute="1" defaultMemberUniqueName="[Таблица3].[Дата продажи (Месяц)].[All]" allUniqueName="[Таблица3].[Дата продажи (Месяц)].[All]" dimensionUniqueName="[Таблица3]" displayFolder="" count="2" memberValueDatatype="130" unbalanced="0">
      <fieldsUsage count="2">
        <fieldUsage x="-1"/>
        <fieldUsage x="3"/>
      </fieldsUsage>
    </cacheHierarchy>
    <cacheHierarchy uniqueName="[Таблица46].[Бренд]" caption="Бренд" attribute="1" defaultMemberUniqueName="[Таблица46].[Бренд].[All]" allUniqueName="[Таблица46].[Бренд].[All]" dimensionUniqueName="[Таблица46]" displayFolder="" count="0" memberValueDatatype="130" unbalanced="0"/>
    <cacheHierarchy uniqueName="[Таблица46].[Страна поставщика]" caption="Страна поставщика" attribute="1" defaultMemberUniqueName="[Таблица46].[Страна поставщика].[All]" allUniqueName="[Таблица46].[Страна поставщика].[All]" dimensionUniqueName="[Таблица46]" displayFolder="" count="0" memberValueDatatype="130" unbalanced="0"/>
    <cacheHierarchy uniqueName="[Таблица3].[Дата продажи (Индекс месяца)]" caption="Дата продажи (Индекс месяца)" attribute="1" defaultMemberUniqueName="[Таблица3].[Дата продажи (Индекс месяца)].[All]" allUniqueName="[Таблица3].[Дата продажи (Индекс месяца)].[All]" dimensionUniqueName="[Таблица3]" displayFolder="" count="0" memberValueDatatype="20" unbalanced="0" hidden="1"/>
    <cacheHierarchy uniqueName="[Measures].[__XL_Count Таблица3]" caption="__XL_Count Таблица3" measure="1" displayFolder="" measureGroup="Таблица3" count="0" hidden="1"/>
    <cacheHierarchy uniqueName="[Measures].[__XL_Count Таблица46]" caption="__XL_Count Таблица46" measure="1" displayFolder="" measureGroup="Таблица46" count="0" hidden="1"/>
    <cacheHierarchy uniqueName="[Measures].[__XL_Count брендыы]" caption="__XL_Count брендыы" measure="1" displayFolder="" measureGroup="брендыы" count="0" hidden="1"/>
    <cacheHierarchy uniqueName="[Measures].[__No measures defined]" caption="__No measures defined" measure="1" displayFolder="" count="0" hidden="1"/>
    <cacheHierarchy uniqueName="[Measures].[Число элементов в столбце № договора]" caption="Число элементов в столбце № догово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Дата продажи (Месяц)]" caption="Число элементов в столбце Дата продажи (Месяц)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Дата продажи]" caption="Число элементов в столбце Дата продажи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Валовая себестоимость, тс. единицы, руб]" caption="Сумма по столбцу Валовая себестоимость, тс. единицы, руб" measure="1" displayFolder="" measureGroup="Таблица3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Число элементов в столбце Наименование товара]" caption="Число элементов в столбце Наименование това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Цена за единицу (с учетом наценки продавца), руб.]" caption="Сумма по столбцу Цена за единицу (с учетом наценки продавца), руб." measure="1" displayFolder="" measureGroup="Таблица3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Сумма по столбцу Персональная скидка менеджера]" caption="Сумма по столбцу Персональная скидка менеджера" measure="1" displayFolder="" measureGroup="Таблица3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Сумма по столбцу Цена продажи с учетом персональной скидки, руб.]" caption="Сумма по столбцу Цена продажи с учетом персональной скидки, руб." measure="1" displayFolder="" measureGroup="Таблица3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Сумма по столбцу Комиссия продавца, руб.]" caption="Сумма по столбцу Комиссия продавца, руб." measure="1" displayFolder="" measureGroup="Таблица3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Число элементов в столбце Цена за единицу (с учетом наценки продавца), руб.]" caption="Число элементов в столбце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Число элементов в столбце Менеджер по продажам]" caption="Число элементов в столбце Менеджер по продажам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Полная себестоимость единицы, руб.]" caption="Сумма по столбцу Полная себестоимость единицы, руб." measure="1" displayFolder="" measureGroup="Таблица3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Сумма по столбцу Комиссия продавца, %]" caption="Сумма по столбцу Комиссия продавца, %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Число элементов в столбце Страна поставщика 2]" caption="Число элементов в столбце Страна поставщика 2" measure="1" displayFolder="" measureGroup="Таблица46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4">
    <dimension measure="1" name="Measures" uniqueName="[Measures]" caption="Measures"/>
    <dimension name="брендыы" uniqueName="[брендыы]" caption="брендыы"/>
    <dimension name="Таблица3" uniqueName="[Таблица3]" caption="Таблица3"/>
    <dimension name="Таблица46" uniqueName="[Таблица46]" caption="Таблица46"/>
  </dimensions>
  <measureGroups count="3">
    <measureGroup name="брендыы" caption="брендыы"/>
    <measureGroup name="Таблица3" caption="Таблица3"/>
    <measureGroup name="Таблица46" caption="Таблица46"/>
  </measureGroups>
  <maps count="5">
    <map measureGroup="0" dimension="1"/>
    <map measureGroup="1" dimension="1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Kalashnikova" refreshedDate="45617.535618402777" backgroundQuery="1" createdVersion="7" refreshedVersion="6" minRefreshableVersion="3" recordCount="0" supportSubquery="1" supportAdvancedDrill="1">
  <cacheSource type="external" connectionId="1"/>
  <cacheFields count="12">
    <cacheField name="[Таблица3].[№ договора].[№ договора]" caption="№ договора" numFmtId="0" hierarchy="2" level="1">
      <sharedItems containsSemiMixedTypes="0" containsString="0" containsNumber="1" containsInteger="1" minValue="67" maxValue="325" count="169"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</sharedItems>
      <extLst>
        <ext xmlns:x15="http://schemas.microsoft.com/office/spreadsheetml/2010/11/main" uri="{4F2E5C28-24EA-4eb8-9CBF-B6C8F9C3D259}">
          <x15:cachedUniqueNames>
            <x15:cachedUniqueName index="0" name="[Таблица3].[№ договора].&amp;[67]"/>
            <x15:cachedUniqueName index="1" name="[Таблица3].[№ договора].&amp;[68]"/>
            <x15:cachedUniqueName index="2" name="[Таблица3].[№ договора].&amp;[69]"/>
            <x15:cachedUniqueName index="3" name="[Таблица3].[№ договора].&amp;[70]"/>
            <x15:cachedUniqueName index="4" name="[Таблица3].[№ договора].&amp;[71]"/>
            <x15:cachedUniqueName index="5" name="[Таблица3].[№ договора].&amp;[72]"/>
            <x15:cachedUniqueName index="6" name="[Таблица3].[№ договора].&amp;[73]"/>
            <x15:cachedUniqueName index="7" name="[Таблица3].[№ договора].&amp;[74]"/>
            <x15:cachedUniqueName index="8" name="[Таблица3].[№ договора].&amp;[75]"/>
            <x15:cachedUniqueName index="9" name="[Таблица3].[№ договора].&amp;[76]"/>
            <x15:cachedUniqueName index="10" name="[Таблица3].[№ договора].&amp;[77]"/>
            <x15:cachedUniqueName index="11" name="[Таблица3].[№ договора].&amp;[78]"/>
            <x15:cachedUniqueName index="12" name="[Таблица3].[№ договора].&amp;[79]"/>
            <x15:cachedUniqueName index="13" name="[Таблица3].[№ договора].&amp;[80]"/>
            <x15:cachedUniqueName index="14" name="[Таблица3].[№ договора].&amp;[81]"/>
            <x15:cachedUniqueName index="15" name="[Таблица3].[№ договора].&amp;[82]"/>
            <x15:cachedUniqueName index="16" name="[Таблица3].[№ договора].&amp;[83]"/>
            <x15:cachedUniqueName index="17" name="[Таблица3].[№ договора].&amp;[84]"/>
            <x15:cachedUniqueName index="18" name="[Таблица3].[№ договора].&amp;[85]"/>
            <x15:cachedUniqueName index="19" name="[Таблица3].[№ договора].&amp;[86]"/>
            <x15:cachedUniqueName index="20" name="[Таблица3].[№ договора].&amp;[87]"/>
            <x15:cachedUniqueName index="21" name="[Таблица3].[№ договора].&amp;[88]"/>
            <x15:cachedUniqueName index="22" name="[Таблица3].[№ договора].&amp;[89]"/>
            <x15:cachedUniqueName index="23" name="[Таблица3].[№ договора].&amp;[90]"/>
            <x15:cachedUniqueName index="24" name="[Таблица3].[№ договора].&amp;[91]"/>
            <x15:cachedUniqueName index="25" name="[Таблица3].[№ договора].&amp;[92]"/>
            <x15:cachedUniqueName index="26" name="[Таблица3].[№ договора].&amp;[93]"/>
            <x15:cachedUniqueName index="27" name="[Таблица3].[№ договора].&amp;[94]"/>
            <x15:cachedUniqueName index="28" name="[Таблица3].[№ договора].&amp;[95]"/>
            <x15:cachedUniqueName index="29" name="[Таблица3].[№ договора].&amp;[96]"/>
            <x15:cachedUniqueName index="30" name="[Таблица3].[№ договора].&amp;[97]"/>
            <x15:cachedUniqueName index="31" name="[Таблица3].[№ договора].&amp;[98]"/>
            <x15:cachedUniqueName index="32" name="[Таблица3].[№ договора].&amp;[99]"/>
            <x15:cachedUniqueName index="33" name="[Таблица3].[№ договора].&amp;[100]"/>
            <x15:cachedUniqueName index="34" name="[Таблица3].[№ договора].&amp;[101]"/>
            <x15:cachedUniqueName index="35" name="[Таблица3].[№ договора].&amp;[102]"/>
            <x15:cachedUniqueName index="36" name="[Таблица3].[№ договора].&amp;[103]"/>
            <x15:cachedUniqueName index="37" name="[Таблица3].[№ договора].&amp;[104]"/>
            <x15:cachedUniqueName index="38" name="[Таблица3].[№ договора].&amp;[105]"/>
            <x15:cachedUniqueName index="39" name="[Таблица3].[№ договора].&amp;[106]"/>
            <x15:cachedUniqueName index="40" name="[Таблица3].[№ договора].&amp;[107]"/>
            <x15:cachedUniqueName index="41" name="[Таблица3].[№ договора].&amp;[108]"/>
            <x15:cachedUniqueName index="42" name="[Таблица3].[№ договора].&amp;[109]"/>
            <x15:cachedUniqueName index="43" name="[Таблица3].[№ договора].&amp;[110]"/>
            <x15:cachedUniqueName index="44" name="[Таблица3].[№ договора].&amp;[111]"/>
            <x15:cachedUniqueName index="45" name="[Таблица3].[№ договора].&amp;[112]"/>
            <x15:cachedUniqueName index="46" name="[Таблица3].[№ договора].&amp;[113]"/>
            <x15:cachedUniqueName index="47" name="[Таблица3].[№ договора].&amp;[114]"/>
            <x15:cachedUniqueName index="48" name="[Таблица3].[№ договора].&amp;[115]"/>
            <x15:cachedUniqueName index="49" name="[Таблица3].[№ договора].&amp;[116]"/>
            <x15:cachedUniqueName index="50" name="[Таблица3].[№ договора].&amp;[117]"/>
            <x15:cachedUniqueName index="51" name="[Таблица3].[№ договора].&amp;[118]"/>
            <x15:cachedUniqueName index="52" name="[Таблица3].[№ договора].&amp;[119]"/>
            <x15:cachedUniqueName index="53" name="[Таблица3].[№ договора].&amp;[120]"/>
            <x15:cachedUniqueName index="54" name="[Таблица3].[№ договора].&amp;[121]"/>
            <x15:cachedUniqueName index="55" name="[Таблица3].[№ договора].&amp;[122]"/>
            <x15:cachedUniqueName index="56" name="[Таблица3].[№ договора].&amp;[123]"/>
            <x15:cachedUniqueName index="57" name="[Таблица3].[№ договора].&amp;[124]"/>
            <x15:cachedUniqueName index="58" name="[Таблица3].[№ договора].&amp;[125]"/>
            <x15:cachedUniqueName index="59" name="[Таблица3].[№ договора].&amp;[126]"/>
            <x15:cachedUniqueName index="60" name="[Таблица3].[№ договора].&amp;[127]"/>
            <x15:cachedUniqueName index="61" name="[Таблица3].[№ договора].&amp;[128]"/>
            <x15:cachedUniqueName index="62" name="[Таблица3].[№ договора].&amp;[129]"/>
            <x15:cachedUniqueName index="63" name="[Таблица3].[№ договора].&amp;[130]"/>
            <x15:cachedUniqueName index="64" name="[Таблица3].[№ договора].&amp;[131]"/>
            <x15:cachedUniqueName index="65" name="[Таблица3].[№ договора].&amp;[132]"/>
            <x15:cachedUniqueName index="66" name="[Таблица3].[№ договора].&amp;[133]"/>
            <x15:cachedUniqueName index="67" name="[Таблица3].[№ договора].&amp;[134]"/>
            <x15:cachedUniqueName index="68" name="[Таблица3].[№ договора].&amp;[135]"/>
            <x15:cachedUniqueName index="69" name="[Таблица3].[№ договора].&amp;[136]"/>
            <x15:cachedUniqueName index="70" name="[Таблица3].[№ договора].&amp;[137]"/>
            <x15:cachedUniqueName index="71" name="[Таблица3].[№ договора].&amp;[138]"/>
            <x15:cachedUniqueName index="72" name="[Таблица3].[№ договора].&amp;[139]"/>
            <x15:cachedUniqueName index="73" name="[Таблица3].[№ договора].&amp;[140]"/>
            <x15:cachedUniqueName index="74" name="[Таблица3].[№ договора].&amp;[141]"/>
            <x15:cachedUniqueName index="75" name="[Таблица3].[№ договора].&amp;[142]"/>
            <x15:cachedUniqueName index="76" name="[Таблица3].[№ договора].&amp;[143]"/>
            <x15:cachedUniqueName index="77" name="[Таблица3].[№ договора].&amp;[144]"/>
            <x15:cachedUniqueName index="78" name="[Таблица3].[№ договора].&amp;[145]"/>
            <x15:cachedUniqueName index="79" name="[Таблица3].[№ договора].&amp;[146]"/>
            <x15:cachedUniqueName index="80" name="[Таблица3].[№ договора].&amp;[147]"/>
            <x15:cachedUniqueName index="81" name="[Таблица3].[№ договора].&amp;[148]"/>
            <x15:cachedUniqueName index="82" name="[Таблица3].[№ договора].&amp;[149]"/>
            <x15:cachedUniqueName index="83" name="[Таблица3].[№ договора].&amp;[150]"/>
            <x15:cachedUniqueName index="84" name="[Таблица3].[№ договора].&amp;[151]"/>
            <x15:cachedUniqueName index="85" name="[Таблица3].[№ договора].&amp;[152]"/>
            <x15:cachedUniqueName index="86" name="[Таблица3].[№ договора].&amp;[153]"/>
            <x15:cachedUniqueName index="87" name="[Таблица3].[№ договора].&amp;[244]"/>
            <x15:cachedUniqueName index="88" name="[Таблица3].[№ договора].&amp;[245]"/>
            <x15:cachedUniqueName index="89" name="[Таблица3].[№ договора].&amp;[246]"/>
            <x15:cachedUniqueName index="90" name="[Таблица3].[№ договора].&amp;[247]"/>
            <x15:cachedUniqueName index="91" name="[Таблица3].[№ договора].&amp;[248]"/>
            <x15:cachedUniqueName index="92" name="[Таблица3].[№ договора].&amp;[249]"/>
            <x15:cachedUniqueName index="93" name="[Таблица3].[№ договора].&amp;[250]"/>
            <x15:cachedUniqueName index="94" name="[Таблица3].[№ договора].&amp;[251]"/>
            <x15:cachedUniqueName index="95" name="[Таблица3].[№ договора].&amp;[252]"/>
            <x15:cachedUniqueName index="96" name="[Таблица3].[№ договора].&amp;[253]"/>
            <x15:cachedUniqueName index="97" name="[Таблица3].[№ договора].&amp;[254]"/>
            <x15:cachedUniqueName index="98" name="[Таблица3].[№ договора].&amp;[255]"/>
            <x15:cachedUniqueName index="99" name="[Таблица3].[№ договора].&amp;[256]"/>
            <x15:cachedUniqueName index="100" name="[Таблица3].[№ договора].&amp;[257]"/>
            <x15:cachedUniqueName index="101" name="[Таблица3].[№ договора].&amp;[258]"/>
            <x15:cachedUniqueName index="102" name="[Таблица3].[№ договора].&amp;[259]"/>
            <x15:cachedUniqueName index="103" name="[Таблица3].[№ договора].&amp;[260]"/>
            <x15:cachedUniqueName index="104" name="[Таблица3].[№ договора].&amp;[261]"/>
            <x15:cachedUniqueName index="105" name="[Таблица3].[№ договора].&amp;[262]"/>
            <x15:cachedUniqueName index="106" name="[Таблица3].[№ договора].&amp;[263]"/>
            <x15:cachedUniqueName index="107" name="[Таблица3].[№ договора].&amp;[264]"/>
            <x15:cachedUniqueName index="108" name="[Таблица3].[№ договора].&amp;[265]"/>
            <x15:cachedUniqueName index="109" name="[Таблица3].[№ договора].&amp;[266]"/>
            <x15:cachedUniqueName index="110" name="[Таблица3].[№ договора].&amp;[267]"/>
            <x15:cachedUniqueName index="111" name="[Таблица3].[№ договора].&amp;[268]"/>
            <x15:cachedUniqueName index="112" name="[Таблица3].[№ договора].&amp;[269]"/>
            <x15:cachedUniqueName index="113" name="[Таблица3].[№ договора].&amp;[270]"/>
            <x15:cachedUniqueName index="114" name="[Таблица3].[№ договора].&amp;[271]"/>
            <x15:cachedUniqueName index="115" name="[Таблица3].[№ договора].&amp;[272]"/>
            <x15:cachedUniqueName index="116" name="[Таблица3].[№ договора].&amp;[273]"/>
            <x15:cachedUniqueName index="117" name="[Таблица3].[№ договора].&amp;[274]"/>
            <x15:cachedUniqueName index="118" name="[Таблица3].[№ договора].&amp;[275]"/>
            <x15:cachedUniqueName index="119" name="[Таблица3].[№ договора].&amp;[276]"/>
            <x15:cachedUniqueName index="120" name="[Таблица3].[№ договора].&amp;[277]"/>
            <x15:cachedUniqueName index="121" name="[Таблица3].[№ договора].&amp;[278]"/>
            <x15:cachedUniqueName index="122" name="[Таблица3].[№ договора].&amp;[279]"/>
            <x15:cachedUniqueName index="123" name="[Таблица3].[№ договора].&amp;[280]"/>
            <x15:cachedUniqueName index="124" name="[Таблица3].[№ договора].&amp;[281]"/>
            <x15:cachedUniqueName index="125" name="[Таблица3].[№ договора].&amp;[282]"/>
            <x15:cachedUniqueName index="126" name="[Таблица3].[№ договора].&amp;[283]"/>
            <x15:cachedUniqueName index="127" name="[Таблица3].[№ договора].&amp;[284]"/>
            <x15:cachedUniqueName index="128" name="[Таблица3].[№ договора].&amp;[285]"/>
            <x15:cachedUniqueName index="129" name="[Таблица3].[№ договора].&amp;[286]"/>
            <x15:cachedUniqueName index="130" name="[Таблица3].[№ договора].&amp;[287]"/>
            <x15:cachedUniqueName index="131" name="[Таблица3].[№ договора].&amp;[288]"/>
            <x15:cachedUniqueName index="132" name="[Таблица3].[№ договора].&amp;[289]"/>
            <x15:cachedUniqueName index="133" name="[Таблица3].[№ договора].&amp;[290]"/>
            <x15:cachedUniqueName index="134" name="[Таблица3].[№ договора].&amp;[291]"/>
            <x15:cachedUniqueName index="135" name="[Таблица3].[№ договора].&amp;[292]"/>
            <x15:cachedUniqueName index="136" name="[Таблица3].[№ договора].&amp;[293]"/>
            <x15:cachedUniqueName index="137" name="[Таблица3].[№ договора].&amp;[294]"/>
            <x15:cachedUniqueName index="138" name="[Таблица3].[№ договора].&amp;[295]"/>
            <x15:cachedUniqueName index="139" name="[Таблица3].[№ договора].&amp;[296]"/>
            <x15:cachedUniqueName index="140" name="[Таблица3].[№ договора].&amp;[297]"/>
            <x15:cachedUniqueName index="141" name="[Таблица3].[№ договора].&amp;[298]"/>
            <x15:cachedUniqueName index="142" name="[Таблица3].[№ договора].&amp;[299]"/>
            <x15:cachedUniqueName index="143" name="[Таблица3].[№ договора].&amp;[300]"/>
            <x15:cachedUniqueName index="144" name="[Таблица3].[№ договора].&amp;[301]"/>
            <x15:cachedUniqueName index="145" name="[Таблица3].[№ договора].&amp;[302]"/>
            <x15:cachedUniqueName index="146" name="[Таблица3].[№ договора].&amp;[303]"/>
            <x15:cachedUniqueName index="147" name="[Таблица3].[№ договора].&amp;[304]"/>
            <x15:cachedUniqueName index="148" name="[Таблица3].[№ договора].&amp;[305]"/>
            <x15:cachedUniqueName index="149" name="[Таблица3].[№ договора].&amp;[306]"/>
            <x15:cachedUniqueName index="150" name="[Таблица3].[№ договора].&amp;[307]"/>
            <x15:cachedUniqueName index="151" name="[Таблица3].[№ договора].&amp;[308]"/>
            <x15:cachedUniqueName index="152" name="[Таблица3].[№ договора].&amp;[309]"/>
            <x15:cachedUniqueName index="153" name="[Таблица3].[№ договора].&amp;[310]"/>
            <x15:cachedUniqueName index="154" name="[Таблица3].[№ договора].&amp;[311]"/>
            <x15:cachedUniqueName index="155" name="[Таблица3].[№ договора].&amp;[312]"/>
            <x15:cachedUniqueName index="156" name="[Таблица3].[№ договора].&amp;[313]"/>
            <x15:cachedUniqueName index="157" name="[Таблица3].[№ договора].&amp;[314]"/>
            <x15:cachedUniqueName index="158" name="[Таблица3].[№ договора].&amp;[315]"/>
            <x15:cachedUniqueName index="159" name="[Таблица3].[№ договора].&amp;[316]"/>
            <x15:cachedUniqueName index="160" name="[Таблица3].[№ договора].&amp;[317]"/>
            <x15:cachedUniqueName index="161" name="[Таблица3].[№ договора].&amp;[318]"/>
            <x15:cachedUniqueName index="162" name="[Таблица3].[№ договора].&amp;[319]"/>
            <x15:cachedUniqueName index="163" name="[Таблица3].[№ договора].&amp;[320]"/>
            <x15:cachedUniqueName index="164" name="[Таблица3].[№ договора].&amp;[321]"/>
            <x15:cachedUniqueName index="165" name="[Таблица3].[№ договора].&amp;[322]"/>
            <x15:cachedUniqueName index="166" name="[Таблица3].[№ договора].&amp;[323]"/>
            <x15:cachedUniqueName index="167" name="[Таблица3].[№ договора].&amp;[324]"/>
            <x15:cachedUniqueName index="168" name="[Таблица3].[№ договора].&amp;[325]"/>
          </x15:cachedUniqueNames>
        </ext>
      </extLst>
    </cacheField>
    <cacheField name="[Таблица3].[Дата продажи].[Дата продажи]" caption="Дата продажи" numFmtId="0" hierarchy="9" level="1">
      <sharedItems containsSemiMixedTypes="0" containsNonDate="0" containsDate="1" containsString="0" minDate="2023-01-01T00:00:00" maxDate="2023-03-31T00:00:00" count="87">
        <d v="2023-02-01T00:00:00"/>
        <d v="2023-02-19T00:00:00"/>
        <d v="2023-03-10T00:00:00"/>
        <d v="2023-02-14T00:00:00"/>
        <d v="2023-03-25T00:00:00"/>
        <d v="2023-01-03T00:00:00"/>
        <d v="2023-02-20T00:00:00"/>
        <d v="2023-03-18T00:00:00"/>
        <d v="2023-02-05T00:00:00"/>
        <d v="2023-01-14T00:00:00"/>
        <d v="2023-03-30T00:00:00"/>
        <d v="2023-01-12T00:00:00"/>
        <d v="2023-01-09T00:00:00"/>
        <d v="2023-01-02T00:00:00"/>
        <d v="2023-03-24T00:00:00"/>
        <d v="2023-03-23T00:00:00"/>
        <d v="2023-01-20T00:00:00"/>
        <d v="2023-02-15T00:00:00"/>
        <d v="2023-01-01T00:00:00"/>
        <d v="2023-03-06T00:00:00"/>
        <d v="2023-03-19T00:00:00"/>
        <d v="2023-03-16T00:00:00"/>
        <d v="2023-01-30T00:00:00"/>
        <d v="2023-01-23T00:00:00"/>
        <d v="2023-01-18T00:00:00"/>
        <d v="2023-01-10T00:00:00"/>
        <d v="2023-02-24T00:00:00"/>
        <d v="2023-01-26T00:00:00"/>
        <d v="2023-01-29T00:00:00"/>
        <d v="2023-03-13T00:00:00"/>
        <d v="2023-03-14T00:00:00"/>
        <d v="2023-01-21T00:00:00"/>
        <d v="2023-02-12T00:00:00"/>
        <d v="2023-03-12T00:00:00"/>
        <d v="2023-02-25T00:00:00"/>
        <d v="2023-03-03T00:00:00"/>
        <d v="2023-01-19T00:00:00"/>
        <d v="2023-01-22T00:00:00"/>
        <d v="2023-02-08T00:00:00"/>
        <d v="2023-02-02T00:00:00"/>
        <d v="2023-01-11T00:00:00"/>
        <d v="2023-02-13T00:00:00"/>
        <d v="2023-03-07T00:00:00"/>
        <d v="2023-03-17T00:00:00"/>
        <d v="2023-03-15T00:00:00"/>
        <d v="2023-03-20T00:00:00"/>
        <d v="2023-02-16T00:00:00"/>
        <d v="2023-02-09T00:00:00"/>
        <d v="2023-01-08T00:00:00"/>
        <d v="2023-02-04T00:00:00"/>
        <d v="2023-03-11T00:00:00"/>
        <d v="2023-02-10T00:00:00"/>
        <d v="2023-03-05T00:00:00"/>
        <d v="2023-01-24T00:00:00"/>
        <d v="2023-03-02T00:00:00"/>
        <d v="2023-01-07T00:00:00"/>
        <d v="2023-02-22T00:00:00"/>
        <d v="2023-03-04T00:00:00"/>
        <d v="2023-01-17T00:00:00"/>
        <d v="2023-01-28T00:00:00"/>
        <d v="2023-01-27T00:00:00"/>
        <d v="2023-03-22T00:00:00"/>
        <d v="2023-02-17T00:00:00"/>
        <d v="2023-03-08T00:00:00"/>
        <d v="2023-03-27T00:00:00"/>
        <d v="2023-03-26T00:00:00"/>
        <d v="2023-02-28T00:00:00"/>
        <d v="2023-02-23T00:00:00"/>
        <d v="2023-02-18T00:00:00"/>
        <d v="2023-02-26T00:00:00"/>
        <d v="2023-03-09T00:00:00"/>
        <d v="2023-02-06T00:00:00"/>
        <d v="2023-03-01T00:00:00"/>
        <d v="2023-01-25T00:00:00"/>
        <d v="2023-01-13T00:00:00"/>
        <d v="2023-02-03T00:00:00"/>
        <d v="2023-02-07T00:00:00"/>
        <d v="2023-02-27T00:00:00"/>
        <d v="2023-01-31T00:00:00"/>
        <d v="2023-01-05T00:00:00"/>
        <d v="2023-03-21T00:00:00"/>
        <d v="2023-01-15T00:00:00"/>
        <d v="2023-02-11T00:00:00"/>
        <d v="2023-02-21T00:00:00"/>
        <d v="2023-01-04T00:00:00"/>
        <d v="2023-03-28T00:00:00"/>
        <d v="2023-01-16T00:00:00"/>
      </sharedItems>
    </cacheField>
    <cacheField name="[Таблица3].[Менеджер по продажам].[Менеджер по продажам]" caption="Менеджер по продажам" numFmtId="0" hierarchy="3" level="1">
      <sharedItems count="2">
        <s v="Иванов К.Г."/>
        <s v="Петров М.В."/>
      </sharedItems>
    </cacheField>
    <cacheField name="[Таблица3].[id департамента].[id департамента]" caption="id департамента" numFmtId="0" hierarchy="4" level="1">
      <sharedItems containsSemiMixedTypes="0" containsNonDate="0" containsString="0"/>
    </cacheField>
    <cacheField name="[Таблица3].[Наименование товара].[Наименование товара]" caption="Наименование товара" numFmtId="0" hierarchy="7" level="1">
      <sharedItems count="6">
        <s v="Товар A"/>
        <s v="Товар B"/>
        <s v="Товар C"/>
        <s v="Товар D"/>
        <s v="Товар E"/>
        <s v="Товар F"/>
      </sharedItems>
    </cacheField>
    <cacheField name="[Таблица3].[Дата продажи (Месяц)].[Дата продажи (Месяц)]" caption="Дата продажи (Месяц)" numFmtId="0" hierarchy="18" level="1">
      <sharedItems count="3">
        <s v="мар"/>
        <s v="янв"/>
        <s v="фев"/>
      </sharedItems>
    </cacheField>
    <cacheField name="[Measures].[Сумма по столбцу Валовая себестоимость, тс. единицы, руб]" caption="Сумма по столбцу Валовая себестоимость, тс. единицы, руб" numFmtId="0" hierarchy="29" level="32767"/>
    <cacheField name="[Measures].[Сумма по столбцу Цена за единицу (с учетом наценки продавца), руб.]" caption="Сумма по столбцу Цена за единицу (с учетом наценки продавца), руб." numFmtId="0" hierarchy="31" level="32767"/>
    <cacheField name="[Measures].[Сумма по столбцу Персональная скидка менеджера]" caption="Сумма по столбцу Персональная скидка менеджера" numFmtId="0" hierarchy="32" level="32767"/>
    <cacheField name="[Measures].[Сумма по столбцу Цена продажи с учетом персональной скидки, руб.]" caption="Сумма по столбцу Цена продажи с учетом персональной скидки, руб." numFmtId="0" hierarchy="33" level="32767"/>
    <cacheField name="[Measures].[Сумма по столбцу Комиссия продавца, руб.]" caption="Сумма по столбцу Комиссия продавца, руб." numFmtId="0" hierarchy="34" level="32767"/>
    <cacheField name="[Measures].[Сумма по столбцу Полная себестоимость единицы, руб.]" caption="Сумма по столбцу Полная себестоимость единицы, руб." numFmtId="0" hierarchy="37" level="32767"/>
  </cacheFields>
  <cacheHierarchies count="40">
    <cacheHierarchy uniqueName="[брендыы].[Бренд]" caption="Бренд" attribute="1" defaultMemberUniqueName="[брендыы].[Бренд].[All]" allUniqueName="[брендыы].[Бренд].[All]" dimensionUniqueName="[брендыы]" displayFolder="" count="0" memberValueDatatype="130" unbalanced="0"/>
    <cacheHierarchy uniqueName="[брендыы].[Страна поставщика]" caption="Страна поставщика" attribute="1" defaultMemberUniqueName="[брендыы].[Страна поставщика].[All]" allUniqueName="[брендыы].[Страна поставщика].[All]" dimensionUniqueName="[брендыы]" displayFolder="" count="0" memberValueDatatype="130" unbalanced="0"/>
    <cacheHierarchy uniqueName="[Таблица3].[№ договора]" caption="№ договора" attribute="1" defaultMemberUniqueName="[Таблица3].[№ договора].[All]" allUniqueName="[Таблица3].[№ договора].[All]" dimensionUniqueName="[Таблица3]" displayFolder="" count="2" memberValueDatatype="20" unbalanced="0">
      <fieldsUsage count="2">
        <fieldUsage x="-1"/>
        <fieldUsage x="0"/>
      </fieldsUsage>
    </cacheHierarchy>
    <cacheHierarchy uniqueName="[Таблица3].[Менеджер по продажам]" caption="Менеджер по продажам" attribute="1" defaultMemberUniqueName="[Таблица3].[Менеджер по продажам].[All]" allUniqueName="[Таблица3].[Менеджер по продажам].[All]" dimensionUniqueName="[Таблица3]" displayFolder="" count="2" memberValueDatatype="130" unbalanced="0">
      <fieldsUsage count="2">
        <fieldUsage x="-1"/>
        <fieldUsage x="2"/>
      </fieldsUsage>
    </cacheHierarchy>
    <cacheHierarchy uniqueName="[Таблица3].[id департамента]" caption="id департамента" attribute="1" defaultMemberUniqueName="[Таблица3].[id департамента].[All]" allUniqueName="[Таблица3].[id департамента].[All]" dimensionUniqueName="[Таблица3]" displayFolder="" count="2" memberValueDatatype="20" unbalanced="0">
      <fieldsUsage count="2">
        <fieldUsage x="-1"/>
        <fieldUsage x="3"/>
      </fieldsUsage>
    </cacheHierarchy>
    <cacheHierarchy uniqueName="[Таблица3].[ФИО покупателя]" caption="ФИО покупателя" attribute="1" defaultMemberUniqueName="[Таблица3].[ФИО покупателя].[All]" allUniqueName="[Таблица3].[ФИО покупателя].[All]" dimensionUniqueName="[Таблица3]" displayFolder="" count="0" memberValueDatatype="130" unbalanced="0"/>
    <cacheHierarchy uniqueName="[Таблица3].[Город отправления]" caption="Город отправления" attribute="1" defaultMemberUniqueName="[Таблица3].[Город отправления].[All]" allUniqueName="[Таблица3].[Город отправления].[All]" dimensionUniqueName="[Таблица3]" displayFolder="" count="0" memberValueDatatype="130" unbalanced="0"/>
    <cacheHierarchy uniqueName="[Таблица3].[Наименование товара]" caption="Наименование товара" attribute="1" defaultMemberUniqueName="[Таблица3].[Наименование товара].[All]" allUniqueName="[Таблица3].[Наименование товара].[All]" dimensionUniqueName="[Таблица3]" displayFolder="" count="2" memberValueDatatype="130" unbalanced="0">
      <fieldsUsage count="2">
        <fieldUsage x="-1"/>
        <fieldUsage x="4"/>
      </fieldsUsage>
    </cacheHierarchy>
    <cacheHierarchy uniqueName="[Таблица3].[Бренд]" caption="Бренд" attribute="1" defaultMemberUniqueName="[Таблица3].[Бренд].[All]" allUniqueName="[Таблица3].[Бренд].[All]" dimensionUniqueName="[Таблица3]" displayFolder="" count="0" memberValueDatatype="130" unbalanced="0"/>
    <cacheHierarchy uniqueName="[Таблица3].[Дата продажи]" caption="Дата продажи" attribute="1" time="1" defaultMemberUniqueName="[Таблица3].[Дата продажи].[All]" allUniqueName="[Таблица3].[Дата продажи].[All]" dimensionUniqueName="[Таблица3]" displayFolder="" count="2" memberValueDatatype="7" unbalanced="0">
      <fieldsUsage count="2">
        <fieldUsage x="-1"/>
        <fieldUsage x="1"/>
      </fieldsUsage>
    </cacheHierarchy>
    <cacheHierarchy uniqueName="[Таблица3].[Квартал]" caption="Квартал" attribute="1" defaultMemberUniqueName="[Таблица3].[Квартал].[All]" allUniqueName="[Таблица3].[Квартал].[All]" dimensionUniqueName="[Таблица3]" displayFolder="" count="0" memberValueDatatype="20" unbalanced="0"/>
    <cacheHierarchy uniqueName="[Таблица3].[Валовая себестоимость, тс. единицы, руб]" caption="Валовая себестоимость, тс. единицы, руб" attribute="1" defaultMemberUniqueName="[Таблица3].[Валовая себестоимость, тс. единицы, руб].[All]" allUniqueName="[Таблица3].[Валовая себестоимость, тс. единицы, руб].[All]" dimensionUniqueName="[Таблица3]" displayFolder="" count="0" memberValueDatatype="5" unbalanced="0"/>
    <cacheHierarchy uniqueName="[Таблица3].[Полная себестоимость единицы, руб.]" caption="Полная себестоимость единицы, руб." attribute="1" defaultMemberUniqueName="[Таблица3].[Полная себестоимость единицы, руб.].[All]" allUniqueName="[Таблица3].[Полная себестоимость единицы, руб.].[All]" dimensionUniqueName="[Таблица3]" displayFolder="" count="0" memberValueDatatype="5" unbalanced="0"/>
    <cacheHierarchy uniqueName="[Таблица3].[Цена за единицу (с учетом наценки продавца), руб.]" caption="Цена за единицу (с учетом наценки продавца), руб." attribute="1" defaultMemberUniqueName="[Таблица3].[Цена за единицу (с учетом наценки продавца), руб.].[All]" allUniqueName="[Таблица3].[Цена за единицу (с учетом наценки продавца), руб.].[All]" dimensionUniqueName="[Таблица3]" displayFolder="" count="0" memberValueDatatype="20" unbalanced="0"/>
    <cacheHierarchy uniqueName="[Таблица3].[Персональная скидка менеджера]" caption="Персональная скидка менеджера" attribute="1" defaultMemberUniqueName="[Таблица3].[Персональная скидка менеджера].[All]" allUniqueName="[Таблица3].[Персональная скидка менеджера].[All]" dimensionUniqueName="[Таблица3]" displayFolder="" count="0" memberValueDatatype="5" unbalanced="0"/>
    <cacheHierarchy uniqueName="[Таблица3].[Цена продажи с учетом персональной скидки, руб.]" caption="Цена продажи с учетом персональной скидки, руб." attribute="1" defaultMemberUniqueName="[Таблица3].[Цена продажи с учетом персональной скидки, руб.].[All]" allUniqueName="[Таблица3].[Цена продажи с учетом персональной скидки, руб.].[All]" dimensionUniqueName="[Таблица3]" displayFolder="" count="0" memberValueDatatype="20" unbalanced="0"/>
    <cacheHierarchy uniqueName="[Таблица3].[Комиссия продавца, %]" caption="Комиссия продавца, %" attribute="1" defaultMemberUniqueName="[Таблица3].[Комиссия продавца, %].[All]" allUniqueName="[Таблица3].[Комиссия продавца, %].[All]" dimensionUniqueName="[Таблица3]" displayFolder="" count="0" memberValueDatatype="5" unbalanced="0"/>
    <cacheHierarchy uniqueName="[Таблица3].[Комиссия продавца, руб.]" caption="Комиссия продавца, руб." attribute="1" defaultMemberUniqueName="[Таблица3].[Комиссия продавца, руб.].[All]" allUniqueName="[Таблица3].[Комиссия продавца, руб.].[All]" dimensionUniqueName="[Таблица3]" displayFolder="" count="0" memberValueDatatype="5" unbalanced="0"/>
    <cacheHierarchy uniqueName="[Таблица3].[Дата продажи (Месяц)]" caption="Дата продажи (Месяц)" attribute="1" defaultMemberUniqueName="[Таблица3].[Дата продажи (Месяц)].[All]" allUniqueName="[Таблица3].[Дата продажи (Месяц)].[All]" dimensionUniqueName="[Таблица3]" displayFolder="" count="2" memberValueDatatype="130" unbalanced="0">
      <fieldsUsage count="2">
        <fieldUsage x="-1"/>
        <fieldUsage x="5"/>
      </fieldsUsage>
    </cacheHierarchy>
    <cacheHierarchy uniqueName="[Таблица46].[Бренд]" caption="Бренд" attribute="1" defaultMemberUniqueName="[Таблица46].[Бренд].[All]" allUniqueName="[Таблица46].[Бренд].[All]" dimensionUniqueName="[Таблица46]" displayFolder="" count="0" memberValueDatatype="130" unbalanced="0"/>
    <cacheHierarchy uniqueName="[Таблица46].[Страна поставщика]" caption="Страна поставщика" attribute="1" defaultMemberUniqueName="[Таблица46].[Страна поставщика].[All]" allUniqueName="[Таблица46].[Страна поставщика].[All]" dimensionUniqueName="[Таблица46]" displayFolder="" count="0" memberValueDatatype="130" unbalanced="0"/>
    <cacheHierarchy uniqueName="[Таблица3].[Дата продажи (Индекс месяца)]" caption="Дата продажи (Индекс месяца)" attribute="1" defaultMemberUniqueName="[Таблица3].[Дата продажи (Индекс месяца)].[All]" allUniqueName="[Таблица3].[Дата продажи (Индекс месяца)].[All]" dimensionUniqueName="[Таблица3]" displayFolder="" count="0" memberValueDatatype="20" unbalanced="0" hidden="1"/>
    <cacheHierarchy uniqueName="[Measures].[__XL_Count Таблица3]" caption="__XL_Count Таблица3" measure="1" displayFolder="" measureGroup="Таблица3" count="0" hidden="1"/>
    <cacheHierarchy uniqueName="[Measures].[__XL_Count Таблица46]" caption="__XL_Count Таблица46" measure="1" displayFolder="" measureGroup="Таблица46" count="0" hidden="1"/>
    <cacheHierarchy uniqueName="[Measures].[__XL_Count брендыы]" caption="__XL_Count брендыы" measure="1" displayFolder="" measureGroup="брендыы" count="0" hidden="1"/>
    <cacheHierarchy uniqueName="[Measures].[__No measures defined]" caption="__No measures defined" measure="1" displayFolder="" count="0" hidden="1"/>
    <cacheHierarchy uniqueName="[Measures].[Число элементов в столбце № договора]" caption="Число элементов в столбце № догово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Дата продажи (Месяц)]" caption="Число элементов в столбце Дата продажи (Месяц)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Дата продажи]" caption="Число элементов в столбце Дата продажи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Валовая себестоимость, тс. единицы, руб]" caption="Сумма по столбцу Валовая себестоимость, тс. единицы, руб" measure="1" displayFolder="" measureGroup="Таблица3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Число элементов в столбце Наименование товара]" caption="Число элементов в столбце Наименование това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Цена за единицу (с учетом наценки продавца), руб.]" caption="Сумма по столбцу Цена за единицу (с учетом наценки продавца), руб." measure="1" displayFolder="" measureGroup="Таблица3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Сумма по столбцу Персональная скидка менеджера]" caption="Сумма по столбцу Персональная скидка менеджера" measure="1" displayFolder="" measureGroup="Таблица3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Сумма по столбцу Цена продажи с учетом персональной скидки, руб.]" caption="Сумма по столбцу Цена продажи с учетом персональной скидки, руб." measure="1" displayFolder="" measureGroup="Таблица3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Сумма по столбцу Комиссия продавца, руб.]" caption="Сумма по столбцу Комиссия продавца, руб." measure="1" displayFolder="" measureGroup="Таблица3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Число элементов в столбце Цена за единицу (с учетом наценки продавца), руб.]" caption="Число элементов в столбце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Число элементов в столбце Менеджер по продажам]" caption="Число элементов в столбце Менеджер по продажам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Полная себестоимость единицы, руб.]" caption="Сумма по столбцу Полная себестоимость единицы, руб." measure="1" displayFolder="" measureGroup="Таблица3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Сумма по столбцу Комиссия продавца, %]" caption="Сумма по столбцу Комиссия продавца, %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Число элементов в столбце Страна поставщика 2]" caption="Число элементов в столбце Страна поставщика 2" measure="1" displayFolder="" measureGroup="Таблица46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4">
    <dimension measure="1" name="Measures" uniqueName="[Measures]" caption="Measures"/>
    <dimension name="брендыы" uniqueName="[брендыы]" caption="брендыы"/>
    <dimension name="Таблица3" uniqueName="[Таблица3]" caption="Таблица3"/>
    <dimension name="Таблица46" uniqueName="[Таблица46]" caption="Таблица46"/>
  </dimensions>
  <measureGroups count="3">
    <measureGroup name="брендыы" caption="брендыы"/>
    <measureGroup name="Таблица3" caption="Таблица3"/>
    <measureGroup name="Таблица46" caption="Таблица46"/>
  </measureGroups>
  <maps count="5">
    <map measureGroup="0" dimension="1"/>
    <map measureGroup="1" dimension="1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Kalashnikova" refreshedDate="45617.536474884262" backgroundQuery="1" createdVersion="6" refreshedVersion="6" minRefreshableVersion="3" recordCount="0" supportSubquery="1" supportAdvancedDrill="1">
  <cacheSource type="external" connectionId="1"/>
  <cacheFields count="3">
    <cacheField name="[брендыы].[Бренд].[Бренд]" caption="Бренд" numFmtId="0" level="1">
      <sharedItems count="4">
        <s v="Colisto"/>
        <s v="Gmt"/>
        <s v="Person"/>
        <s v="Porto"/>
      </sharedItems>
    </cacheField>
    <cacheField name="[брендыы].[Страна поставщика].[Страна поставщика]" caption="Страна поставщика" numFmtId="0" hierarchy="1" level="1">
      <sharedItems count="4">
        <s v="Китай"/>
        <s v="Россия"/>
        <s v="Бразилия"/>
        <s v="Португалия"/>
      </sharedItems>
    </cacheField>
    <cacheField name="[Measures].[Сумма по столбцу Валовая себестоимость, тс. единицы, руб]" caption="Сумма по столбцу Валовая себестоимость, тс. единицы, руб" numFmtId="0" hierarchy="29" level="32767"/>
  </cacheFields>
  <cacheHierarchies count="40">
    <cacheHierarchy uniqueName="[брендыы].[Бренд]" caption="Бренд" attribute="1" defaultMemberUniqueName="[брендыы].[Бренд].[All]" allUniqueName="[брендыы].[Бренд].[All]" dimensionUniqueName="[брендыы]" displayFolder="" count="2" memberValueDatatype="130" unbalanced="0">
      <fieldsUsage count="2">
        <fieldUsage x="-1"/>
        <fieldUsage x="0"/>
      </fieldsUsage>
    </cacheHierarchy>
    <cacheHierarchy uniqueName="[брендыы].[Страна поставщика]" caption="Страна поставщика" attribute="1" defaultMemberUniqueName="[брендыы].[Страна поставщика].[All]" allUniqueName="[брендыы].[Страна поставщика].[All]" dimensionUniqueName="[брендыы]" displayFolder="" count="2" memberValueDatatype="130" unbalanced="0">
      <fieldsUsage count="2">
        <fieldUsage x="-1"/>
        <fieldUsage x="1"/>
      </fieldsUsage>
    </cacheHierarchy>
    <cacheHierarchy uniqueName="[Таблица3].[№ договора]" caption="№ договора" attribute="1" defaultMemberUniqueName="[Таблица3].[№ договора].[All]" allUniqueName="[Таблица3].[№ договора].[All]" dimensionUniqueName="[Таблица3]" displayFolder="" count="0" memberValueDatatype="20" unbalanced="0"/>
    <cacheHierarchy uniqueName="[Таблица3].[Менеджер по продажам]" caption="Менеджер по продажам" attribute="1" defaultMemberUniqueName="[Таблица3].[Менеджер по продажам].[All]" allUniqueName="[Таблица3].[Менеджер по продажам].[All]" dimensionUniqueName="[Таблица3]" displayFolder="" count="0" memberValueDatatype="130" unbalanced="0"/>
    <cacheHierarchy uniqueName="[Таблица3].[id департамента]" caption="id департамента" attribute="1" defaultMemberUniqueName="[Таблица3].[id департамента].[All]" allUniqueName="[Таблица3].[id департамента].[All]" dimensionUniqueName="[Таблица3]" displayFolder="" count="0" memberValueDatatype="20" unbalanced="0"/>
    <cacheHierarchy uniqueName="[Таблица3].[ФИО покупателя]" caption="ФИО покупателя" attribute="1" defaultMemberUniqueName="[Таблица3].[ФИО покупателя].[All]" allUniqueName="[Таблица3].[ФИО покупателя].[All]" dimensionUniqueName="[Таблица3]" displayFolder="" count="0" memberValueDatatype="130" unbalanced="0"/>
    <cacheHierarchy uniqueName="[Таблица3].[Город отправления]" caption="Город отправления" attribute="1" defaultMemberUniqueName="[Таблица3].[Город отправления].[All]" allUniqueName="[Таблица3].[Город отправления].[All]" dimensionUniqueName="[Таблица3]" displayFolder="" count="0" memberValueDatatype="130" unbalanced="0"/>
    <cacheHierarchy uniqueName="[Таблица3].[Наименование товара]" caption="Наименование товара" attribute="1" defaultMemberUniqueName="[Таблица3].[Наименование товара].[All]" allUniqueName="[Таблица3].[Наименование товара].[All]" dimensionUniqueName="[Таблица3]" displayFolder="" count="0" memberValueDatatype="130" unbalanced="0"/>
    <cacheHierarchy uniqueName="[Таблица3].[Бренд]" caption="Бренд" attribute="1" defaultMemberUniqueName="[Таблица3].[Бренд].[All]" allUniqueName="[Таблица3].[Бренд].[All]" dimensionUniqueName="[Таблица3]" displayFolder="" count="0" memberValueDatatype="130" unbalanced="0"/>
    <cacheHierarchy uniqueName="[Таблица3].[Дата продажи]" caption="Дата продажи" attribute="1" time="1" defaultMemberUniqueName="[Таблица3].[Дата продажи].[All]" allUniqueName="[Таблица3].[Дата продажи].[All]" dimensionUniqueName="[Таблица3]" displayFolder="" count="0" memberValueDatatype="7" unbalanced="0"/>
    <cacheHierarchy uniqueName="[Таблица3].[Квартал]" caption="Квартал" attribute="1" defaultMemberUniqueName="[Таблица3].[Квартал].[All]" allUniqueName="[Таблица3].[Квартал].[All]" dimensionUniqueName="[Таблица3]" displayFolder="" count="0" memberValueDatatype="20" unbalanced="0"/>
    <cacheHierarchy uniqueName="[Таблица3].[Валовая себестоимость, тс. единицы, руб]" caption="Валовая себестоимость, тс. единицы, руб" attribute="1" defaultMemberUniqueName="[Таблица3].[Валовая себестоимость, тс. единицы, руб].[All]" allUniqueName="[Таблица3].[Валовая себестоимость, тс. единицы, руб].[All]" dimensionUniqueName="[Таблица3]" displayFolder="" count="0" memberValueDatatype="5" unbalanced="0"/>
    <cacheHierarchy uniqueName="[Таблица3].[Полная себестоимость единицы, руб.]" caption="Полная себестоимость единицы, руб." attribute="1" defaultMemberUniqueName="[Таблица3].[Полная себестоимость единицы, руб.].[All]" allUniqueName="[Таблица3].[Полная себестоимость единицы, руб.].[All]" dimensionUniqueName="[Таблица3]" displayFolder="" count="0" memberValueDatatype="5" unbalanced="0"/>
    <cacheHierarchy uniqueName="[Таблица3].[Цена за единицу (с учетом наценки продавца), руб.]" caption="Цена за единицу (с учетом наценки продавца), руб." attribute="1" defaultMemberUniqueName="[Таблица3].[Цена за единицу (с учетом наценки продавца), руб.].[All]" allUniqueName="[Таблица3].[Цена за единицу (с учетом наценки продавца), руб.].[All]" dimensionUniqueName="[Таблица3]" displayFolder="" count="0" memberValueDatatype="20" unbalanced="0"/>
    <cacheHierarchy uniqueName="[Таблица3].[Персональная скидка менеджера]" caption="Персональная скидка менеджера" attribute="1" defaultMemberUniqueName="[Таблица3].[Персональная скидка менеджера].[All]" allUniqueName="[Таблица3].[Персональная скидка менеджера].[All]" dimensionUniqueName="[Таблица3]" displayFolder="" count="0" memberValueDatatype="5" unbalanced="0"/>
    <cacheHierarchy uniqueName="[Таблица3].[Цена продажи с учетом персональной скидки, руб.]" caption="Цена продажи с учетом персональной скидки, руб." attribute="1" defaultMemberUniqueName="[Таблица3].[Цена продажи с учетом персональной скидки, руб.].[All]" allUniqueName="[Таблица3].[Цена продажи с учетом персональной скидки, руб.].[All]" dimensionUniqueName="[Таблица3]" displayFolder="" count="0" memberValueDatatype="20" unbalanced="0"/>
    <cacheHierarchy uniqueName="[Таблица3].[Комиссия продавца, %]" caption="Комиссия продавца, %" attribute="1" defaultMemberUniqueName="[Таблица3].[Комиссия продавца, %].[All]" allUniqueName="[Таблица3].[Комиссия продавца, %].[All]" dimensionUniqueName="[Таблица3]" displayFolder="" count="0" memberValueDatatype="5" unbalanced="0"/>
    <cacheHierarchy uniqueName="[Таблица3].[Комиссия продавца, руб.]" caption="Комиссия продавца, руб." attribute="1" defaultMemberUniqueName="[Таблица3].[Комиссия продавца, руб.].[All]" allUniqueName="[Таблица3].[Комиссия продавца, руб.].[All]" dimensionUniqueName="[Таблица3]" displayFolder="" count="0" memberValueDatatype="5" unbalanced="0"/>
    <cacheHierarchy uniqueName="[Таблица3].[Дата продажи (Месяц)]" caption="Дата продажи (Месяц)" attribute="1" defaultMemberUniqueName="[Таблица3].[Дата продажи (Месяц)].[All]" allUniqueName="[Таблица3].[Дата продажи (Месяц)].[All]" dimensionUniqueName="[Таблица3]" displayFolder="" count="0" memberValueDatatype="130" unbalanced="0"/>
    <cacheHierarchy uniqueName="[Таблица46].[Бренд]" caption="Бренд" attribute="1" defaultMemberUniqueName="[Таблица46].[Бренд].[All]" allUniqueName="[Таблица46].[Бренд].[All]" dimensionUniqueName="[Таблица46]" displayFolder="" count="0" memberValueDatatype="130" unbalanced="0"/>
    <cacheHierarchy uniqueName="[Таблица46].[Страна поставщика]" caption="Страна поставщика" attribute="1" defaultMemberUniqueName="[Таблица46].[Страна поставщика].[All]" allUniqueName="[Таблица46].[Страна поставщика].[All]" dimensionUniqueName="[Таблица46]" displayFolder="" count="0" memberValueDatatype="130" unbalanced="0"/>
    <cacheHierarchy uniqueName="[Таблица3].[Дата продажи (Индекс месяца)]" caption="Дата продажи (Индекс месяца)" attribute="1" defaultMemberUniqueName="[Таблица3].[Дата продажи (Индекс месяца)].[All]" allUniqueName="[Таблица3].[Дата продажи (Индекс месяца)].[All]" dimensionUniqueName="[Таблица3]" displayFolder="" count="0" memberValueDatatype="20" unbalanced="0" hidden="1"/>
    <cacheHierarchy uniqueName="[Measures].[__XL_Count Таблица3]" caption="__XL_Count Таблица3" measure="1" displayFolder="" measureGroup="Таблица3" count="0" hidden="1"/>
    <cacheHierarchy uniqueName="[Measures].[__XL_Count Таблица46]" caption="__XL_Count Таблица46" measure="1" displayFolder="" measureGroup="Таблица46" count="0" hidden="1"/>
    <cacheHierarchy uniqueName="[Measures].[__XL_Count брендыы]" caption="__XL_Count брендыы" measure="1" displayFolder="" measureGroup="брендыы" count="0" hidden="1"/>
    <cacheHierarchy uniqueName="[Measures].[__No measures defined]" caption="__No measures defined" measure="1" displayFolder="" count="0" hidden="1"/>
    <cacheHierarchy uniqueName="[Measures].[Число элементов в столбце № договора]" caption="Число элементов в столбце № догово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Дата продажи (Месяц)]" caption="Число элементов в столбце Дата продажи (Месяц)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Дата продажи]" caption="Число элементов в столбце Дата продажи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Валовая себестоимость, тс. единицы, руб]" caption="Сумма по столбцу Валовая себестоимость, тс. единицы, руб" measure="1" displayFolder="" measureGroup="Таблица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Число элементов в столбце Наименование товара]" caption="Число элементов в столбце Наименование това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Цена за единицу (с учетом наценки продавца), руб.]" caption="Сумма по столбцу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Сумма по столбцу Персональная скидка менеджера]" caption="Сумма по столбцу Персональная скидка менедже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Сумма по столбцу Цена продажи с учетом персональной скидки, руб.]" caption="Сумма по столбцу Цена продажи с учетом персональной скидки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Сумма по столбцу Комиссия продавца, руб.]" caption="Сумма по столбцу Комиссия продавца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Число элементов в столбце Цена за единицу (с учетом наценки продавца), руб.]" caption="Число элементов в столбце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Число элементов в столбце Менеджер по продажам]" caption="Число элементов в столбце Менеджер по продажам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Полная себестоимость единицы, руб.]" caption="Сумма по столбцу Полная себестоимость единицы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Сумма по столбцу Комиссия продавца, %]" caption="Сумма по столбцу Комиссия продавца, %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Число элементов в столбце Страна поставщика 2]" caption="Число элементов в столбце Страна поставщика 2" measure="1" displayFolder="" measureGroup="Таблица46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4">
    <dimension measure="1" name="Measures" uniqueName="[Measures]" caption="Measures"/>
    <dimension name="брендыы" uniqueName="[брендыы]" caption="брендыы"/>
    <dimension name="Таблица3" uniqueName="[Таблица3]" caption="Таблица3"/>
    <dimension name="Таблица46" uniqueName="[Таблица46]" caption="Таблица46"/>
  </dimensions>
  <measureGroups count="3">
    <measureGroup name="брендыы" caption="брендыы"/>
    <measureGroup name="Таблица3" caption="Таблица3"/>
    <measureGroup name="Таблица46" caption="Таблица46"/>
  </measureGroups>
  <maps count="5">
    <map measureGroup="0" dimension="1"/>
    <map measureGroup="1" dimension="1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Газпром Нефть" refreshedDate="45618.712198148147" backgroundQuery="1" createdVersion="6" refreshedVersion="7" minRefreshableVersion="3" recordCount="0" supportSubquery="1" supportAdvancedDrill="1">
  <cacheSource type="external" connectionId="1"/>
  <cacheFields count="3">
    <cacheField name="[брендыы].[Страна поставщика].[Страна поставщика]" caption="Страна поставщика" numFmtId="0" hierarchy="1" level="1">
      <sharedItems count="4">
        <s v="Бразилия"/>
        <s v="Китай"/>
        <s v="Португалия"/>
        <s v="Россия"/>
      </sharedItems>
    </cacheField>
    <cacheField name="[Measures].[Сумма по столбцу Валовая себестоимость, тс. единицы, руб]" caption="Сумма по столбцу Валовая себестоимость, тс. единицы, руб" numFmtId="0" hierarchy="29" level="32767"/>
    <cacheField name="[Таблица3].[Дата продажи].[Дата продажи]" caption="Дата продажи" numFmtId="0" hierarchy="9" level="1">
      <sharedItems containsSemiMixedTypes="0" containsNonDate="0" containsString="0"/>
    </cacheField>
  </cacheFields>
  <cacheHierarchies count="40">
    <cacheHierarchy uniqueName="[брендыы].[Бренд]" caption="Бренд" attribute="1" defaultMemberUniqueName="[брендыы].[Бренд].[All]" allUniqueName="[брендыы].[Бренд].[All]" dimensionUniqueName="[брендыы]" displayFolder="" count="2" memberValueDatatype="130" unbalanced="0"/>
    <cacheHierarchy uniqueName="[брендыы].[Страна поставщика]" caption="Страна поставщика" attribute="1" defaultMemberUniqueName="[брендыы].[Страна поставщика].[All]" allUniqueName="[брендыы].[Страна поставщика].[All]" dimensionUniqueName="[брендыы]" displayFolder="" count="2" memberValueDatatype="130" unbalanced="0">
      <fieldsUsage count="2">
        <fieldUsage x="-1"/>
        <fieldUsage x="0"/>
      </fieldsUsage>
    </cacheHierarchy>
    <cacheHierarchy uniqueName="[Таблица3].[№ договора]" caption="№ договора" attribute="1" defaultMemberUniqueName="[Таблица3].[№ договора].[All]" allUniqueName="[Таблица3].[№ договора].[All]" dimensionUniqueName="[Таблица3]" displayFolder="" count="2" memberValueDatatype="20" unbalanced="0"/>
    <cacheHierarchy uniqueName="[Таблица3].[Менеджер по продажам]" caption="Менеджер по продажам" attribute="1" defaultMemberUniqueName="[Таблица3].[Менеджер по продажам].[All]" allUniqueName="[Таблица3].[Менеджер по продажам].[All]" dimensionUniqueName="[Таблица3]" displayFolder="" count="2" memberValueDatatype="130" unbalanced="0"/>
    <cacheHierarchy uniqueName="[Таблица3].[id департамента]" caption="id департамента" attribute="1" defaultMemberUniqueName="[Таблица3].[id департамента].[All]" allUniqueName="[Таблица3].[id департамента].[All]" dimensionUniqueName="[Таблица3]" displayFolder="" count="2" memberValueDatatype="20" unbalanced="0"/>
    <cacheHierarchy uniqueName="[Таблица3].[ФИО покупателя]" caption="ФИО покупателя" attribute="1" defaultMemberUniqueName="[Таблица3].[ФИО покупателя].[All]" allUniqueName="[Таблица3].[ФИО покупателя].[All]" dimensionUniqueName="[Таблица3]" displayFolder="" count="2" memberValueDatatype="130" unbalanced="0"/>
    <cacheHierarchy uniqueName="[Таблица3].[Город отправления]" caption="Город отправления" attribute="1" defaultMemberUniqueName="[Таблица3].[Город отправления].[All]" allUniqueName="[Таблица3].[Город отправления].[All]" dimensionUniqueName="[Таблица3]" displayFolder="" count="2" memberValueDatatype="130" unbalanced="0"/>
    <cacheHierarchy uniqueName="[Таблица3].[Наименование товара]" caption="Наименование товара" attribute="1" defaultMemberUniqueName="[Таблица3].[Наименование товара].[All]" allUniqueName="[Таблица3].[Наименование товара].[All]" dimensionUniqueName="[Таблица3]" displayFolder="" count="2" memberValueDatatype="130" unbalanced="0"/>
    <cacheHierarchy uniqueName="[Таблица3].[Бренд]" caption="Бренд" attribute="1" defaultMemberUniqueName="[Таблица3].[Бренд].[All]" allUniqueName="[Таблица3].[Бренд].[All]" dimensionUniqueName="[Таблица3]" displayFolder="" count="2" memberValueDatatype="130" unbalanced="0"/>
    <cacheHierarchy uniqueName="[Таблица3].[Дата продажи]" caption="Дата продажи" attribute="1" time="1" defaultMemberUniqueName="[Таблица3].[Дата продажи].[All]" allUniqueName="[Таблица3].[Дата продажи].[All]" dimensionUniqueName="[Таблица3]" displayFolder="" count="2" memberValueDatatype="7" unbalanced="0">
      <fieldsUsage count="2">
        <fieldUsage x="-1"/>
        <fieldUsage x="2"/>
      </fieldsUsage>
    </cacheHierarchy>
    <cacheHierarchy uniqueName="[Таблица3].[Квартал]" caption="Квартал" attribute="1" defaultMemberUniqueName="[Таблица3].[Квартал].[All]" allUniqueName="[Таблица3].[Квартал].[All]" dimensionUniqueName="[Таблица3]" displayFolder="" count="2" memberValueDatatype="20" unbalanced="0"/>
    <cacheHierarchy uniqueName="[Таблица3].[Валовая себестоимость, тс. единицы, руб]" caption="Валовая себестоимость, тс. единицы, руб" attribute="1" defaultMemberUniqueName="[Таблица3].[Валовая себестоимость, тс. единицы, руб].[All]" allUniqueName="[Таблица3].[Валовая себестоимость, тс. единицы, руб].[All]" dimensionUniqueName="[Таблица3]" displayFolder="" count="2" memberValueDatatype="5" unbalanced="0"/>
    <cacheHierarchy uniqueName="[Таблица3].[Полная себестоимость единицы, руб.]" caption="Полная себестоимость единицы, руб." attribute="1" defaultMemberUniqueName="[Таблица3].[Полная себестоимость единицы, руб.].[All]" allUniqueName="[Таблица3].[Полная себестоимость единицы, руб.].[All]" dimensionUniqueName="[Таблица3]" displayFolder="" count="2" memberValueDatatype="5" unbalanced="0"/>
    <cacheHierarchy uniqueName="[Таблица3].[Цена за единицу (с учетом наценки продавца), руб.]" caption="Цена за единицу (с учетом наценки продавца), руб." attribute="1" defaultMemberUniqueName="[Таблица3].[Цена за единицу (с учетом наценки продавца), руб.].[All]" allUniqueName="[Таблица3].[Цена за единицу (с учетом наценки продавца), руб.].[All]" dimensionUniqueName="[Таблица3]" displayFolder="" count="2" memberValueDatatype="20" unbalanced="0"/>
    <cacheHierarchy uniqueName="[Таблица3].[Персональная скидка менеджера]" caption="Персональная скидка менеджера" attribute="1" defaultMemberUniqueName="[Таблица3].[Персональная скидка менеджера].[All]" allUniqueName="[Таблица3].[Персональная скидка менеджера].[All]" dimensionUniqueName="[Таблица3]" displayFolder="" count="2" memberValueDatatype="5" unbalanced="0"/>
    <cacheHierarchy uniqueName="[Таблица3].[Цена продажи с учетом персональной скидки, руб.]" caption="Цена продажи с учетом персональной скидки, руб." attribute="1" defaultMemberUniqueName="[Таблица3].[Цена продажи с учетом персональной скидки, руб.].[All]" allUniqueName="[Таблица3].[Цена продажи с учетом персональной скидки, руб.].[All]" dimensionUniqueName="[Таблица3]" displayFolder="" count="2" memberValueDatatype="20" unbalanced="0"/>
    <cacheHierarchy uniqueName="[Таблица3].[Комиссия продавца, %]" caption="Комиссия продавца, %" attribute="1" defaultMemberUniqueName="[Таблица3].[Комиссия продавца, %].[All]" allUniqueName="[Таблица3].[Комиссия продавца, %].[All]" dimensionUniqueName="[Таблица3]" displayFolder="" count="2" memberValueDatatype="5" unbalanced="0"/>
    <cacheHierarchy uniqueName="[Таблица3].[Комиссия продавца, руб.]" caption="Комиссия продавца, руб." attribute="1" defaultMemberUniqueName="[Таблица3].[Комиссия продавца, руб.].[All]" allUniqueName="[Таблица3].[Комиссия продавца, руб.].[All]" dimensionUniqueName="[Таблица3]" displayFolder="" count="2" memberValueDatatype="5" unbalanced="0"/>
    <cacheHierarchy uniqueName="[Таблица3].[Дата продажи (Месяц)]" caption="Дата продажи (Месяц)" attribute="1" defaultMemberUniqueName="[Таблица3].[Дата продажи (Месяц)].[All]" allUniqueName="[Таблица3].[Дата продажи (Месяц)].[All]" dimensionUniqueName="[Таблица3]" displayFolder="" count="2" memberValueDatatype="130" unbalanced="0"/>
    <cacheHierarchy uniqueName="[Таблица46].[Бренд]" caption="Бренд" attribute="1" defaultMemberUniqueName="[Таблица46].[Бренд].[All]" allUniqueName="[Таблица46].[Бренд].[All]" dimensionUniqueName="[Таблица46]" displayFolder="" count="2" memberValueDatatype="130" unbalanced="0"/>
    <cacheHierarchy uniqueName="[Таблица46].[Страна поставщика]" caption="Страна поставщика" attribute="1" defaultMemberUniqueName="[Таблица46].[Страна поставщика].[All]" allUniqueName="[Таблица46].[Страна поставщика].[All]" dimensionUniqueName="[Таблица46]" displayFolder="" count="2" memberValueDatatype="130" unbalanced="0"/>
    <cacheHierarchy uniqueName="[Таблица3].[Дата продажи (Индекс месяца)]" caption="Дата продажи (Индекс месяца)" attribute="1" defaultMemberUniqueName="[Таблица3].[Дата продажи (Индекс месяца)].[All]" allUniqueName="[Таблица3].[Дата продажи (Индекс месяца)].[All]" dimensionUniqueName="[Таблица3]" displayFolder="" count="2" memberValueDatatype="20" unbalanced="0" hidden="1"/>
    <cacheHierarchy uniqueName="[Measures].[__XL_Count Таблица3]" caption="__XL_Count Таблица3" measure="1" displayFolder="" measureGroup="Таблица3" count="0" hidden="1"/>
    <cacheHierarchy uniqueName="[Measures].[__XL_Count Таблица46]" caption="__XL_Count Таблица46" measure="1" displayFolder="" measureGroup="Таблица46" count="0" hidden="1"/>
    <cacheHierarchy uniqueName="[Measures].[__XL_Count брендыы]" caption="__XL_Count брендыы" measure="1" displayFolder="" measureGroup="брендыы" count="0" hidden="1"/>
    <cacheHierarchy uniqueName="[Measures].[__No measures defined]" caption="__No measures defined" measure="1" displayFolder="" count="0" hidden="1"/>
    <cacheHierarchy uniqueName="[Measures].[Число элементов в столбце № договора]" caption="Число элементов в столбце № догово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Дата продажи (Месяц)]" caption="Число элементов в столбце Дата продажи (Месяц)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Дата продажи]" caption="Число элементов в столбце Дата продажи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Валовая себестоимость, тс. единицы, руб]" caption="Сумма по столбцу Валовая себестоимость, тс. единицы, руб" measure="1" displayFolder="" measureGroup="Таблица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Число элементов в столбце Наименование товара]" caption="Число элементов в столбце Наименование това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Цена за единицу (с учетом наценки продавца), руб.]" caption="Сумма по столбцу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Сумма по столбцу Персональная скидка менеджера]" caption="Сумма по столбцу Персональная скидка менедже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Сумма по столбцу Цена продажи с учетом персональной скидки, руб.]" caption="Сумма по столбцу Цена продажи с учетом персональной скидки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Сумма по столбцу Комиссия продавца, руб.]" caption="Сумма по столбцу Комиссия продавца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Число элементов в столбце Цена за единицу (с учетом наценки продавца), руб.]" caption="Число элементов в столбце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Число элементов в столбце Менеджер по продажам]" caption="Число элементов в столбце Менеджер по продажам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Полная себестоимость единицы, руб.]" caption="Сумма по столбцу Полная себестоимость единицы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Сумма по столбцу Комиссия продавца, %]" caption="Сумма по столбцу Комиссия продавца, %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Число элементов в столбце Страна поставщика 2]" caption="Число элементов в столбце Страна поставщика 2" measure="1" displayFolder="" measureGroup="Таблица46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4">
    <dimension measure="1" name="Measures" uniqueName="[Measures]" caption="Measures"/>
    <dimension name="брендыы" uniqueName="[брендыы]" caption="брендыы"/>
    <dimension name="Таблица3" uniqueName="[Таблица3]" caption="Таблица3"/>
    <dimension name="Таблица46" uniqueName="[Таблица46]" caption="Таблица46"/>
  </dimensions>
  <measureGroups count="3">
    <measureGroup name="брендыы" caption="брендыы"/>
    <measureGroup name="Таблица3" caption="Таблица3"/>
    <measureGroup name="Таблица46" caption="Таблица46"/>
  </measureGroups>
  <maps count="5">
    <map measureGroup="0" dimension="1"/>
    <map measureGroup="1" dimension="1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alashnikova" refreshedDate="45627.961974999998" createdVersion="7" refreshedVersion="6" minRefreshableVersion="3" recordCount="401">
  <cacheSource type="worksheet">
    <worksheetSource name="Таблица3"/>
  </cacheSource>
  <cacheFields count="22">
    <cacheField name="№ договора" numFmtId="164">
      <sharedItems containsString="0" containsBlank="1" containsNumber="1" containsInteger="1" minValue="1" maxValue="400" count="40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m/>
      </sharedItems>
    </cacheField>
    <cacheField name="Менеджер по продажам" numFmtId="0">
      <sharedItems containsBlank="1" count="6">
        <s v="Гаврилов Н.А."/>
        <s v="Иванов К.Г."/>
        <s v="Никифорова В.М."/>
        <s v="Петров М.В."/>
        <s v="Соколов Г.П."/>
        <m/>
      </sharedItems>
    </cacheField>
    <cacheField name="id департамента " numFmtId="0">
      <sharedItems containsString="0" containsBlank="1" containsNumber="1" containsInteger="1" minValue="1" maxValue="3" count="4">
        <n v="1"/>
        <n v="2"/>
        <n v="3"/>
        <m/>
      </sharedItems>
    </cacheField>
    <cacheField name="ФИО покупателя" numFmtId="0">
      <sharedItems containsBlank="1"/>
    </cacheField>
    <cacheField name="Город отправления" numFmtId="0">
      <sharedItems containsBlank="1" count="17">
        <s v="Воронеж"/>
        <s v="Москва"/>
        <s v="Ярославль"/>
        <s v="Тула"/>
        <s v="Кострома"/>
        <s v="Владимир"/>
        <s v="Тверь"/>
        <s v="Петрозаводск"/>
        <s v="Мурманск"/>
        <s v="Санкт-Петерубрг"/>
        <s v="Вологда"/>
        <s v="Великий Новгород"/>
        <s v="Псков"/>
        <s v="Сочи"/>
        <s v="Ростов-на-Дону"/>
        <s v="Волгоград"/>
        <m/>
      </sharedItems>
    </cacheField>
    <cacheField name="Наименование товара" numFmtId="0">
      <sharedItems containsBlank="1" count="7">
        <s v="Товар A"/>
        <s v="Товар B"/>
        <s v="Товар C"/>
        <s v="Товар D"/>
        <s v="Товар E"/>
        <s v="Товар F"/>
        <m/>
      </sharedItems>
    </cacheField>
    <cacheField name="Бренд" numFmtId="0">
      <sharedItems containsBlank="1" count="5">
        <s v="Person"/>
        <s v="Colisto"/>
        <s v="Porto"/>
        <s v="Gmt"/>
        <m/>
      </sharedItems>
    </cacheField>
    <cacheField name="Дата продажи" numFmtId="14">
      <sharedItems containsNonDate="0" containsDate="1" containsString="0" containsBlank="1" minDate="2023-01-01T00:00:00" maxDate="2023-03-31T00:00:00" count="88">
        <d v="2023-02-01T00:00:00"/>
        <d v="2023-01-27T00:00:00"/>
        <d v="2023-03-02T00:00:00"/>
        <d v="2023-03-16T00:00:00"/>
        <d v="2023-03-28T00:00:00"/>
        <d v="2023-03-25T00:00:00"/>
        <d v="2023-03-14T00:00:00"/>
        <d v="2023-01-15T00:00:00"/>
        <d v="2023-02-07T00:00:00"/>
        <d v="2023-03-10T00:00:00"/>
        <d v="2023-01-09T00:00:00"/>
        <d v="2023-02-21T00:00:00"/>
        <d v="2023-03-20T00:00:00"/>
        <d v="2023-01-24T00:00:00"/>
        <d v="2023-03-23T00:00:00"/>
        <d v="2023-03-13T00:00:00"/>
        <d v="2023-03-19T00:00:00"/>
        <d v="2023-03-07T00:00:00"/>
        <d v="2023-01-17T00:00:00"/>
        <d v="2023-01-31T00:00:00"/>
        <d v="2023-01-20T00:00:00"/>
        <d v="2023-02-04T00:00:00"/>
        <d v="2023-03-08T00:00:00"/>
        <d v="2023-03-05T00:00:00"/>
        <d v="2023-01-13T00:00:00"/>
        <d v="2023-02-05T00:00:00"/>
        <d v="2023-01-18T00:00:00"/>
        <d v="2023-03-30T00:00:00"/>
        <d v="2023-01-01T00:00:00"/>
        <d v="2023-01-12T00:00:00"/>
        <d v="2023-02-19T00:00:00"/>
        <d v="2023-01-14T00:00:00"/>
        <d v="2023-02-16T00:00:00"/>
        <d v="2023-01-29T00:00:00"/>
        <d v="2023-01-11T00:00:00"/>
        <d v="2023-02-25T00:00:00"/>
        <d v="2023-03-17T00:00:00"/>
        <d v="2023-02-08T00:00:00"/>
        <d v="2023-03-09T00:00:00"/>
        <d v="2023-03-12T00:00:00"/>
        <d v="2023-03-01T00:00:00"/>
        <d v="2023-02-20T00:00:00"/>
        <d v="2023-02-17T00:00:00"/>
        <d v="2023-02-22T00:00:00"/>
        <d v="2023-01-22T00:00:00"/>
        <d v="2023-01-08T00:00:00"/>
        <d v="2023-01-30T00:00:00"/>
        <d v="2023-01-21T00:00:00"/>
        <d v="2023-02-24T00:00:00"/>
        <d v="2023-02-14T00:00:00"/>
        <d v="2023-01-03T00:00:00"/>
        <d v="2023-03-18T00:00:00"/>
        <d v="2023-01-02T00:00:00"/>
        <d v="2023-03-24T00:00:00"/>
        <d v="2023-02-15T00:00:00"/>
        <d v="2023-03-06T00:00:00"/>
        <d v="2023-01-23T00:00:00"/>
        <d v="2023-01-10T00:00:00"/>
        <d v="2023-01-26T00:00:00"/>
        <d v="2023-01-07T00:00:00"/>
        <d v="2023-03-04T00:00:00"/>
        <d v="2023-01-28T00:00:00"/>
        <d v="2023-02-02T00:00:00"/>
        <d v="2023-02-10T00:00:00"/>
        <d v="2023-02-06T00:00:00"/>
        <d v="2023-03-27T00:00:00"/>
        <d v="2023-03-22T00:00:00"/>
        <d v="2023-03-11T00:00:00"/>
        <d v="2023-01-05T00:00:00"/>
        <d v="2023-01-04T00:00:00"/>
        <d v="2023-03-26T00:00:00"/>
        <d v="2023-02-28T00:00:00"/>
        <d v="2023-02-03T00:00:00"/>
        <d v="2023-02-12T00:00:00"/>
        <d v="2023-03-03T00:00:00"/>
        <d v="2023-01-19T00:00:00"/>
        <d v="2023-02-13T00:00:00"/>
        <d v="2023-01-25T00:00:00"/>
        <d v="2023-02-09T00:00:00"/>
        <d v="2023-03-15T00:00:00"/>
        <d v="2023-02-23T00:00:00"/>
        <d v="2023-02-18T00:00:00"/>
        <d v="2023-02-26T00:00:00"/>
        <d v="2023-03-21T00:00:00"/>
        <d v="2023-02-27T00:00:00"/>
        <d v="2023-01-16T00:00:00"/>
        <d v="2023-02-11T00:00:00"/>
        <m/>
      </sharedItems>
      <fieldGroup par="21" base="7">
        <rangePr groupBy="days" startDate="2023-01-01T00:00:00" endDate="2023-03-31T00:00:00"/>
        <groupItems count="368">
          <s v="(пусто)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31.03.2023"/>
        </groupItems>
      </fieldGroup>
    </cacheField>
    <cacheField name="Квартал" numFmtId="49">
      <sharedItems containsString="0" containsBlank="1" containsNumber="1" containsInteger="1" minValue="1" maxValue="1" count="2">
        <n v="1"/>
        <m/>
      </sharedItems>
    </cacheField>
    <cacheField name="Валовая себестоимость, тс. единицы, руб" numFmtId="0">
      <sharedItems containsString="0" containsBlank="1" containsNumber="1" minValue="97.2" maxValue="314.15999999999997"/>
    </cacheField>
    <cacheField name="Полная себестоимость единицы, руб." numFmtId="0">
      <sharedItems containsString="0" containsBlank="1" containsNumber="1" minValue="441.53" maxValue="658.49"/>
    </cacheField>
    <cacheField name="Цена за единицу (с учетом наценки продавца), руб." numFmtId="0">
      <sharedItems containsString="0" containsBlank="1" containsNumber="1" containsInteger="1" minValue="619" maxValue="1120"/>
    </cacheField>
    <cacheField name="Персональная скидка менеджера" numFmtId="0">
      <sharedItems containsString="0" containsBlank="1" containsNumber="1" minValue="0" maxValue="0.05"/>
    </cacheField>
    <cacheField name="Цена продажи с учетом персональной скидки, руб." numFmtId="0">
      <sharedItems containsString="0" containsBlank="1" containsNumber="1" containsInteger="1" minValue="589" maxValue="1120"/>
    </cacheField>
    <cacheField name="Комиссия продавца, %" numFmtId="9">
      <sharedItems containsString="0" containsBlank="1" containsNumber="1" minValue="0.1" maxValue="0.15"/>
    </cacheField>
    <cacheField name="Комиссия продавца, руб." numFmtId="0">
      <sharedItems containsString="0" containsBlank="1" containsNumber="1" minValue="61.900000000000006" maxValue="168"/>
    </cacheField>
    <cacheField name="рентабельность" numFmtId="14">
      <sharedItems containsNonDate="0" containsString="0" containsBlank="1" count="1">
        <m/>
      </sharedItems>
    </cacheField>
    <cacheField name="Операционная прибыль, руб." numFmtId="0" formula="'Цена продажи с учетом персональной скидки, руб.'-'Полная себестоимость единицы, руб.'-'Комиссия продавца, руб.'-'Комиссия продавца, руб.'*0.302" databaseField="0"/>
    <cacheField name="Рентабельность2" numFmtId="0" formula="'Операционная прибыль, руб.'/'Цена продажи с учетом персональной скидки, руб.'" databaseField="0"/>
    <cacheField name="м" numFmtId="0" formula="1-#NAME?" databaseField="0"/>
    <cacheField name="рент80" numFmtId="0" formula="1-Рентабельность2" databaseField="0"/>
    <cacheField name="Месяцы" numFmtId="0" databaseField="0">
      <fieldGroup base="7">
        <rangePr groupBy="months" startDate="2023-01-01T00:00:00" endDate="2023-03-31T00:00:00"/>
        <groupItems count="14">
          <s v="&lt;01.01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31.03.2023"/>
        </groupItems>
      </fieldGroup>
    </cacheField>
  </cacheFields>
  <extLst>
    <ext xmlns:x14="http://schemas.microsoft.com/office/spreadsheetml/2009/9/main" uri="{725AE2AE-9491-48be-B2B4-4EB974FC3084}">
      <x14:pivotCacheDefinition pivotCacheId="15803317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alashnikova" refreshedDate="45627.961976851853" createdVersion="6" refreshedVersion="6" minRefreshableVersion="3" recordCount="156">
  <cacheSource type="worksheet">
    <worksheetSource name="БАЗА1"/>
  </cacheSource>
  <cacheFields count="14">
    <cacheField name="№ договора" numFmtId="164">
      <sharedItems containsSemiMixedTypes="0" containsString="0" containsNumber="1" containsInteger="1" minValue="1" maxValue="243"/>
    </cacheField>
    <cacheField name="Дата продажи (Месяц)" numFmtId="0">
      <sharedItems count="3">
        <s v="фев"/>
        <s v="янв"/>
        <s v="мар"/>
      </sharedItems>
    </cacheField>
    <cacheField name="Менеджер по продажам" numFmtId="0">
      <sharedItems count="2">
        <s v="Гаврилов Н.А."/>
        <s v="Никифорова В.М."/>
      </sharedItems>
    </cacheField>
    <cacheField name="Наименование товара" numFmtId="0">
      <sharedItems count="6">
        <s v="Товар A"/>
        <s v="Товар B"/>
        <s v="Товар C"/>
        <s v="Товар D"/>
        <s v="Товар E"/>
        <s v="Товар F"/>
      </sharedItems>
    </cacheField>
    <cacheField name="Валовая себестоимость, тс. единицы, руб" numFmtId="0">
      <sharedItems containsSemiMixedTypes="0" containsString="0" containsNumber="1" minValue="97.2" maxValue="314.15999999999997"/>
    </cacheField>
    <cacheField name="Полная себестоимость единицы, руб." numFmtId="0">
      <sharedItems containsSemiMixedTypes="0" containsString="0" containsNumber="1" minValue="441.53" maxValue="658.49"/>
    </cacheField>
    <cacheField name="Цена за единицу (с учетом наценки продавца), руб." numFmtId="0">
      <sharedItems containsSemiMixedTypes="0" containsString="0" containsNumber="1" containsInteger="1" minValue="619" maxValue="1120"/>
    </cacheField>
    <cacheField name="Персональная скидка менеджера" numFmtId="0">
      <sharedItems containsSemiMixedTypes="0" containsString="0" containsNumber="1" minValue="0" maxValue="0.05"/>
    </cacheField>
    <cacheField name="Цена продажи с учетом персональной скидки, руб." numFmtId="0">
      <sharedItems containsSemiMixedTypes="0" containsString="0" containsNumber="1" containsInteger="1" minValue="589" maxValue="1120"/>
    </cacheField>
    <cacheField name=" Комиссия продавца, руб." numFmtId="0">
      <sharedItems containsSemiMixedTypes="0" containsString="0" containsNumber="1" minValue="88.35" maxValue="168"/>
    </cacheField>
    <cacheField name="Валовая прпибыль проданной продукции, руб." numFmtId="0" formula="'Цена продажи с учетом персональной скидки, руб.'-'Валовая себестоимость, тс. единицы, руб'" databaseField="0"/>
    <cacheField name="Страховые взносы на нач.комиссию" numFmtId="0" formula="' Комиссия продавца, руб.'*30.2%" databaseField="0"/>
    <cacheField name="операциог" numFmtId="0" formula="'Цена продажи с учетом персональной скидки, руб.'-' Комиссия продавца, руб.'-'Страховые взносы на нач.комиссию'" databaseField="0"/>
    <cacheField name="операционная прибыль" numFmtId="0" formula="'Цена продажи с учетом персональной скидки, руб.'-' Комиссия продавца, руб.'-'Полная себестоимость единицы, руб.'-'Страховые взносы на нач.комиссию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alashnikova" refreshedDate="45627.961977777777" createdVersion="7" refreshedVersion="6" minRefreshableVersion="3" recordCount="169">
  <cacheSource type="worksheet">
    <worksheetSource name="БАЗА2"/>
  </cacheSource>
  <cacheFields count="15">
    <cacheField name="№ договора" numFmtId="164">
      <sharedItems containsSemiMixedTypes="0" containsString="0" containsNumber="1" containsInteger="1" minValue="67" maxValue="325"/>
    </cacheField>
    <cacheField name="Дата продажи (Месяц)" numFmtId="0">
      <sharedItems count="3">
        <s v="мар"/>
        <s v="янв"/>
        <s v="фев"/>
      </sharedItems>
    </cacheField>
    <cacheField name="Менеджер по продажам" numFmtId="0">
      <sharedItems count="2">
        <s v="Иванов К.Г."/>
        <s v="Петров М.В."/>
      </sharedItems>
    </cacheField>
    <cacheField name="Наименование товара" numFmtId="0">
      <sharedItems count="6">
        <s v="Товар A"/>
        <s v="Товар B"/>
        <s v="Товар C"/>
        <s v="Товар D"/>
        <s v="Товар E"/>
        <s v="Товар F"/>
      </sharedItems>
    </cacheField>
    <cacheField name="Валовая себестоимость, тс. единицы, руб" numFmtId="0">
      <sharedItems containsSemiMixedTypes="0" containsString="0" containsNumber="1" minValue="97.2" maxValue="314.15999999999997"/>
    </cacheField>
    <cacheField name="Полная себестоимость единицы, руб." numFmtId="0">
      <sharedItems containsSemiMixedTypes="0" containsString="0" containsNumber="1" minValue="441.53" maxValue="658.49"/>
    </cacheField>
    <cacheField name="Цена за единицу (с учетом наценки продавца), руб." numFmtId="0">
      <sharedItems containsSemiMixedTypes="0" containsString="0" containsNumber="1" containsInteger="1" minValue="619" maxValue="1120"/>
    </cacheField>
    <cacheField name="Персональная скидка менеджера" numFmtId="0">
      <sharedItems containsSemiMixedTypes="0" containsString="0" containsNumber="1" minValue="0" maxValue="0.05"/>
    </cacheField>
    <cacheField name="Цена продажи с учетом персональной скидки, руб." numFmtId="0">
      <sharedItems containsSemiMixedTypes="0" containsString="0" containsNumber="1" containsInteger="1" minValue="589" maxValue="1120"/>
    </cacheField>
    <cacheField name="Комиссия продавца, руб." numFmtId="0">
      <sharedItems containsSemiMixedTypes="0" containsString="0" containsNumber="1" minValue="88.35" maxValue="168"/>
    </cacheField>
    <cacheField name="Поле1" numFmtId="0" formula="'Цена продажи с учетом персональной скидки, руб.'-'Валовая себестоимость, тс. единицы, руб'" databaseField="0"/>
    <cacheField name="Поле2" numFmtId="0" formula="'Комиссия продавца, руб.'*30.2%" databaseField="0"/>
    <cacheField name="Поле3" numFmtId="0" formula="'Цена продажи с учетом персональной скидки, руб.'-'Полная себестоимость единицы, руб.'-'Комиссия продавца, руб.'-Поле2" databaseField="0"/>
    <cacheField name="Поле4" numFmtId="0" formula="'Комиссия продавца, руб.'* 30.2%" databaseField="0"/>
    <cacheField name="Поле5" numFmtId="0" formula="'Цена продажи с учетом персональной скидки, руб.'-'Полная себестоимость единицы, руб.'-'Комиссия продавца, руб.'-Поле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Kalashnikova" refreshedDate="45627.961978009262" createdVersion="7" refreshedVersion="6" minRefreshableVersion="3" recordCount="75">
  <cacheSource type="worksheet">
    <worksheetSource name="БАЗА3"/>
  </cacheSource>
  <cacheFields count="13">
    <cacheField name="№ договора" numFmtId="164">
      <sharedItems containsSemiMixedTypes="0" containsString="0" containsNumber="1" containsInteger="1" minValue="326" maxValue="400"/>
    </cacheField>
    <cacheField name="Дата продажи (Месяц)" numFmtId="0">
      <sharedItems count="3">
        <s v="мар"/>
        <s v="янв"/>
        <s v="фев"/>
      </sharedItems>
    </cacheField>
    <cacheField name="Менеджер по продажам" numFmtId="0">
      <sharedItems count="1">
        <s v="Соколов Г.П."/>
      </sharedItems>
    </cacheField>
    <cacheField name="Наименование товара" numFmtId="0">
      <sharedItems count="6">
        <s v="Товар A"/>
        <s v="Товар B"/>
        <s v="Товар C"/>
        <s v="Товар D"/>
        <s v="Товар E"/>
        <s v="Товар F"/>
      </sharedItems>
    </cacheField>
    <cacheField name="Валовая себестоимость, тс. единицы, руб" numFmtId="0">
      <sharedItems containsSemiMixedTypes="0" containsString="0" containsNumber="1" minValue="97.2" maxValue="314.15999999999997"/>
    </cacheField>
    <cacheField name="Полная себестоимость единицы, руб." numFmtId="0">
      <sharedItems containsSemiMixedTypes="0" containsString="0" containsNumber="1" minValue="441.53" maxValue="658.49"/>
    </cacheField>
    <cacheField name="Цена за единицу (с учетом наценки продавца), руб." numFmtId="0">
      <sharedItems containsSemiMixedTypes="0" containsString="0" containsNumber="1" containsInteger="1" minValue="619" maxValue="1120"/>
    </cacheField>
    <cacheField name="Персональная скидка менеджера" numFmtId="0">
      <sharedItems containsSemiMixedTypes="0" containsString="0" containsNumber="1" containsInteger="1" minValue="0" maxValue="0"/>
    </cacheField>
    <cacheField name="Цена продажи с учетом персональной скидки, руб." numFmtId="0">
      <sharedItems containsSemiMixedTypes="0" containsString="0" containsNumber="1" containsInteger="1" minValue="619" maxValue="1120"/>
    </cacheField>
    <cacheField name="Комиссия продавца, руб." numFmtId="0">
      <sharedItems containsSemiMixedTypes="0" containsString="0" containsNumber="1" minValue="61.900000000000006" maxValue="112"/>
    </cacheField>
    <cacheField name="Поле1" numFmtId="0" formula="'Цена продажи с учетом персональной скидки, руб.'-'Валовая себестоимость, тс. единицы, руб'" databaseField="0"/>
    <cacheField name="Поле2" numFmtId="0" formula="'Комиссия продавца, руб.'*30.2%" databaseField="0"/>
    <cacheField name="Поле3" numFmtId="0" formula="'Цена продажи с учетом персональной скидки, руб.'-'Полная себестоимость единицы, руб.'-'Комиссия продавца, руб.'-Поле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Kalashnikova" refreshedDate="45634.670933333335" backgroundQuery="1" createdVersion="7" refreshedVersion="6" minRefreshableVersion="3" recordCount="0" supportSubquery="1" supportAdvancedDrill="1">
  <cacheSource type="external" connectionId="1"/>
  <cacheFields count="11">
    <cacheField name="[Таблица3].[№ договора].[№ договора]" caption="№ договора" numFmtId="0" hierarchy="2" level="1">
      <sharedItems containsSemiMixedTypes="0" containsString="0" containsNumber="1" containsInteger="1" minValue="1" maxValue="243" count="15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</sharedItems>
      <extLst>
        <ext xmlns:x15="http://schemas.microsoft.com/office/spreadsheetml/2010/11/main" uri="{4F2E5C28-24EA-4eb8-9CBF-B6C8F9C3D259}">
          <x15:cachedUniqueNames>
            <x15:cachedUniqueName index="0" name="[Таблица3].[№ договора].&amp;[1]"/>
            <x15:cachedUniqueName index="1" name="[Таблица3].[№ договора].&amp;[2]"/>
            <x15:cachedUniqueName index="2" name="[Таблица3].[№ договора].&amp;[3]"/>
            <x15:cachedUniqueName index="3" name="[Таблица3].[№ договора].&amp;[4]"/>
            <x15:cachedUniqueName index="4" name="[Таблица3].[№ договора].&amp;[5]"/>
            <x15:cachedUniqueName index="5" name="[Таблица3].[№ договора].&amp;[6]"/>
            <x15:cachedUniqueName index="6" name="[Таблица3].[№ договора].&amp;[7]"/>
            <x15:cachedUniqueName index="7" name="[Таблица3].[№ договора].&amp;[8]"/>
            <x15:cachedUniqueName index="8" name="[Таблица3].[№ договора].&amp;[9]"/>
            <x15:cachedUniqueName index="9" name="[Таблица3].[№ договора].&amp;[10]"/>
            <x15:cachedUniqueName index="10" name="[Таблица3].[№ договора].&amp;[11]"/>
            <x15:cachedUniqueName index="11" name="[Таблица3].[№ договора].&amp;[12]"/>
            <x15:cachedUniqueName index="12" name="[Таблица3].[№ договора].&amp;[13]"/>
            <x15:cachedUniqueName index="13" name="[Таблица3].[№ договора].&amp;[14]"/>
            <x15:cachedUniqueName index="14" name="[Таблица3].[№ договора].&amp;[15]"/>
            <x15:cachedUniqueName index="15" name="[Таблица3].[№ договора].&amp;[16]"/>
            <x15:cachedUniqueName index="16" name="[Таблица3].[№ договора].&amp;[17]"/>
            <x15:cachedUniqueName index="17" name="[Таблица3].[№ договора].&amp;[18]"/>
            <x15:cachedUniqueName index="18" name="[Таблица3].[№ договора].&amp;[19]"/>
            <x15:cachedUniqueName index="19" name="[Таблица3].[№ договора].&amp;[20]"/>
            <x15:cachedUniqueName index="20" name="[Таблица3].[№ договора].&amp;[21]"/>
            <x15:cachedUniqueName index="21" name="[Таблица3].[№ договора].&amp;[22]"/>
            <x15:cachedUniqueName index="22" name="[Таблица3].[№ договора].&amp;[23]"/>
            <x15:cachedUniqueName index="23" name="[Таблица3].[№ договора].&amp;[24]"/>
            <x15:cachedUniqueName index="24" name="[Таблица3].[№ договора].&amp;[25]"/>
            <x15:cachedUniqueName index="25" name="[Таблица3].[№ договора].&amp;[26]"/>
            <x15:cachedUniqueName index="26" name="[Таблица3].[№ договора].&amp;[27]"/>
            <x15:cachedUniqueName index="27" name="[Таблица3].[№ договора].&amp;[28]"/>
            <x15:cachedUniqueName index="28" name="[Таблица3].[№ договора].&amp;[29]"/>
            <x15:cachedUniqueName index="29" name="[Таблица3].[№ договора].&amp;[30]"/>
            <x15:cachedUniqueName index="30" name="[Таблица3].[№ договора].&amp;[31]"/>
            <x15:cachedUniqueName index="31" name="[Таблица3].[№ договора].&amp;[32]"/>
            <x15:cachedUniqueName index="32" name="[Таблица3].[№ договора].&amp;[33]"/>
            <x15:cachedUniqueName index="33" name="[Таблица3].[№ договора].&amp;[34]"/>
            <x15:cachedUniqueName index="34" name="[Таблица3].[№ договора].&amp;[35]"/>
            <x15:cachedUniqueName index="35" name="[Таблица3].[№ договора].&amp;[36]"/>
            <x15:cachedUniqueName index="36" name="[Таблица3].[№ договора].&amp;[37]"/>
            <x15:cachedUniqueName index="37" name="[Таблица3].[№ договора].&amp;[38]"/>
            <x15:cachedUniqueName index="38" name="[Таблица3].[№ договора].&amp;[39]"/>
            <x15:cachedUniqueName index="39" name="[Таблица3].[№ договора].&amp;[40]"/>
            <x15:cachedUniqueName index="40" name="[Таблица3].[№ договора].&amp;[41]"/>
            <x15:cachedUniqueName index="41" name="[Таблица3].[№ договора].&amp;[42]"/>
            <x15:cachedUniqueName index="42" name="[Таблица3].[№ договора].&amp;[43]"/>
            <x15:cachedUniqueName index="43" name="[Таблица3].[№ договора].&amp;[44]"/>
            <x15:cachedUniqueName index="44" name="[Таблица3].[№ договора].&amp;[45]"/>
            <x15:cachedUniqueName index="45" name="[Таблица3].[№ договора].&amp;[46]"/>
            <x15:cachedUniqueName index="46" name="[Таблица3].[№ договора].&amp;[47]"/>
            <x15:cachedUniqueName index="47" name="[Таблица3].[№ договора].&amp;[48]"/>
            <x15:cachedUniqueName index="48" name="[Таблица3].[№ договора].&amp;[49]"/>
            <x15:cachedUniqueName index="49" name="[Таблица3].[№ договора].&amp;[50]"/>
            <x15:cachedUniqueName index="50" name="[Таблица3].[№ договора].&amp;[51]"/>
            <x15:cachedUniqueName index="51" name="[Таблица3].[№ договора].&amp;[52]"/>
            <x15:cachedUniqueName index="52" name="[Таблица3].[№ договора].&amp;[53]"/>
            <x15:cachedUniqueName index="53" name="[Таблица3].[№ договора].&amp;[54]"/>
            <x15:cachedUniqueName index="54" name="[Таблица3].[№ договора].&amp;[55]"/>
            <x15:cachedUniqueName index="55" name="[Таблица3].[№ договора].&amp;[56]"/>
            <x15:cachedUniqueName index="56" name="[Таблица3].[№ договора].&amp;[57]"/>
            <x15:cachedUniqueName index="57" name="[Таблица3].[№ договора].&amp;[58]"/>
            <x15:cachedUniqueName index="58" name="[Таблица3].[№ договора].&amp;[59]"/>
            <x15:cachedUniqueName index="59" name="[Таблица3].[№ договора].&amp;[60]"/>
            <x15:cachedUniqueName index="60" name="[Таблица3].[№ договора].&amp;[61]"/>
            <x15:cachedUniqueName index="61" name="[Таблица3].[№ договора].&amp;[62]"/>
            <x15:cachedUniqueName index="62" name="[Таблица3].[№ договора].&amp;[63]"/>
            <x15:cachedUniqueName index="63" name="[Таблица3].[№ договора].&amp;[64]"/>
            <x15:cachedUniqueName index="64" name="[Таблица3].[№ договора].&amp;[65]"/>
            <x15:cachedUniqueName index="65" name="[Таблица3].[№ договора].&amp;[66]"/>
            <x15:cachedUniqueName index="66" name="[Таблица3].[№ договора].&amp;[154]"/>
            <x15:cachedUniqueName index="67" name="[Таблица3].[№ договора].&amp;[155]"/>
            <x15:cachedUniqueName index="68" name="[Таблица3].[№ договора].&amp;[156]"/>
            <x15:cachedUniqueName index="69" name="[Таблица3].[№ договора].&amp;[157]"/>
            <x15:cachedUniqueName index="70" name="[Таблица3].[№ договора].&amp;[158]"/>
            <x15:cachedUniqueName index="71" name="[Таблица3].[№ договора].&amp;[159]"/>
            <x15:cachedUniqueName index="72" name="[Таблица3].[№ договора].&amp;[160]"/>
            <x15:cachedUniqueName index="73" name="[Таблица3].[№ договора].&amp;[161]"/>
            <x15:cachedUniqueName index="74" name="[Таблица3].[№ договора].&amp;[162]"/>
            <x15:cachedUniqueName index="75" name="[Таблица3].[№ договора].&amp;[163]"/>
            <x15:cachedUniqueName index="76" name="[Таблица3].[№ договора].&amp;[164]"/>
            <x15:cachedUniqueName index="77" name="[Таблица3].[№ договора].&amp;[165]"/>
            <x15:cachedUniqueName index="78" name="[Таблица3].[№ договора].&amp;[166]"/>
            <x15:cachedUniqueName index="79" name="[Таблица3].[№ договора].&amp;[167]"/>
            <x15:cachedUniqueName index="80" name="[Таблица3].[№ договора].&amp;[168]"/>
            <x15:cachedUniqueName index="81" name="[Таблица3].[№ договора].&amp;[169]"/>
            <x15:cachedUniqueName index="82" name="[Таблица3].[№ договора].&amp;[170]"/>
            <x15:cachedUniqueName index="83" name="[Таблица3].[№ договора].&amp;[171]"/>
            <x15:cachedUniqueName index="84" name="[Таблица3].[№ договора].&amp;[172]"/>
            <x15:cachedUniqueName index="85" name="[Таблица3].[№ договора].&amp;[173]"/>
            <x15:cachedUniqueName index="86" name="[Таблица3].[№ договора].&amp;[174]"/>
            <x15:cachedUniqueName index="87" name="[Таблица3].[№ договора].&amp;[175]"/>
            <x15:cachedUniqueName index="88" name="[Таблица3].[№ договора].&amp;[176]"/>
            <x15:cachedUniqueName index="89" name="[Таблица3].[№ договора].&amp;[177]"/>
            <x15:cachedUniqueName index="90" name="[Таблица3].[№ договора].&amp;[178]"/>
            <x15:cachedUniqueName index="91" name="[Таблица3].[№ договора].&amp;[179]"/>
            <x15:cachedUniqueName index="92" name="[Таблица3].[№ договора].&amp;[180]"/>
            <x15:cachedUniqueName index="93" name="[Таблица3].[№ договора].&amp;[181]"/>
            <x15:cachedUniqueName index="94" name="[Таблица3].[№ договора].&amp;[182]"/>
            <x15:cachedUniqueName index="95" name="[Таблица3].[№ договора].&amp;[183]"/>
            <x15:cachedUniqueName index="96" name="[Таблица3].[№ договора].&amp;[184]"/>
            <x15:cachedUniqueName index="97" name="[Таблица3].[№ договора].&amp;[185]"/>
            <x15:cachedUniqueName index="98" name="[Таблица3].[№ договора].&amp;[186]"/>
            <x15:cachedUniqueName index="99" name="[Таблица3].[№ договора].&amp;[187]"/>
            <x15:cachedUniqueName index="100" name="[Таблица3].[№ договора].&amp;[188]"/>
            <x15:cachedUniqueName index="101" name="[Таблица3].[№ договора].&amp;[189]"/>
            <x15:cachedUniqueName index="102" name="[Таблица3].[№ договора].&amp;[190]"/>
            <x15:cachedUniqueName index="103" name="[Таблица3].[№ договора].&amp;[191]"/>
            <x15:cachedUniqueName index="104" name="[Таблица3].[№ договора].&amp;[192]"/>
            <x15:cachedUniqueName index="105" name="[Таблица3].[№ договора].&amp;[193]"/>
            <x15:cachedUniqueName index="106" name="[Таблица3].[№ договора].&amp;[194]"/>
            <x15:cachedUniqueName index="107" name="[Таблица3].[№ договора].&amp;[195]"/>
            <x15:cachedUniqueName index="108" name="[Таблица3].[№ договора].&amp;[196]"/>
            <x15:cachedUniqueName index="109" name="[Таблица3].[№ договора].&amp;[197]"/>
            <x15:cachedUniqueName index="110" name="[Таблица3].[№ договора].&amp;[198]"/>
            <x15:cachedUniqueName index="111" name="[Таблица3].[№ договора].&amp;[199]"/>
            <x15:cachedUniqueName index="112" name="[Таблица3].[№ договора].&amp;[200]"/>
            <x15:cachedUniqueName index="113" name="[Таблица3].[№ договора].&amp;[201]"/>
            <x15:cachedUniqueName index="114" name="[Таблица3].[№ договора].&amp;[202]"/>
            <x15:cachedUniqueName index="115" name="[Таблица3].[№ договора].&amp;[203]"/>
            <x15:cachedUniqueName index="116" name="[Таблица3].[№ договора].&amp;[204]"/>
            <x15:cachedUniqueName index="117" name="[Таблица3].[№ договора].&amp;[205]"/>
            <x15:cachedUniqueName index="118" name="[Таблица3].[№ договора].&amp;[206]"/>
            <x15:cachedUniqueName index="119" name="[Таблица3].[№ договора].&amp;[207]"/>
            <x15:cachedUniqueName index="120" name="[Таблица3].[№ договора].&amp;[208]"/>
            <x15:cachedUniqueName index="121" name="[Таблица3].[№ договора].&amp;[209]"/>
            <x15:cachedUniqueName index="122" name="[Таблица3].[№ договора].&amp;[210]"/>
            <x15:cachedUniqueName index="123" name="[Таблица3].[№ договора].&amp;[211]"/>
            <x15:cachedUniqueName index="124" name="[Таблица3].[№ договора].&amp;[212]"/>
            <x15:cachedUniqueName index="125" name="[Таблица3].[№ договора].&amp;[213]"/>
            <x15:cachedUniqueName index="126" name="[Таблица3].[№ договора].&amp;[214]"/>
            <x15:cachedUniqueName index="127" name="[Таблица3].[№ договора].&amp;[215]"/>
            <x15:cachedUniqueName index="128" name="[Таблица3].[№ договора].&amp;[216]"/>
            <x15:cachedUniqueName index="129" name="[Таблица3].[№ договора].&amp;[217]"/>
            <x15:cachedUniqueName index="130" name="[Таблица3].[№ договора].&amp;[218]"/>
            <x15:cachedUniqueName index="131" name="[Таблица3].[№ договора].&amp;[219]"/>
            <x15:cachedUniqueName index="132" name="[Таблица3].[№ договора].&amp;[220]"/>
            <x15:cachedUniqueName index="133" name="[Таблица3].[№ договора].&amp;[221]"/>
            <x15:cachedUniqueName index="134" name="[Таблица3].[№ договора].&amp;[222]"/>
            <x15:cachedUniqueName index="135" name="[Таблица3].[№ договора].&amp;[223]"/>
            <x15:cachedUniqueName index="136" name="[Таблица3].[№ договора].&amp;[224]"/>
            <x15:cachedUniqueName index="137" name="[Таблица3].[№ договора].&amp;[225]"/>
            <x15:cachedUniqueName index="138" name="[Таблица3].[№ договора].&amp;[226]"/>
            <x15:cachedUniqueName index="139" name="[Таблица3].[№ договора].&amp;[227]"/>
            <x15:cachedUniqueName index="140" name="[Таблица3].[№ договора].&amp;[228]"/>
            <x15:cachedUniqueName index="141" name="[Таблица3].[№ договора].&amp;[229]"/>
            <x15:cachedUniqueName index="142" name="[Таблица3].[№ договора].&amp;[230]"/>
            <x15:cachedUniqueName index="143" name="[Таблица3].[№ договора].&amp;[231]"/>
            <x15:cachedUniqueName index="144" name="[Таблица3].[№ договора].&amp;[232]"/>
            <x15:cachedUniqueName index="145" name="[Таблица3].[№ договора].&amp;[233]"/>
            <x15:cachedUniqueName index="146" name="[Таблица3].[№ договора].&amp;[234]"/>
            <x15:cachedUniqueName index="147" name="[Таблица3].[№ договора].&amp;[235]"/>
            <x15:cachedUniqueName index="148" name="[Таблица3].[№ договора].&amp;[236]"/>
            <x15:cachedUniqueName index="149" name="[Таблица3].[№ договора].&amp;[237]"/>
            <x15:cachedUniqueName index="150" name="[Таблица3].[№ договора].&amp;[238]"/>
            <x15:cachedUniqueName index="151" name="[Таблица3].[№ договора].&amp;[239]"/>
            <x15:cachedUniqueName index="152" name="[Таблица3].[№ договора].&amp;[240]"/>
            <x15:cachedUniqueName index="153" name="[Таблица3].[№ договора].&amp;[241]"/>
            <x15:cachedUniqueName index="154" name="[Таблица3].[№ договора].&amp;[242]"/>
            <x15:cachedUniqueName index="155" name="[Таблица3].[№ договора].&amp;[243]"/>
          </x15:cachedUniqueNames>
        </ext>
      </extLst>
    </cacheField>
    <cacheField name="[Таблица3].[Дата продажи (Месяц)].[Дата продажи (Месяц)]" caption="Дата продажи (Месяц)" numFmtId="0" hierarchy="18" level="1">
      <sharedItems count="3">
        <s v="фев"/>
        <s v="янв"/>
        <s v="мар"/>
      </sharedItems>
    </cacheField>
    <cacheField name="[Measures].[Сумма по столбцу Валовая себестоимость, тс. единицы, руб]" caption="Сумма по столбцу Валовая себестоимость, тс. единицы, руб" numFmtId="0" hierarchy="29" level="32767"/>
    <cacheField name="[Таблица3].[Наименование товара].[Наименование товара]" caption="Наименование товара" numFmtId="0" hierarchy="7" level="1">
      <sharedItems count="6">
        <s v="Товар A"/>
        <s v="Товар B"/>
        <s v="Товар C"/>
        <s v="Товар D"/>
        <s v="Товар E"/>
        <s v="Товар F"/>
      </sharedItems>
    </cacheField>
    <cacheField name="[Measures].[Сумма по столбцу Цена за единицу (с учетом наценки продавца), руб.]" caption="Сумма по столбцу Цена за единицу (с учетом наценки продавца), руб." numFmtId="0" hierarchy="31" level="32767"/>
    <cacheField name="[Measures].[Сумма по столбцу Персональная скидка менеджера]" caption="Сумма по столбцу Персональная скидка менеджера" numFmtId="0" hierarchy="32" level="32767"/>
    <cacheField name="[Measures].[Сумма по столбцу Цена продажи с учетом персональной скидки, руб.]" caption="Сумма по столбцу Цена продажи с учетом персональной скидки, руб." numFmtId="0" hierarchy="33" level="32767"/>
    <cacheField name="[Measures].[Сумма по столбцу Комиссия продавца, руб.]" caption="Сумма по столбцу Комиссия продавца, руб." numFmtId="0" hierarchy="34" level="32767"/>
    <cacheField name="[Таблица3].[id департамента].[id департамента]" caption="id департамента" numFmtId="0" hierarchy="4" level="1">
      <sharedItems containsSemiMixedTypes="0" containsNonDate="0" containsString="0"/>
    </cacheField>
    <cacheField name="[Таблица3].[Менеджер по продажам].[Менеджер по продажам]" caption="Менеджер по продажам" numFmtId="0" hierarchy="3" level="1">
      <sharedItems count="2">
        <s v="Гаврилов Н.А."/>
        <s v="Никифорова В.М."/>
      </sharedItems>
    </cacheField>
    <cacheField name="[Measures].[Сумма по столбцу Полная себестоимость единицы, руб.]" caption="Сумма по столбцу Полная себестоимость единицы, руб." numFmtId="0" hierarchy="37" level="32767"/>
  </cacheFields>
  <cacheHierarchies count="40">
    <cacheHierarchy uniqueName="[брендыы].[Бренд]" caption="Бренд" attribute="1" defaultMemberUniqueName="[брендыы].[Бренд].[All]" allUniqueName="[брендыы].[Бренд].[All]" dimensionUniqueName="[брендыы]" displayFolder="" count="0" memberValueDatatype="130" unbalanced="0"/>
    <cacheHierarchy uniqueName="[брендыы].[Страна поставщика]" caption="Страна поставщика" attribute="1" defaultMemberUniqueName="[брендыы].[Страна поставщика].[All]" allUniqueName="[брендыы].[Страна поставщика].[All]" dimensionUniqueName="[брендыы]" displayFolder="" count="0" memberValueDatatype="130" unbalanced="0"/>
    <cacheHierarchy uniqueName="[Таблица3].[№ договора]" caption="№ договора" attribute="1" defaultMemberUniqueName="[Таблица3].[№ договора].[All]" allUniqueName="[Таблица3].[№ договора].[All]" dimensionUniqueName="[Таблица3]" displayFolder="" count="2" memberValueDatatype="20" unbalanced="0">
      <fieldsUsage count="2">
        <fieldUsage x="-1"/>
        <fieldUsage x="0"/>
      </fieldsUsage>
    </cacheHierarchy>
    <cacheHierarchy uniqueName="[Таблица3].[Менеджер по продажам]" caption="Менеджер по продажам" attribute="1" defaultMemberUniqueName="[Таблица3].[Менеджер по продажам].[All]" allUniqueName="[Таблица3].[Менеджер по продажам].[All]" dimensionUniqueName="[Таблица3]" displayFolder="" count="2" memberValueDatatype="130" unbalanced="0">
      <fieldsUsage count="2">
        <fieldUsage x="-1"/>
        <fieldUsage x="9"/>
      </fieldsUsage>
    </cacheHierarchy>
    <cacheHierarchy uniqueName="[Таблица3].[id департамента]" caption="id департамента" attribute="1" defaultMemberUniqueName="[Таблица3].[id департамента].[All]" allUniqueName="[Таблица3].[id департамента].[All]" dimensionUniqueName="[Таблица3]" displayFolder="" count="2" memberValueDatatype="20" unbalanced="0">
      <fieldsUsage count="2">
        <fieldUsage x="-1"/>
        <fieldUsage x="8"/>
      </fieldsUsage>
    </cacheHierarchy>
    <cacheHierarchy uniqueName="[Таблица3].[ФИО покупателя]" caption="ФИО покупателя" attribute="1" defaultMemberUniqueName="[Таблица3].[ФИО покупателя].[All]" allUniqueName="[Таблица3].[ФИО покупателя].[All]" dimensionUniqueName="[Таблица3]" displayFolder="" count="0" memberValueDatatype="130" unbalanced="0"/>
    <cacheHierarchy uniqueName="[Таблица3].[Город отправления]" caption="Город отправления" attribute="1" defaultMemberUniqueName="[Таблица3].[Город отправления].[All]" allUniqueName="[Таблица3].[Город отправления].[All]" dimensionUniqueName="[Таблица3]" displayFolder="" count="0" memberValueDatatype="130" unbalanced="0"/>
    <cacheHierarchy uniqueName="[Таблица3].[Наименование товара]" caption="Наименование товара" attribute="1" defaultMemberUniqueName="[Таблица3].[Наименование товара].[All]" allUniqueName="[Таблица3].[Наименование товара].[All]" dimensionUniqueName="[Таблица3]" displayFolder="" count="2" memberValueDatatype="130" unbalanced="0">
      <fieldsUsage count="2">
        <fieldUsage x="-1"/>
        <fieldUsage x="3"/>
      </fieldsUsage>
    </cacheHierarchy>
    <cacheHierarchy uniqueName="[Таблица3].[Бренд]" caption="Бренд" attribute="1" defaultMemberUniqueName="[Таблица3].[Бренд].[All]" allUniqueName="[Таблица3].[Бренд].[All]" dimensionUniqueName="[Таблица3]" displayFolder="" count="0" memberValueDatatype="130" unbalanced="0"/>
    <cacheHierarchy uniqueName="[Таблица3].[Дата продажи]" caption="Дата продажи" attribute="1" time="1" defaultMemberUniqueName="[Таблица3].[Дата продажи].[All]" allUniqueName="[Таблица3].[Дата продажи].[All]" dimensionUniqueName="[Таблица3]" displayFolder="" count="0" memberValueDatatype="7" unbalanced="0"/>
    <cacheHierarchy uniqueName="[Таблица3].[Квартал]" caption="Квартал" attribute="1" defaultMemberUniqueName="[Таблица3].[Квартал].[All]" allUniqueName="[Таблица3].[Квартал].[All]" dimensionUniqueName="[Таблица3]" displayFolder="" count="0" memberValueDatatype="20" unbalanced="0"/>
    <cacheHierarchy uniqueName="[Таблица3].[Валовая себестоимость, тс. единицы, руб]" caption="Валовая себестоимость, тс. единицы, руб" attribute="1" defaultMemberUniqueName="[Таблица3].[Валовая себестоимость, тс. единицы, руб].[All]" allUniqueName="[Таблица3].[Валовая себестоимость, тс. единицы, руб].[All]" dimensionUniqueName="[Таблица3]" displayFolder="" count="0" memberValueDatatype="5" unbalanced="0"/>
    <cacheHierarchy uniqueName="[Таблица3].[Полная себестоимость единицы, руб.]" caption="Полная себестоимость единицы, руб." attribute="1" defaultMemberUniqueName="[Таблица3].[Полная себестоимость единицы, руб.].[All]" allUniqueName="[Таблица3].[Полная себестоимость единицы, руб.].[All]" dimensionUniqueName="[Таблица3]" displayFolder="" count="0" memberValueDatatype="5" unbalanced="0"/>
    <cacheHierarchy uniqueName="[Таблица3].[Цена за единицу (с учетом наценки продавца), руб.]" caption="Цена за единицу (с учетом наценки продавца), руб." attribute="1" defaultMemberUniqueName="[Таблица3].[Цена за единицу (с учетом наценки продавца), руб.].[All]" allUniqueName="[Таблица3].[Цена за единицу (с учетом наценки продавца), руб.].[All]" dimensionUniqueName="[Таблица3]" displayFolder="" count="0" memberValueDatatype="20" unbalanced="0"/>
    <cacheHierarchy uniqueName="[Таблица3].[Персональная скидка менеджера]" caption="Персональная скидка менеджера" attribute="1" defaultMemberUniqueName="[Таблица3].[Персональная скидка менеджера].[All]" allUniqueName="[Таблица3].[Персональная скидка менеджера].[All]" dimensionUniqueName="[Таблица3]" displayFolder="" count="0" memberValueDatatype="5" unbalanced="0"/>
    <cacheHierarchy uniqueName="[Таблица3].[Цена продажи с учетом персональной скидки, руб.]" caption="Цена продажи с учетом персональной скидки, руб." attribute="1" defaultMemberUniqueName="[Таблица3].[Цена продажи с учетом персональной скидки, руб.].[All]" allUniqueName="[Таблица3].[Цена продажи с учетом персональной скидки, руб.].[All]" dimensionUniqueName="[Таблица3]" displayFolder="" count="0" memberValueDatatype="20" unbalanced="0"/>
    <cacheHierarchy uniqueName="[Таблица3].[Комиссия продавца, %]" caption="Комиссия продавца, %" attribute="1" defaultMemberUniqueName="[Таблица3].[Комиссия продавца, %].[All]" allUniqueName="[Таблица3].[Комиссия продавца, %].[All]" dimensionUniqueName="[Таблица3]" displayFolder="" count="0" memberValueDatatype="5" unbalanced="0"/>
    <cacheHierarchy uniqueName="[Таблица3].[Комиссия продавца, руб.]" caption="Комиссия продавца, руб." attribute="1" defaultMemberUniqueName="[Таблица3].[Комиссия продавца, руб.].[All]" allUniqueName="[Таблица3].[Комиссия продавца, руб.].[All]" dimensionUniqueName="[Таблица3]" displayFolder="" count="0" memberValueDatatype="5" unbalanced="0"/>
    <cacheHierarchy uniqueName="[Таблица3].[Дата продажи (Месяц)]" caption="Дата продажи (Месяц)" attribute="1" defaultMemberUniqueName="[Таблица3].[Дата продажи (Месяц)].[All]" allUniqueName="[Таблица3].[Дата продажи (Месяц)].[All]" dimensionUniqueName="[Таблица3]" displayFolder="" count="2" memberValueDatatype="130" unbalanced="0">
      <fieldsUsage count="2">
        <fieldUsage x="-1"/>
        <fieldUsage x="1"/>
      </fieldsUsage>
    </cacheHierarchy>
    <cacheHierarchy uniqueName="[Таблица46].[Бренд]" caption="Бренд" attribute="1" defaultMemberUniqueName="[Таблица46].[Бренд].[All]" allUniqueName="[Таблица46].[Бренд].[All]" dimensionUniqueName="[Таблица46]" displayFolder="" count="0" memberValueDatatype="130" unbalanced="0"/>
    <cacheHierarchy uniqueName="[Таблица46].[Страна поставщика]" caption="Страна поставщика" attribute="1" defaultMemberUniqueName="[Таблица46].[Страна поставщика].[All]" allUniqueName="[Таблица46].[Страна поставщика].[All]" dimensionUniqueName="[Таблица46]" displayFolder="" count="0" memberValueDatatype="130" unbalanced="0"/>
    <cacheHierarchy uniqueName="[Таблица3].[Дата продажи (Индекс месяца)]" caption="Дата продажи (Индекс месяца)" attribute="1" defaultMemberUniqueName="[Таблица3].[Дата продажи (Индекс месяца)].[All]" allUniqueName="[Таблица3].[Дата продажи (Индекс месяца)].[All]" dimensionUniqueName="[Таблица3]" displayFolder="" count="0" memberValueDatatype="20" unbalanced="0" hidden="1"/>
    <cacheHierarchy uniqueName="[Measures].[__XL_Count Таблица3]" caption="__XL_Count Таблица3" measure="1" displayFolder="" measureGroup="Таблица3" count="0" hidden="1"/>
    <cacheHierarchy uniqueName="[Measures].[__XL_Count Таблица46]" caption="__XL_Count Таблица46" measure="1" displayFolder="" measureGroup="Таблица46" count="0" hidden="1"/>
    <cacheHierarchy uniqueName="[Measures].[__XL_Count брендыы]" caption="__XL_Count брендыы" measure="1" displayFolder="" measureGroup="брендыы" count="0" hidden="1"/>
    <cacheHierarchy uniqueName="[Measures].[__No measures defined]" caption="__No measures defined" measure="1" displayFolder="" count="0" hidden="1"/>
    <cacheHierarchy uniqueName="[Measures].[Число элементов в столбце № договора]" caption="Число элементов в столбце № догово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Дата продажи (Месяц)]" caption="Число элементов в столбце Дата продажи (Месяц)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Дата продажи]" caption="Число элементов в столбце Дата продажи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Валовая себестоимость, тс. единицы, руб]" caption="Сумма по столбцу Валовая себестоимость, тс. единицы, руб" measure="1" displayFolder="" measureGroup="Таблица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Число элементов в столбце Наименование товара]" caption="Число элементов в столбце Наименование товара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Цена за единицу (с учетом наценки продавца), руб.]" caption="Сумма по столбцу Цена за единицу (с учетом наценки продавца), руб." measure="1" displayFolder="" measureGroup="Таблица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Сумма по столбцу Персональная скидка менеджера]" caption="Сумма по столбцу Персональная скидка менеджера" measure="1" displayFolder="" measureGroup="Таблица3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Сумма по столбцу Цена продажи с учетом персональной скидки, руб.]" caption="Сумма по столбцу Цена продажи с учетом персональной скидки, руб." measure="1" displayFolder="" measureGroup="Таблица3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Сумма по столбцу Комиссия продавца, руб.]" caption="Сумма по столбцу Комиссия продавца, руб." measure="1" displayFolder="" measureGroup="Таблица3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Число элементов в столбце Цена за единицу (с учетом наценки продавца), руб.]" caption="Число элементов в столбце Цена за единицу (с учетом наценки продавца), руб.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Число элементов в столбце Менеджер по продажам]" caption="Число элементов в столбце Менеджер по продажам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Полная себестоимость единицы, руб.]" caption="Сумма по столбцу Полная себестоимость единицы, руб." measure="1" displayFolder="" measureGroup="Таблица3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Сумма по столбцу Комиссия продавца, %]" caption="Сумма по столбцу Комиссия продавца, %" measure="1" displayFolder="" measureGroup="Таблица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Число элементов в столбце Страна поставщика 2]" caption="Число элементов в столбце Страна поставщика 2" measure="1" displayFolder="" measureGroup="Таблица46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4">
    <dimension measure="1" name="Measures" uniqueName="[Measures]" caption="Measures"/>
    <dimension name="брендыы" uniqueName="[брендыы]" caption="брендыы"/>
    <dimension name="Таблица3" uniqueName="[Таблица3]" caption="Таблица3"/>
    <dimension name="Таблица46" uniqueName="[Таблица46]" caption="Таблица46"/>
  </dimensions>
  <measureGroups count="3">
    <measureGroup name="брендыы" caption="брендыы"/>
    <measureGroup name="Таблица3" caption="Таблица3"/>
    <measureGroup name="Таблица46" caption="Таблица46"/>
  </measureGroups>
  <maps count="5">
    <map measureGroup="0" dimension="1"/>
    <map measureGroup="1" dimension="1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1">
  <r>
    <x v="0"/>
    <x v="0"/>
    <x v="0"/>
    <s v="Антонов Л.В."/>
    <x v="0"/>
    <x v="0"/>
    <x v="0"/>
    <x v="0"/>
    <x v="0"/>
    <n v="163.13"/>
    <n v="507.46"/>
    <n v="762"/>
    <n v="0"/>
    <n v="762"/>
    <n v="0.15"/>
    <n v="114.3"/>
    <x v="0"/>
  </r>
  <r>
    <x v="1"/>
    <x v="0"/>
    <x v="0"/>
    <s v="Баранова В.Е."/>
    <x v="1"/>
    <x v="0"/>
    <x v="0"/>
    <x v="1"/>
    <x v="0"/>
    <n v="163.13"/>
    <n v="507.46"/>
    <n v="762"/>
    <n v="0"/>
    <n v="762"/>
    <n v="0.15"/>
    <n v="114.3"/>
    <x v="0"/>
  </r>
  <r>
    <x v="2"/>
    <x v="0"/>
    <x v="0"/>
    <s v="Богомолов С.А."/>
    <x v="1"/>
    <x v="0"/>
    <x v="0"/>
    <x v="2"/>
    <x v="0"/>
    <n v="163.13"/>
    <n v="507.46"/>
    <n v="762"/>
    <n v="0"/>
    <n v="762"/>
    <n v="0.15"/>
    <n v="114.3"/>
    <x v="0"/>
  </r>
  <r>
    <x v="3"/>
    <x v="0"/>
    <x v="0"/>
    <s v="Борисов М.И."/>
    <x v="2"/>
    <x v="0"/>
    <x v="0"/>
    <x v="3"/>
    <x v="0"/>
    <n v="163.13"/>
    <n v="507.46"/>
    <n v="762"/>
    <n v="0"/>
    <n v="762"/>
    <n v="0.15"/>
    <n v="114.3"/>
    <x v="0"/>
  </r>
  <r>
    <x v="4"/>
    <x v="0"/>
    <x v="0"/>
    <s v="Виноградов Б. А."/>
    <x v="3"/>
    <x v="0"/>
    <x v="0"/>
    <x v="4"/>
    <x v="0"/>
    <n v="163.13"/>
    <n v="507.46"/>
    <n v="762"/>
    <n v="0"/>
    <n v="762"/>
    <n v="0.15"/>
    <n v="114.3"/>
    <x v="0"/>
  </r>
  <r>
    <x v="5"/>
    <x v="0"/>
    <x v="0"/>
    <s v="Демьянов Н.Л."/>
    <x v="2"/>
    <x v="0"/>
    <x v="0"/>
    <x v="5"/>
    <x v="0"/>
    <n v="163.13"/>
    <n v="507.46"/>
    <n v="762"/>
    <n v="0"/>
    <n v="762"/>
    <n v="0.15"/>
    <n v="114.3"/>
    <x v="0"/>
  </r>
  <r>
    <x v="6"/>
    <x v="0"/>
    <x v="0"/>
    <s v="Малинина Т.Д."/>
    <x v="3"/>
    <x v="0"/>
    <x v="0"/>
    <x v="6"/>
    <x v="0"/>
    <n v="163.13"/>
    <n v="507.46"/>
    <n v="762"/>
    <n v="0"/>
    <n v="762"/>
    <n v="0.15"/>
    <n v="114.3"/>
    <x v="0"/>
  </r>
  <r>
    <x v="7"/>
    <x v="0"/>
    <x v="0"/>
    <s v="Романова С.И."/>
    <x v="0"/>
    <x v="0"/>
    <x v="0"/>
    <x v="7"/>
    <x v="0"/>
    <n v="163.13"/>
    <n v="507.46"/>
    <n v="762"/>
    <n v="0"/>
    <n v="762"/>
    <n v="0.15"/>
    <n v="114.3"/>
    <x v="0"/>
  </r>
  <r>
    <x v="8"/>
    <x v="0"/>
    <x v="0"/>
    <s v="Селиванова В.Я."/>
    <x v="1"/>
    <x v="0"/>
    <x v="0"/>
    <x v="8"/>
    <x v="0"/>
    <n v="163.13"/>
    <n v="507.46"/>
    <n v="762"/>
    <n v="0"/>
    <n v="762"/>
    <n v="0.15"/>
    <n v="114.3"/>
    <x v="0"/>
  </r>
  <r>
    <x v="9"/>
    <x v="0"/>
    <x v="0"/>
    <s v="Семенова В.А."/>
    <x v="0"/>
    <x v="0"/>
    <x v="0"/>
    <x v="9"/>
    <x v="0"/>
    <n v="163.13"/>
    <n v="507.46"/>
    <n v="762"/>
    <n v="0"/>
    <n v="762"/>
    <n v="0.15"/>
    <n v="114.3"/>
    <x v="0"/>
  </r>
  <r>
    <x v="10"/>
    <x v="0"/>
    <x v="0"/>
    <s v="Шишкин П. А."/>
    <x v="4"/>
    <x v="0"/>
    <x v="0"/>
    <x v="10"/>
    <x v="0"/>
    <n v="163.13"/>
    <n v="507.46"/>
    <n v="762"/>
    <n v="0"/>
    <n v="762"/>
    <n v="0.15"/>
    <n v="114.3"/>
    <x v="0"/>
  </r>
  <r>
    <x v="11"/>
    <x v="0"/>
    <x v="0"/>
    <s v="Богданов М. А."/>
    <x v="5"/>
    <x v="1"/>
    <x v="1"/>
    <x v="11"/>
    <x v="0"/>
    <n v="97.2"/>
    <n v="441.53"/>
    <n v="619"/>
    <n v="0"/>
    <n v="619"/>
    <n v="0.15"/>
    <n v="92.85"/>
    <x v="0"/>
  </r>
  <r>
    <x v="12"/>
    <x v="0"/>
    <x v="0"/>
    <s v="Васильева Е.М."/>
    <x v="1"/>
    <x v="1"/>
    <x v="1"/>
    <x v="12"/>
    <x v="0"/>
    <n v="97.2"/>
    <n v="441.53"/>
    <n v="619"/>
    <n v="0"/>
    <n v="619"/>
    <n v="0.15"/>
    <n v="92.85"/>
    <x v="0"/>
  </r>
  <r>
    <x v="13"/>
    <x v="0"/>
    <x v="0"/>
    <s v="Виноградов Б. А."/>
    <x v="3"/>
    <x v="1"/>
    <x v="1"/>
    <x v="4"/>
    <x v="0"/>
    <n v="97.2"/>
    <n v="441.53"/>
    <n v="619"/>
    <n v="0.02"/>
    <n v="607"/>
    <n v="0.15"/>
    <n v="91.05"/>
    <x v="0"/>
  </r>
  <r>
    <x v="14"/>
    <x v="0"/>
    <x v="0"/>
    <s v="Виноградова Е.А."/>
    <x v="3"/>
    <x v="1"/>
    <x v="1"/>
    <x v="13"/>
    <x v="0"/>
    <n v="97.2"/>
    <n v="441.53"/>
    <n v="619"/>
    <n v="0"/>
    <n v="619"/>
    <n v="0.15"/>
    <n v="92.85"/>
    <x v="0"/>
  </r>
  <r>
    <x v="15"/>
    <x v="0"/>
    <x v="0"/>
    <s v="Воробьева А. А."/>
    <x v="6"/>
    <x v="1"/>
    <x v="1"/>
    <x v="14"/>
    <x v="0"/>
    <n v="97.2"/>
    <n v="441.53"/>
    <n v="619"/>
    <n v="0.05"/>
    <n v="589"/>
    <n v="0.15"/>
    <n v="88.35"/>
    <x v="0"/>
  </r>
  <r>
    <x v="16"/>
    <x v="0"/>
    <x v="0"/>
    <s v="Воронков Д.М."/>
    <x v="2"/>
    <x v="1"/>
    <x v="1"/>
    <x v="15"/>
    <x v="0"/>
    <n v="97.2"/>
    <n v="441.53"/>
    <n v="619"/>
    <n v="0"/>
    <n v="619"/>
    <n v="0.15"/>
    <n v="92.85"/>
    <x v="0"/>
  </r>
  <r>
    <x v="17"/>
    <x v="0"/>
    <x v="0"/>
    <s v="Воронкова В.Н."/>
    <x v="1"/>
    <x v="1"/>
    <x v="1"/>
    <x v="16"/>
    <x v="0"/>
    <n v="97.2"/>
    <n v="441.53"/>
    <n v="619"/>
    <n v="0"/>
    <n v="619"/>
    <n v="0.15"/>
    <n v="92.85"/>
    <x v="0"/>
  </r>
  <r>
    <x v="18"/>
    <x v="0"/>
    <x v="0"/>
    <s v="Дмитриева В.Д."/>
    <x v="2"/>
    <x v="1"/>
    <x v="1"/>
    <x v="17"/>
    <x v="0"/>
    <n v="97.2"/>
    <n v="441.53"/>
    <n v="619"/>
    <n v="0"/>
    <n v="619"/>
    <n v="0.15"/>
    <n v="92.85"/>
    <x v="0"/>
  </r>
  <r>
    <x v="19"/>
    <x v="0"/>
    <x v="0"/>
    <s v="Ефремов А. М."/>
    <x v="0"/>
    <x v="1"/>
    <x v="1"/>
    <x v="18"/>
    <x v="0"/>
    <n v="97.2"/>
    <n v="441.53"/>
    <n v="619"/>
    <n v="0"/>
    <n v="619"/>
    <n v="0.15"/>
    <n v="92.85"/>
    <x v="0"/>
  </r>
  <r>
    <x v="20"/>
    <x v="0"/>
    <x v="0"/>
    <s v="Зиновьева А. М."/>
    <x v="0"/>
    <x v="1"/>
    <x v="1"/>
    <x v="19"/>
    <x v="0"/>
    <n v="97.2"/>
    <n v="441.53"/>
    <n v="619"/>
    <n v="0"/>
    <n v="619"/>
    <n v="0.15"/>
    <n v="92.85"/>
    <x v="0"/>
  </r>
  <r>
    <x v="21"/>
    <x v="0"/>
    <x v="0"/>
    <s v="Зыкова П.А."/>
    <x v="0"/>
    <x v="1"/>
    <x v="1"/>
    <x v="20"/>
    <x v="0"/>
    <n v="97.2"/>
    <n v="441.53"/>
    <n v="619"/>
    <n v="0"/>
    <n v="619"/>
    <n v="0.15"/>
    <n v="92.85"/>
    <x v="0"/>
  </r>
  <r>
    <x v="22"/>
    <x v="0"/>
    <x v="0"/>
    <s v="Иванова В. Д."/>
    <x v="1"/>
    <x v="1"/>
    <x v="1"/>
    <x v="21"/>
    <x v="0"/>
    <n v="97.2"/>
    <n v="441.53"/>
    <n v="619"/>
    <n v="0"/>
    <n v="619"/>
    <n v="0.15"/>
    <n v="92.85"/>
    <x v="0"/>
  </r>
  <r>
    <x v="23"/>
    <x v="0"/>
    <x v="0"/>
    <s v="Коновалова М.С."/>
    <x v="0"/>
    <x v="1"/>
    <x v="1"/>
    <x v="7"/>
    <x v="0"/>
    <n v="97.2"/>
    <n v="441.53"/>
    <n v="619"/>
    <n v="0"/>
    <n v="619"/>
    <n v="0.15"/>
    <n v="92.85"/>
    <x v="0"/>
  </r>
  <r>
    <x v="24"/>
    <x v="0"/>
    <x v="0"/>
    <s v="Максимова С.А."/>
    <x v="2"/>
    <x v="1"/>
    <x v="1"/>
    <x v="22"/>
    <x v="0"/>
    <n v="97.2"/>
    <n v="441.53"/>
    <n v="619"/>
    <n v="0"/>
    <n v="619"/>
    <n v="0.15"/>
    <n v="92.85"/>
    <x v="0"/>
  </r>
  <r>
    <x v="25"/>
    <x v="0"/>
    <x v="0"/>
    <s v="Носков А.А."/>
    <x v="1"/>
    <x v="1"/>
    <x v="1"/>
    <x v="23"/>
    <x v="0"/>
    <n v="97.2"/>
    <n v="441.53"/>
    <n v="619"/>
    <n v="0"/>
    <n v="619"/>
    <n v="0.15"/>
    <n v="92.85"/>
    <x v="0"/>
  </r>
  <r>
    <x v="26"/>
    <x v="0"/>
    <x v="0"/>
    <s v="Осипов Т.М."/>
    <x v="5"/>
    <x v="1"/>
    <x v="1"/>
    <x v="24"/>
    <x v="0"/>
    <n v="97.2"/>
    <n v="441.53"/>
    <n v="619"/>
    <n v="0"/>
    <n v="619"/>
    <n v="0.15"/>
    <n v="92.85"/>
    <x v="0"/>
  </r>
  <r>
    <x v="27"/>
    <x v="0"/>
    <x v="0"/>
    <s v="Попова М.А."/>
    <x v="5"/>
    <x v="1"/>
    <x v="1"/>
    <x v="25"/>
    <x v="0"/>
    <n v="97.2"/>
    <n v="441.53"/>
    <n v="619"/>
    <n v="0"/>
    <n v="619"/>
    <n v="0.15"/>
    <n v="92.85"/>
    <x v="0"/>
  </r>
  <r>
    <x v="28"/>
    <x v="0"/>
    <x v="0"/>
    <s v="Симонов Р.Л."/>
    <x v="1"/>
    <x v="1"/>
    <x v="1"/>
    <x v="19"/>
    <x v="0"/>
    <n v="97.2"/>
    <n v="441.53"/>
    <n v="619"/>
    <n v="0"/>
    <n v="619"/>
    <n v="0.15"/>
    <n v="92.85"/>
    <x v="0"/>
  </r>
  <r>
    <x v="29"/>
    <x v="0"/>
    <x v="0"/>
    <s v="Соколов А.Л."/>
    <x v="4"/>
    <x v="1"/>
    <x v="1"/>
    <x v="26"/>
    <x v="0"/>
    <n v="97.2"/>
    <n v="441.53"/>
    <n v="619"/>
    <n v="0"/>
    <n v="619"/>
    <n v="0.15"/>
    <n v="92.85"/>
    <x v="0"/>
  </r>
  <r>
    <x v="30"/>
    <x v="0"/>
    <x v="0"/>
    <s v="Фетисов С.И."/>
    <x v="5"/>
    <x v="1"/>
    <x v="1"/>
    <x v="27"/>
    <x v="0"/>
    <n v="97.2"/>
    <n v="441.53"/>
    <n v="619"/>
    <n v="0"/>
    <n v="619"/>
    <n v="0.15"/>
    <n v="92.85"/>
    <x v="0"/>
  </r>
  <r>
    <x v="31"/>
    <x v="0"/>
    <x v="0"/>
    <s v="Фокина П.И."/>
    <x v="1"/>
    <x v="1"/>
    <x v="1"/>
    <x v="28"/>
    <x v="0"/>
    <n v="97.2"/>
    <n v="441.53"/>
    <n v="619"/>
    <n v="0"/>
    <n v="619"/>
    <n v="0.15"/>
    <n v="92.85"/>
    <x v="0"/>
  </r>
  <r>
    <x v="32"/>
    <x v="0"/>
    <x v="0"/>
    <s v="Чернов П.Г."/>
    <x v="2"/>
    <x v="1"/>
    <x v="1"/>
    <x v="6"/>
    <x v="0"/>
    <n v="97.2"/>
    <n v="441.53"/>
    <n v="619"/>
    <n v="0"/>
    <n v="619"/>
    <n v="0.15"/>
    <n v="92.85"/>
    <x v="0"/>
  </r>
  <r>
    <x v="33"/>
    <x v="0"/>
    <x v="0"/>
    <s v="Шаповалова А.И."/>
    <x v="3"/>
    <x v="1"/>
    <x v="1"/>
    <x v="29"/>
    <x v="0"/>
    <n v="97.2"/>
    <n v="441.53"/>
    <n v="619"/>
    <n v="0"/>
    <n v="619"/>
    <n v="0.15"/>
    <n v="92.85"/>
    <x v="0"/>
  </r>
  <r>
    <x v="34"/>
    <x v="0"/>
    <x v="0"/>
    <s v="Александров И.Н."/>
    <x v="1"/>
    <x v="2"/>
    <x v="2"/>
    <x v="30"/>
    <x v="0"/>
    <n v="119.43"/>
    <n v="463.76"/>
    <n v="696"/>
    <n v="0"/>
    <n v="696"/>
    <n v="0.15"/>
    <n v="104.39999999999999"/>
    <x v="0"/>
  </r>
  <r>
    <x v="35"/>
    <x v="0"/>
    <x v="0"/>
    <s v="Захаров М.Г."/>
    <x v="1"/>
    <x v="2"/>
    <x v="2"/>
    <x v="31"/>
    <x v="0"/>
    <n v="119.43"/>
    <n v="463.76"/>
    <n v="696"/>
    <n v="0"/>
    <n v="696"/>
    <n v="0.15"/>
    <n v="104.39999999999999"/>
    <x v="0"/>
  </r>
  <r>
    <x v="36"/>
    <x v="0"/>
    <x v="0"/>
    <s v="Левина З.М."/>
    <x v="3"/>
    <x v="2"/>
    <x v="2"/>
    <x v="32"/>
    <x v="0"/>
    <n v="119.43"/>
    <n v="463.76"/>
    <n v="696"/>
    <n v="0"/>
    <n v="696"/>
    <n v="0.15"/>
    <n v="104.39999999999999"/>
    <x v="0"/>
  </r>
  <r>
    <x v="37"/>
    <x v="0"/>
    <x v="0"/>
    <s v="Малахова В.А."/>
    <x v="1"/>
    <x v="2"/>
    <x v="2"/>
    <x v="33"/>
    <x v="0"/>
    <n v="119.43"/>
    <n v="463.76"/>
    <n v="696"/>
    <n v="0"/>
    <n v="696"/>
    <n v="0.15"/>
    <n v="104.39999999999999"/>
    <x v="0"/>
  </r>
  <r>
    <x v="38"/>
    <x v="0"/>
    <x v="0"/>
    <s v="Коротков Ф. Г."/>
    <x v="3"/>
    <x v="3"/>
    <x v="2"/>
    <x v="34"/>
    <x v="0"/>
    <n v="109.24000000000001"/>
    <n v="453.57"/>
    <n v="681"/>
    <n v="0"/>
    <n v="681"/>
    <n v="0.15"/>
    <n v="102.14999999999999"/>
    <x v="0"/>
  </r>
  <r>
    <x v="39"/>
    <x v="0"/>
    <x v="0"/>
    <s v="Левина К. В."/>
    <x v="4"/>
    <x v="3"/>
    <x v="2"/>
    <x v="35"/>
    <x v="0"/>
    <n v="109.24000000000001"/>
    <n v="453.57"/>
    <n v="681"/>
    <n v="0"/>
    <n v="681"/>
    <n v="0.15"/>
    <n v="102.14999999999999"/>
    <x v="0"/>
  </r>
  <r>
    <x v="40"/>
    <x v="0"/>
    <x v="0"/>
    <s v="Майоров К.М."/>
    <x v="2"/>
    <x v="3"/>
    <x v="2"/>
    <x v="36"/>
    <x v="0"/>
    <n v="109.24000000000001"/>
    <n v="453.57"/>
    <n v="681"/>
    <n v="0"/>
    <n v="681"/>
    <n v="0.15"/>
    <n v="102.14999999999999"/>
    <x v="0"/>
  </r>
  <r>
    <x v="41"/>
    <x v="0"/>
    <x v="0"/>
    <s v="Муратов М. Е."/>
    <x v="6"/>
    <x v="3"/>
    <x v="2"/>
    <x v="35"/>
    <x v="0"/>
    <n v="109.24000000000001"/>
    <n v="453.57"/>
    <n v="681"/>
    <n v="0"/>
    <n v="681"/>
    <n v="0.15"/>
    <n v="102.14999999999999"/>
    <x v="0"/>
  </r>
  <r>
    <x v="42"/>
    <x v="0"/>
    <x v="0"/>
    <s v="Поляков Г.В."/>
    <x v="3"/>
    <x v="3"/>
    <x v="2"/>
    <x v="37"/>
    <x v="0"/>
    <n v="109.24000000000001"/>
    <n v="453.57"/>
    <n v="681"/>
    <n v="0"/>
    <n v="681"/>
    <n v="0.15"/>
    <n v="102.14999999999999"/>
    <x v="0"/>
  </r>
  <r>
    <x v="43"/>
    <x v="0"/>
    <x v="0"/>
    <s v="Тарасов К.В."/>
    <x v="3"/>
    <x v="3"/>
    <x v="2"/>
    <x v="38"/>
    <x v="0"/>
    <n v="109.24000000000001"/>
    <n v="453.57"/>
    <n v="681"/>
    <n v="0"/>
    <n v="681"/>
    <n v="0.15"/>
    <n v="102.14999999999999"/>
    <x v="0"/>
  </r>
  <r>
    <x v="44"/>
    <x v="0"/>
    <x v="0"/>
    <s v="Афанасьев А.М."/>
    <x v="4"/>
    <x v="4"/>
    <x v="2"/>
    <x v="31"/>
    <x v="0"/>
    <n v="131.76999999999998"/>
    <n v="476.09999999999997"/>
    <n v="715"/>
    <n v="0"/>
    <n v="715"/>
    <n v="0.15"/>
    <n v="107.25"/>
    <x v="0"/>
  </r>
  <r>
    <x v="45"/>
    <x v="0"/>
    <x v="0"/>
    <s v="Власова А. Я."/>
    <x v="4"/>
    <x v="4"/>
    <x v="2"/>
    <x v="26"/>
    <x v="0"/>
    <n v="131.76999999999998"/>
    <n v="476.09999999999997"/>
    <n v="715"/>
    <n v="0.05"/>
    <n v="680"/>
    <n v="0.15"/>
    <n v="102"/>
    <x v="0"/>
  </r>
  <r>
    <x v="46"/>
    <x v="0"/>
    <x v="0"/>
    <s v="Григорьев Е.К."/>
    <x v="1"/>
    <x v="4"/>
    <x v="2"/>
    <x v="39"/>
    <x v="0"/>
    <n v="131.76999999999998"/>
    <n v="476.09999999999997"/>
    <n v="715"/>
    <n v="0"/>
    <n v="715"/>
    <n v="0.15"/>
    <n v="107.25"/>
    <x v="0"/>
  </r>
  <r>
    <x v="47"/>
    <x v="0"/>
    <x v="0"/>
    <s v="Карпова К.А."/>
    <x v="1"/>
    <x v="4"/>
    <x v="2"/>
    <x v="40"/>
    <x v="0"/>
    <n v="131.76999999999998"/>
    <n v="476.09999999999997"/>
    <n v="715"/>
    <n v="0"/>
    <n v="715"/>
    <n v="0.15"/>
    <n v="107.25"/>
    <x v="0"/>
  </r>
  <r>
    <x v="48"/>
    <x v="0"/>
    <x v="0"/>
    <s v="Касаткина С.Т."/>
    <x v="5"/>
    <x v="4"/>
    <x v="2"/>
    <x v="41"/>
    <x v="0"/>
    <n v="131.76999999999998"/>
    <n v="476.09999999999997"/>
    <n v="715"/>
    <n v="0"/>
    <n v="715"/>
    <n v="0.15"/>
    <n v="107.25"/>
    <x v="0"/>
  </r>
  <r>
    <x v="49"/>
    <x v="0"/>
    <x v="0"/>
    <s v="Козлов М.М."/>
    <x v="2"/>
    <x v="4"/>
    <x v="2"/>
    <x v="42"/>
    <x v="0"/>
    <n v="131.76999999999998"/>
    <n v="476.09999999999997"/>
    <n v="715"/>
    <n v="0"/>
    <n v="715"/>
    <n v="0.15"/>
    <n v="107.25"/>
    <x v="0"/>
  </r>
  <r>
    <x v="50"/>
    <x v="0"/>
    <x v="0"/>
    <s v="Козлова Е.Р."/>
    <x v="2"/>
    <x v="4"/>
    <x v="2"/>
    <x v="3"/>
    <x v="0"/>
    <n v="131.76999999999998"/>
    <n v="476.09999999999997"/>
    <n v="715"/>
    <n v="0"/>
    <n v="715"/>
    <n v="0.15"/>
    <n v="107.25"/>
    <x v="0"/>
  </r>
  <r>
    <x v="51"/>
    <x v="0"/>
    <x v="0"/>
    <s v="Кудрявцев П. М."/>
    <x v="2"/>
    <x v="4"/>
    <x v="2"/>
    <x v="43"/>
    <x v="0"/>
    <n v="131.76999999999998"/>
    <n v="476.09999999999997"/>
    <n v="715"/>
    <n v="0"/>
    <n v="715"/>
    <n v="0.15"/>
    <n v="107.25"/>
    <x v="0"/>
  </r>
  <r>
    <x v="52"/>
    <x v="0"/>
    <x v="0"/>
    <s v="Майоров С.А."/>
    <x v="0"/>
    <x v="4"/>
    <x v="2"/>
    <x v="41"/>
    <x v="0"/>
    <n v="131.76999999999998"/>
    <n v="476.09999999999997"/>
    <n v="715"/>
    <n v="0"/>
    <n v="715"/>
    <n v="0.15"/>
    <n v="107.25"/>
    <x v="0"/>
  </r>
  <r>
    <x v="53"/>
    <x v="0"/>
    <x v="0"/>
    <s v="Мартынов В.Е."/>
    <x v="1"/>
    <x v="4"/>
    <x v="2"/>
    <x v="40"/>
    <x v="0"/>
    <n v="131.76999999999998"/>
    <n v="476.09999999999997"/>
    <n v="715"/>
    <n v="0"/>
    <n v="715"/>
    <n v="0.15"/>
    <n v="107.25"/>
    <x v="0"/>
  </r>
  <r>
    <x v="54"/>
    <x v="0"/>
    <x v="0"/>
    <s v="Михайлов В. А."/>
    <x v="3"/>
    <x v="4"/>
    <x v="2"/>
    <x v="44"/>
    <x v="0"/>
    <n v="131.76999999999998"/>
    <n v="476.09999999999997"/>
    <n v="715"/>
    <n v="0"/>
    <n v="715"/>
    <n v="0.15"/>
    <n v="107.25"/>
    <x v="0"/>
  </r>
  <r>
    <x v="55"/>
    <x v="0"/>
    <x v="0"/>
    <s v="Морозов М. А."/>
    <x v="5"/>
    <x v="4"/>
    <x v="2"/>
    <x v="8"/>
    <x v="0"/>
    <n v="131.76999999999998"/>
    <n v="476.09999999999997"/>
    <n v="715"/>
    <n v="0"/>
    <n v="715"/>
    <n v="0.15"/>
    <n v="107.25"/>
    <x v="0"/>
  </r>
  <r>
    <x v="56"/>
    <x v="0"/>
    <x v="0"/>
    <s v="Мухина А.А."/>
    <x v="5"/>
    <x v="4"/>
    <x v="2"/>
    <x v="24"/>
    <x v="0"/>
    <n v="131.76999999999998"/>
    <n v="476.09999999999997"/>
    <n v="715"/>
    <n v="0"/>
    <n v="715"/>
    <n v="0.15"/>
    <n v="107.25"/>
    <x v="0"/>
  </r>
  <r>
    <x v="57"/>
    <x v="0"/>
    <x v="0"/>
    <s v="Олейников А.А."/>
    <x v="1"/>
    <x v="4"/>
    <x v="2"/>
    <x v="45"/>
    <x v="0"/>
    <n v="131.76999999999998"/>
    <n v="476.09999999999997"/>
    <n v="715"/>
    <n v="0"/>
    <n v="715"/>
    <n v="0.15"/>
    <n v="107.25"/>
    <x v="0"/>
  </r>
  <r>
    <x v="58"/>
    <x v="0"/>
    <x v="0"/>
    <s v="Прохоров М.Н."/>
    <x v="1"/>
    <x v="4"/>
    <x v="2"/>
    <x v="19"/>
    <x v="0"/>
    <n v="131.76999999999998"/>
    <n v="476.09999999999997"/>
    <n v="715"/>
    <n v="0"/>
    <n v="715"/>
    <n v="0.15"/>
    <n v="107.25"/>
    <x v="0"/>
  </r>
  <r>
    <x v="59"/>
    <x v="0"/>
    <x v="0"/>
    <s v="Соколов А.С."/>
    <x v="1"/>
    <x v="4"/>
    <x v="2"/>
    <x v="45"/>
    <x v="0"/>
    <n v="131.76999999999998"/>
    <n v="476.09999999999997"/>
    <n v="715"/>
    <n v="0"/>
    <n v="715"/>
    <n v="0.15"/>
    <n v="107.25"/>
    <x v="0"/>
  </r>
  <r>
    <x v="60"/>
    <x v="0"/>
    <x v="0"/>
    <s v="Степанова О.Д."/>
    <x v="0"/>
    <x v="4"/>
    <x v="2"/>
    <x v="44"/>
    <x v="0"/>
    <n v="131.76999999999998"/>
    <n v="476.09999999999997"/>
    <n v="715"/>
    <n v="0"/>
    <n v="715"/>
    <n v="0.15"/>
    <n v="107.25"/>
    <x v="0"/>
  </r>
  <r>
    <x v="61"/>
    <x v="0"/>
    <x v="0"/>
    <s v="Бочарова А.С."/>
    <x v="3"/>
    <x v="5"/>
    <x v="3"/>
    <x v="45"/>
    <x v="0"/>
    <n v="314.15999999999997"/>
    <n v="658.49"/>
    <n v="1120"/>
    <n v="0"/>
    <n v="1120"/>
    <n v="0.15"/>
    <n v="168"/>
    <x v="0"/>
  </r>
  <r>
    <x v="62"/>
    <x v="0"/>
    <x v="0"/>
    <s v="Власова А. Я."/>
    <x v="4"/>
    <x v="5"/>
    <x v="3"/>
    <x v="26"/>
    <x v="0"/>
    <n v="314.15999999999997"/>
    <n v="658.49"/>
    <n v="1120"/>
    <n v="0"/>
    <n v="1120"/>
    <n v="0.15"/>
    <n v="168"/>
    <x v="0"/>
  </r>
  <r>
    <x v="63"/>
    <x v="0"/>
    <x v="0"/>
    <s v="Воробьева А. А."/>
    <x v="6"/>
    <x v="5"/>
    <x v="3"/>
    <x v="14"/>
    <x v="0"/>
    <n v="314.15999999999997"/>
    <n v="658.49"/>
    <n v="1120"/>
    <n v="0"/>
    <n v="1120"/>
    <n v="0.15"/>
    <n v="168"/>
    <x v="0"/>
  </r>
  <r>
    <x v="64"/>
    <x v="0"/>
    <x v="0"/>
    <s v="Воробьева М.С."/>
    <x v="1"/>
    <x v="5"/>
    <x v="3"/>
    <x v="11"/>
    <x v="0"/>
    <n v="314.15999999999997"/>
    <n v="658.49"/>
    <n v="1120"/>
    <n v="0"/>
    <n v="1120"/>
    <n v="0.15"/>
    <n v="168"/>
    <x v="0"/>
  </r>
  <r>
    <x v="65"/>
    <x v="0"/>
    <x v="0"/>
    <s v="Максимов И.А."/>
    <x v="1"/>
    <x v="5"/>
    <x v="3"/>
    <x v="46"/>
    <x v="0"/>
    <n v="314.15999999999997"/>
    <n v="658.49"/>
    <n v="1120"/>
    <n v="0"/>
    <n v="1120"/>
    <n v="0.15"/>
    <n v="168"/>
    <x v="0"/>
  </r>
  <r>
    <x v="66"/>
    <x v="1"/>
    <x v="1"/>
    <s v="Захарова М.Д."/>
    <x v="7"/>
    <x v="0"/>
    <x v="0"/>
    <x v="3"/>
    <x v="0"/>
    <n v="163.13"/>
    <n v="507.46"/>
    <n v="762"/>
    <n v="0"/>
    <n v="762"/>
    <n v="0.15"/>
    <n v="114.3"/>
    <x v="0"/>
  </r>
  <r>
    <x v="67"/>
    <x v="1"/>
    <x v="1"/>
    <s v="Пономарева А.А."/>
    <x v="8"/>
    <x v="0"/>
    <x v="0"/>
    <x v="47"/>
    <x v="0"/>
    <n v="163.13"/>
    <n v="507.46"/>
    <n v="762"/>
    <n v="0"/>
    <n v="762"/>
    <n v="0.15"/>
    <n v="114.3"/>
    <x v="0"/>
  </r>
  <r>
    <x v="68"/>
    <x v="1"/>
    <x v="1"/>
    <s v="Соловьева А.М."/>
    <x v="9"/>
    <x v="0"/>
    <x v="0"/>
    <x v="3"/>
    <x v="0"/>
    <n v="163.13"/>
    <n v="507.46"/>
    <n v="762"/>
    <n v="0"/>
    <n v="762"/>
    <n v="0.15"/>
    <n v="114.3"/>
    <x v="0"/>
  </r>
  <r>
    <x v="69"/>
    <x v="1"/>
    <x v="1"/>
    <s v="Сотникова Е.А."/>
    <x v="9"/>
    <x v="0"/>
    <x v="0"/>
    <x v="29"/>
    <x v="0"/>
    <n v="163.13"/>
    <n v="507.46"/>
    <n v="762"/>
    <n v="0"/>
    <n v="762"/>
    <n v="0.15"/>
    <n v="114.3"/>
    <x v="0"/>
  </r>
  <r>
    <x v="70"/>
    <x v="1"/>
    <x v="1"/>
    <s v="Стариков А. М."/>
    <x v="7"/>
    <x v="0"/>
    <x v="0"/>
    <x v="41"/>
    <x v="0"/>
    <n v="163.13"/>
    <n v="507.46"/>
    <n v="762"/>
    <n v="0"/>
    <n v="762"/>
    <n v="0.15"/>
    <n v="114.3"/>
    <x v="0"/>
  </r>
  <r>
    <x v="71"/>
    <x v="1"/>
    <x v="1"/>
    <s v="Тихонов Д. В."/>
    <x v="10"/>
    <x v="0"/>
    <x v="0"/>
    <x v="21"/>
    <x v="0"/>
    <n v="163.13"/>
    <n v="507.46"/>
    <n v="762"/>
    <n v="0"/>
    <n v="762"/>
    <n v="0.15"/>
    <n v="114.3"/>
    <x v="0"/>
  </r>
  <r>
    <x v="72"/>
    <x v="1"/>
    <x v="1"/>
    <s v="Ульянов Ю.В."/>
    <x v="8"/>
    <x v="0"/>
    <x v="0"/>
    <x v="13"/>
    <x v="0"/>
    <n v="163.13"/>
    <n v="507.46"/>
    <n v="762"/>
    <n v="0"/>
    <n v="762"/>
    <n v="0.15"/>
    <n v="114.3"/>
    <x v="0"/>
  </r>
  <r>
    <x v="73"/>
    <x v="1"/>
    <x v="1"/>
    <s v="Филиппова В.Р."/>
    <x v="10"/>
    <x v="0"/>
    <x v="0"/>
    <x v="48"/>
    <x v="0"/>
    <n v="163.13"/>
    <n v="507.46"/>
    <n v="762"/>
    <n v="0"/>
    <n v="762"/>
    <n v="0.15"/>
    <n v="114.3"/>
    <x v="0"/>
  </r>
  <r>
    <x v="74"/>
    <x v="1"/>
    <x v="1"/>
    <s v="Фокина В.Т."/>
    <x v="11"/>
    <x v="0"/>
    <x v="0"/>
    <x v="46"/>
    <x v="0"/>
    <n v="163.13"/>
    <n v="507.46"/>
    <n v="762"/>
    <n v="0"/>
    <n v="762"/>
    <n v="0.15"/>
    <n v="114.3"/>
    <x v="0"/>
  </r>
  <r>
    <x v="75"/>
    <x v="1"/>
    <x v="1"/>
    <s v="Блинов М. А."/>
    <x v="7"/>
    <x v="1"/>
    <x v="1"/>
    <x v="26"/>
    <x v="0"/>
    <n v="97.2"/>
    <n v="441.53"/>
    <n v="619"/>
    <n v="0"/>
    <n v="619"/>
    <n v="0.15"/>
    <n v="92.85"/>
    <x v="0"/>
  </r>
  <r>
    <x v="76"/>
    <x v="1"/>
    <x v="1"/>
    <s v="Васильев И. М."/>
    <x v="9"/>
    <x v="1"/>
    <x v="1"/>
    <x v="49"/>
    <x v="0"/>
    <n v="97.2"/>
    <n v="441.53"/>
    <n v="619"/>
    <n v="0"/>
    <n v="619"/>
    <n v="0.15"/>
    <n v="92.85"/>
    <x v="0"/>
  </r>
  <r>
    <x v="77"/>
    <x v="1"/>
    <x v="1"/>
    <s v="Владимирова А.М."/>
    <x v="12"/>
    <x v="1"/>
    <x v="1"/>
    <x v="5"/>
    <x v="0"/>
    <n v="97.2"/>
    <n v="441.53"/>
    <n v="619"/>
    <n v="0"/>
    <n v="619"/>
    <n v="0.15"/>
    <n v="92.85"/>
    <x v="0"/>
  </r>
  <r>
    <x v="78"/>
    <x v="1"/>
    <x v="1"/>
    <s v="Волков М. А."/>
    <x v="9"/>
    <x v="1"/>
    <x v="1"/>
    <x v="50"/>
    <x v="0"/>
    <n v="97.2"/>
    <n v="441.53"/>
    <n v="619"/>
    <n v="0"/>
    <n v="619"/>
    <n v="0.15"/>
    <n v="92.85"/>
    <x v="0"/>
  </r>
  <r>
    <x v="79"/>
    <x v="1"/>
    <x v="1"/>
    <s v="Воробьева А.Г."/>
    <x v="10"/>
    <x v="1"/>
    <x v="1"/>
    <x v="41"/>
    <x v="0"/>
    <n v="97.2"/>
    <n v="441.53"/>
    <n v="619"/>
    <n v="0.05"/>
    <n v="589"/>
    <n v="0.15"/>
    <n v="88.35"/>
    <x v="0"/>
  </r>
  <r>
    <x v="80"/>
    <x v="1"/>
    <x v="1"/>
    <s v="Воробьева В.А."/>
    <x v="7"/>
    <x v="1"/>
    <x v="1"/>
    <x v="51"/>
    <x v="0"/>
    <n v="97.2"/>
    <n v="441.53"/>
    <n v="619"/>
    <n v="0"/>
    <n v="619"/>
    <n v="0.15"/>
    <n v="92.85"/>
    <x v="0"/>
  </r>
  <r>
    <x v="81"/>
    <x v="1"/>
    <x v="1"/>
    <s v="Григорьев М. Т."/>
    <x v="9"/>
    <x v="1"/>
    <x v="1"/>
    <x v="25"/>
    <x v="0"/>
    <n v="97.2"/>
    <n v="441.53"/>
    <n v="619"/>
    <n v="0"/>
    <n v="619"/>
    <n v="0.15"/>
    <n v="92.85"/>
    <x v="0"/>
  </r>
  <r>
    <x v="82"/>
    <x v="1"/>
    <x v="1"/>
    <s v="Гришин В. И."/>
    <x v="9"/>
    <x v="1"/>
    <x v="1"/>
    <x v="31"/>
    <x v="0"/>
    <n v="97.2"/>
    <n v="441.53"/>
    <n v="619"/>
    <n v="0"/>
    <n v="619"/>
    <n v="0.15"/>
    <n v="92.85"/>
    <x v="0"/>
  </r>
  <r>
    <x v="83"/>
    <x v="1"/>
    <x v="1"/>
    <s v="Гришин Ф.В."/>
    <x v="12"/>
    <x v="1"/>
    <x v="1"/>
    <x v="27"/>
    <x v="0"/>
    <n v="97.2"/>
    <n v="441.53"/>
    <n v="619"/>
    <n v="0"/>
    <n v="619"/>
    <n v="0.15"/>
    <n v="92.85"/>
    <x v="0"/>
  </r>
  <r>
    <x v="84"/>
    <x v="1"/>
    <x v="1"/>
    <s v="Гущина Е.Н."/>
    <x v="7"/>
    <x v="1"/>
    <x v="1"/>
    <x v="41"/>
    <x v="0"/>
    <n v="97.2"/>
    <n v="441.53"/>
    <n v="619"/>
    <n v="0"/>
    <n v="619"/>
    <n v="0.15"/>
    <n v="92.85"/>
    <x v="0"/>
  </r>
  <r>
    <x v="85"/>
    <x v="1"/>
    <x v="1"/>
    <s v="Зайцев Л. М."/>
    <x v="10"/>
    <x v="1"/>
    <x v="1"/>
    <x v="29"/>
    <x v="0"/>
    <n v="97.2"/>
    <n v="441.53"/>
    <n v="619"/>
    <n v="0"/>
    <n v="619"/>
    <n v="0.15"/>
    <n v="92.85"/>
    <x v="0"/>
  </r>
  <r>
    <x v="86"/>
    <x v="1"/>
    <x v="1"/>
    <s v="Иванова Т.В."/>
    <x v="12"/>
    <x v="1"/>
    <x v="1"/>
    <x v="5"/>
    <x v="0"/>
    <n v="97.2"/>
    <n v="441.53"/>
    <n v="619"/>
    <n v="0"/>
    <n v="619"/>
    <n v="0.15"/>
    <n v="92.85"/>
    <x v="0"/>
  </r>
  <r>
    <x v="87"/>
    <x v="1"/>
    <x v="1"/>
    <s v="Кузьмин Д. Г."/>
    <x v="10"/>
    <x v="1"/>
    <x v="1"/>
    <x v="52"/>
    <x v="0"/>
    <n v="97.2"/>
    <n v="441.53"/>
    <n v="619"/>
    <n v="0"/>
    <n v="619"/>
    <n v="0.15"/>
    <n v="92.85"/>
    <x v="0"/>
  </r>
  <r>
    <x v="88"/>
    <x v="1"/>
    <x v="1"/>
    <s v="Кузьмин С.М."/>
    <x v="12"/>
    <x v="1"/>
    <x v="1"/>
    <x v="53"/>
    <x v="0"/>
    <n v="97.2"/>
    <n v="441.53"/>
    <n v="619"/>
    <n v="0"/>
    <n v="619"/>
    <n v="0.15"/>
    <n v="92.85"/>
    <x v="0"/>
  </r>
  <r>
    <x v="89"/>
    <x v="1"/>
    <x v="1"/>
    <s v="Макарова Е.Д."/>
    <x v="12"/>
    <x v="1"/>
    <x v="1"/>
    <x v="14"/>
    <x v="0"/>
    <n v="97.2"/>
    <n v="441.53"/>
    <n v="619"/>
    <n v="0"/>
    <n v="619"/>
    <n v="0.15"/>
    <n v="92.85"/>
    <x v="0"/>
  </r>
  <r>
    <x v="90"/>
    <x v="1"/>
    <x v="1"/>
    <s v="Максимов Л.А."/>
    <x v="9"/>
    <x v="1"/>
    <x v="1"/>
    <x v="20"/>
    <x v="0"/>
    <n v="97.2"/>
    <n v="441.53"/>
    <n v="619"/>
    <n v="0"/>
    <n v="619"/>
    <n v="0.15"/>
    <n v="92.85"/>
    <x v="0"/>
  </r>
  <r>
    <x v="91"/>
    <x v="1"/>
    <x v="1"/>
    <s v="Матвеева А.К."/>
    <x v="11"/>
    <x v="1"/>
    <x v="1"/>
    <x v="54"/>
    <x v="0"/>
    <n v="97.2"/>
    <n v="441.53"/>
    <n v="619"/>
    <n v="0"/>
    <n v="619"/>
    <n v="0.15"/>
    <n v="92.85"/>
    <x v="0"/>
  </r>
  <r>
    <x v="92"/>
    <x v="1"/>
    <x v="1"/>
    <s v="Миронова М.С."/>
    <x v="9"/>
    <x v="1"/>
    <x v="1"/>
    <x v="28"/>
    <x v="0"/>
    <n v="97.2"/>
    <n v="441.53"/>
    <n v="619"/>
    <n v="0"/>
    <n v="619"/>
    <n v="0.15"/>
    <n v="92.85"/>
    <x v="0"/>
  </r>
  <r>
    <x v="93"/>
    <x v="1"/>
    <x v="1"/>
    <s v="Муравьев З.Р."/>
    <x v="9"/>
    <x v="1"/>
    <x v="1"/>
    <x v="55"/>
    <x v="0"/>
    <n v="97.2"/>
    <n v="441.53"/>
    <n v="619"/>
    <n v="0"/>
    <n v="619"/>
    <n v="0.15"/>
    <n v="92.85"/>
    <x v="0"/>
  </r>
  <r>
    <x v="94"/>
    <x v="1"/>
    <x v="1"/>
    <s v="Назарова В.И."/>
    <x v="12"/>
    <x v="1"/>
    <x v="1"/>
    <x v="16"/>
    <x v="0"/>
    <n v="97.2"/>
    <n v="441.53"/>
    <n v="619"/>
    <n v="0"/>
    <n v="619"/>
    <n v="0.15"/>
    <n v="92.85"/>
    <x v="0"/>
  </r>
  <r>
    <x v="95"/>
    <x v="1"/>
    <x v="1"/>
    <s v="Рогов Д.М."/>
    <x v="12"/>
    <x v="1"/>
    <x v="1"/>
    <x v="53"/>
    <x v="0"/>
    <n v="97.2"/>
    <n v="441.53"/>
    <n v="619"/>
    <n v="0"/>
    <n v="619"/>
    <n v="0.15"/>
    <n v="92.85"/>
    <x v="0"/>
  </r>
  <r>
    <x v="96"/>
    <x v="1"/>
    <x v="1"/>
    <s v="Савин М.Ю."/>
    <x v="11"/>
    <x v="1"/>
    <x v="1"/>
    <x v="46"/>
    <x v="0"/>
    <n v="97.2"/>
    <n v="441.53"/>
    <n v="619"/>
    <n v="0"/>
    <n v="619"/>
    <n v="0.15"/>
    <n v="92.85"/>
    <x v="0"/>
  </r>
  <r>
    <x v="97"/>
    <x v="1"/>
    <x v="1"/>
    <s v="Сафонова К.М."/>
    <x v="10"/>
    <x v="1"/>
    <x v="1"/>
    <x v="56"/>
    <x v="0"/>
    <n v="97.2"/>
    <n v="441.53"/>
    <n v="619"/>
    <n v="0"/>
    <n v="619"/>
    <n v="0.15"/>
    <n v="92.85"/>
    <x v="0"/>
  </r>
  <r>
    <x v="98"/>
    <x v="1"/>
    <x v="1"/>
    <s v="Сергеев М.А."/>
    <x v="7"/>
    <x v="1"/>
    <x v="1"/>
    <x v="26"/>
    <x v="0"/>
    <n v="97.2"/>
    <n v="441.53"/>
    <n v="619"/>
    <n v="0"/>
    <n v="619"/>
    <n v="0.15"/>
    <n v="92.85"/>
    <x v="0"/>
  </r>
  <r>
    <x v="99"/>
    <x v="1"/>
    <x v="1"/>
    <s v="Смирнов Д.Т."/>
    <x v="8"/>
    <x v="1"/>
    <x v="1"/>
    <x v="57"/>
    <x v="0"/>
    <n v="97.2"/>
    <n v="441.53"/>
    <n v="619"/>
    <n v="0"/>
    <n v="619"/>
    <n v="0.15"/>
    <n v="92.85"/>
    <x v="0"/>
  </r>
  <r>
    <x v="100"/>
    <x v="1"/>
    <x v="1"/>
    <s v="Смирнова С. М."/>
    <x v="10"/>
    <x v="1"/>
    <x v="1"/>
    <x v="48"/>
    <x v="0"/>
    <n v="97.2"/>
    <n v="441.53"/>
    <n v="619"/>
    <n v="0"/>
    <n v="619"/>
    <n v="0.15"/>
    <n v="92.85"/>
    <x v="0"/>
  </r>
  <r>
    <x v="101"/>
    <x v="1"/>
    <x v="1"/>
    <s v="Филиппова Я. Н."/>
    <x v="9"/>
    <x v="1"/>
    <x v="1"/>
    <x v="58"/>
    <x v="0"/>
    <n v="97.2"/>
    <n v="441.53"/>
    <n v="619"/>
    <n v="0"/>
    <n v="619"/>
    <n v="0.15"/>
    <n v="92.85"/>
    <x v="0"/>
  </r>
  <r>
    <x v="102"/>
    <x v="1"/>
    <x v="1"/>
    <s v="Беляева П.Л."/>
    <x v="8"/>
    <x v="2"/>
    <x v="2"/>
    <x v="33"/>
    <x v="0"/>
    <n v="119.43"/>
    <n v="463.76"/>
    <n v="696"/>
    <n v="0"/>
    <n v="696"/>
    <n v="0.15"/>
    <n v="104.39999999999999"/>
    <x v="0"/>
  </r>
  <r>
    <x v="103"/>
    <x v="1"/>
    <x v="1"/>
    <s v="Вавилов М. Я."/>
    <x v="12"/>
    <x v="2"/>
    <x v="2"/>
    <x v="27"/>
    <x v="0"/>
    <n v="119.43"/>
    <n v="463.76"/>
    <n v="696"/>
    <n v="0"/>
    <n v="696"/>
    <n v="0.15"/>
    <n v="104.39999999999999"/>
    <x v="0"/>
  </r>
  <r>
    <x v="104"/>
    <x v="1"/>
    <x v="1"/>
    <s v="Васильева М.М."/>
    <x v="11"/>
    <x v="2"/>
    <x v="2"/>
    <x v="21"/>
    <x v="0"/>
    <n v="119.43"/>
    <n v="463.76"/>
    <n v="696"/>
    <n v="0"/>
    <n v="696"/>
    <n v="0.15"/>
    <n v="104.39999999999999"/>
    <x v="0"/>
  </r>
  <r>
    <x v="105"/>
    <x v="1"/>
    <x v="1"/>
    <s v="Дмитриева С.Д."/>
    <x v="9"/>
    <x v="2"/>
    <x v="2"/>
    <x v="59"/>
    <x v="0"/>
    <n v="119.43"/>
    <n v="463.76"/>
    <n v="696"/>
    <n v="0"/>
    <n v="696"/>
    <n v="0.15"/>
    <n v="104.39999999999999"/>
    <x v="0"/>
  </r>
  <r>
    <x v="106"/>
    <x v="1"/>
    <x v="1"/>
    <s v="Ефимова А. А."/>
    <x v="9"/>
    <x v="2"/>
    <x v="2"/>
    <x v="60"/>
    <x v="0"/>
    <n v="119.43"/>
    <n v="463.76"/>
    <n v="696"/>
    <n v="0"/>
    <n v="696"/>
    <n v="0.15"/>
    <n v="104.39999999999999"/>
    <x v="0"/>
  </r>
  <r>
    <x v="107"/>
    <x v="1"/>
    <x v="1"/>
    <s v="Журавлев А.Н."/>
    <x v="9"/>
    <x v="2"/>
    <x v="2"/>
    <x v="60"/>
    <x v="0"/>
    <n v="119.43"/>
    <n v="463.76"/>
    <n v="696"/>
    <n v="0"/>
    <n v="696"/>
    <n v="0.15"/>
    <n v="104.39999999999999"/>
    <x v="0"/>
  </r>
  <r>
    <x v="108"/>
    <x v="1"/>
    <x v="1"/>
    <s v="Козлов В. Г."/>
    <x v="9"/>
    <x v="2"/>
    <x v="2"/>
    <x v="18"/>
    <x v="0"/>
    <n v="119.43"/>
    <n v="463.76"/>
    <n v="696"/>
    <n v="0"/>
    <n v="696"/>
    <n v="0.15"/>
    <n v="104.39999999999999"/>
    <x v="0"/>
  </r>
  <r>
    <x v="109"/>
    <x v="1"/>
    <x v="1"/>
    <s v="Лыткин О.И."/>
    <x v="9"/>
    <x v="2"/>
    <x v="2"/>
    <x v="33"/>
    <x v="0"/>
    <n v="119.43"/>
    <n v="463.76"/>
    <n v="696"/>
    <n v="0.05"/>
    <n v="662"/>
    <n v="0.15"/>
    <n v="99.3"/>
    <x v="0"/>
  </r>
  <r>
    <x v="110"/>
    <x v="1"/>
    <x v="1"/>
    <s v="Максимов С. П."/>
    <x v="10"/>
    <x v="2"/>
    <x v="2"/>
    <x v="2"/>
    <x v="0"/>
    <n v="119.43"/>
    <n v="463.76"/>
    <n v="696"/>
    <n v="0"/>
    <n v="696"/>
    <n v="0.15"/>
    <n v="104.39999999999999"/>
    <x v="0"/>
  </r>
  <r>
    <x v="111"/>
    <x v="1"/>
    <x v="1"/>
    <s v="Мартынов Я. Т."/>
    <x v="9"/>
    <x v="2"/>
    <x v="2"/>
    <x v="50"/>
    <x v="0"/>
    <n v="119.43"/>
    <n v="463.76"/>
    <n v="696"/>
    <n v="0"/>
    <n v="696"/>
    <n v="0.15"/>
    <n v="104.39999999999999"/>
    <x v="0"/>
  </r>
  <r>
    <x v="112"/>
    <x v="1"/>
    <x v="1"/>
    <s v="Митчин А. М."/>
    <x v="11"/>
    <x v="2"/>
    <x v="2"/>
    <x v="61"/>
    <x v="0"/>
    <n v="119.43"/>
    <n v="463.76"/>
    <n v="696"/>
    <n v="0"/>
    <n v="696"/>
    <n v="0.15"/>
    <n v="104.39999999999999"/>
    <x v="0"/>
  </r>
  <r>
    <x v="113"/>
    <x v="1"/>
    <x v="1"/>
    <s v="Соколова П. Ю."/>
    <x v="8"/>
    <x v="2"/>
    <x v="2"/>
    <x v="43"/>
    <x v="0"/>
    <n v="119.43"/>
    <n v="463.76"/>
    <n v="696"/>
    <n v="0"/>
    <n v="696"/>
    <n v="0.15"/>
    <n v="104.39999999999999"/>
    <x v="0"/>
  </r>
  <r>
    <x v="114"/>
    <x v="1"/>
    <x v="1"/>
    <s v="Федоров В. Д."/>
    <x v="9"/>
    <x v="2"/>
    <x v="2"/>
    <x v="62"/>
    <x v="0"/>
    <n v="119.43"/>
    <n v="463.76"/>
    <n v="696"/>
    <n v="0"/>
    <n v="696"/>
    <n v="0.15"/>
    <n v="104.39999999999999"/>
    <x v="0"/>
  </r>
  <r>
    <x v="115"/>
    <x v="1"/>
    <x v="1"/>
    <s v="Комаров В.Я."/>
    <x v="10"/>
    <x v="3"/>
    <x v="2"/>
    <x v="59"/>
    <x v="0"/>
    <n v="109.24000000000001"/>
    <n v="453.57"/>
    <n v="681"/>
    <n v="0"/>
    <n v="681"/>
    <n v="0.15"/>
    <n v="102.14999999999999"/>
    <x v="0"/>
  </r>
  <r>
    <x v="116"/>
    <x v="1"/>
    <x v="1"/>
    <s v="Куликова А.Ф."/>
    <x v="9"/>
    <x v="3"/>
    <x v="2"/>
    <x v="37"/>
    <x v="0"/>
    <n v="109.24000000000001"/>
    <n v="453.57"/>
    <n v="681"/>
    <n v="0"/>
    <n v="681"/>
    <n v="0.15"/>
    <n v="102.14999999999999"/>
    <x v="0"/>
  </r>
  <r>
    <x v="117"/>
    <x v="1"/>
    <x v="1"/>
    <s v="Леонова А.Д."/>
    <x v="8"/>
    <x v="3"/>
    <x v="2"/>
    <x v="29"/>
    <x v="0"/>
    <n v="109.24000000000001"/>
    <n v="453.57"/>
    <n v="681"/>
    <n v="0"/>
    <n v="681"/>
    <n v="0.15"/>
    <n v="102.14999999999999"/>
    <x v="0"/>
  </r>
  <r>
    <x v="118"/>
    <x v="1"/>
    <x v="1"/>
    <s v="Нестеров М. М."/>
    <x v="9"/>
    <x v="3"/>
    <x v="2"/>
    <x v="46"/>
    <x v="0"/>
    <n v="109.24000000000001"/>
    <n v="453.57"/>
    <n v="681"/>
    <n v="0"/>
    <n v="681"/>
    <n v="0.15"/>
    <n v="102.14999999999999"/>
    <x v="0"/>
  </r>
  <r>
    <x v="119"/>
    <x v="1"/>
    <x v="1"/>
    <s v="Никонов В.Ф."/>
    <x v="9"/>
    <x v="3"/>
    <x v="2"/>
    <x v="63"/>
    <x v="0"/>
    <n v="109.24000000000001"/>
    <n v="453.57"/>
    <n v="681"/>
    <n v="0"/>
    <n v="681"/>
    <n v="0.15"/>
    <n v="102.14999999999999"/>
    <x v="0"/>
  </r>
  <r>
    <x v="120"/>
    <x v="1"/>
    <x v="1"/>
    <s v="Овсянников М. П."/>
    <x v="10"/>
    <x v="3"/>
    <x v="2"/>
    <x v="44"/>
    <x v="0"/>
    <n v="109.24000000000001"/>
    <n v="453.57"/>
    <n v="681"/>
    <n v="0"/>
    <n v="681"/>
    <n v="0.15"/>
    <n v="102.14999999999999"/>
    <x v="0"/>
  </r>
  <r>
    <x v="121"/>
    <x v="1"/>
    <x v="1"/>
    <s v="Орлов Г. А."/>
    <x v="10"/>
    <x v="3"/>
    <x v="2"/>
    <x v="36"/>
    <x v="0"/>
    <n v="109.24000000000001"/>
    <n v="453.57"/>
    <n v="681"/>
    <n v="0"/>
    <n v="681"/>
    <n v="0.15"/>
    <n v="102.14999999999999"/>
    <x v="0"/>
  </r>
  <r>
    <x v="122"/>
    <x v="1"/>
    <x v="1"/>
    <s v="Филатов М.И."/>
    <x v="10"/>
    <x v="3"/>
    <x v="2"/>
    <x v="45"/>
    <x v="0"/>
    <n v="109.24000000000001"/>
    <n v="453.57"/>
    <n v="681"/>
    <n v="0"/>
    <n v="681"/>
    <n v="0.15"/>
    <n v="102.14999999999999"/>
    <x v="0"/>
  </r>
  <r>
    <x v="123"/>
    <x v="1"/>
    <x v="1"/>
    <s v="Воронова В.А."/>
    <x v="8"/>
    <x v="4"/>
    <x v="2"/>
    <x v="64"/>
    <x v="0"/>
    <n v="131.76999999999998"/>
    <n v="476.09999999999997"/>
    <n v="715"/>
    <n v="0"/>
    <n v="715"/>
    <n v="0.15"/>
    <n v="107.25"/>
    <x v="0"/>
  </r>
  <r>
    <x v="124"/>
    <x v="1"/>
    <x v="1"/>
    <s v="Золотарева А.Ф."/>
    <x v="12"/>
    <x v="4"/>
    <x v="2"/>
    <x v="5"/>
    <x v="0"/>
    <n v="131.76999999999998"/>
    <n v="476.09999999999997"/>
    <n v="715"/>
    <n v="0"/>
    <n v="715"/>
    <n v="0.15"/>
    <n v="107.25"/>
    <x v="0"/>
  </r>
  <r>
    <x v="125"/>
    <x v="1"/>
    <x v="1"/>
    <s v="Калашников М.М."/>
    <x v="9"/>
    <x v="4"/>
    <x v="2"/>
    <x v="37"/>
    <x v="0"/>
    <n v="131.76999999999998"/>
    <n v="476.09999999999997"/>
    <n v="715"/>
    <n v="0"/>
    <n v="715"/>
    <n v="0.15"/>
    <n v="107.25"/>
    <x v="0"/>
  </r>
  <r>
    <x v="126"/>
    <x v="1"/>
    <x v="1"/>
    <s v="Киселева В.Л."/>
    <x v="12"/>
    <x v="4"/>
    <x v="2"/>
    <x v="65"/>
    <x v="0"/>
    <n v="131.76999999999998"/>
    <n v="476.09999999999997"/>
    <n v="715"/>
    <n v="0"/>
    <n v="715"/>
    <n v="0.15"/>
    <n v="107.25"/>
    <x v="0"/>
  </r>
  <r>
    <x v="127"/>
    <x v="1"/>
    <x v="1"/>
    <s v="Корнеев М.Р."/>
    <x v="11"/>
    <x v="4"/>
    <x v="2"/>
    <x v="15"/>
    <x v="0"/>
    <n v="131.76999999999998"/>
    <n v="476.09999999999997"/>
    <n v="715"/>
    <n v="0"/>
    <n v="715"/>
    <n v="0.15"/>
    <n v="107.25"/>
    <x v="0"/>
  </r>
  <r>
    <x v="128"/>
    <x v="1"/>
    <x v="1"/>
    <s v="Корчагина Е. А."/>
    <x v="9"/>
    <x v="4"/>
    <x v="2"/>
    <x v="37"/>
    <x v="0"/>
    <n v="131.76999999999998"/>
    <n v="476.09999999999997"/>
    <n v="715"/>
    <n v="0"/>
    <n v="715"/>
    <n v="0.15"/>
    <n v="107.25"/>
    <x v="0"/>
  </r>
  <r>
    <x v="129"/>
    <x v="1"/>
    <x v="1"/>
    <s v="Кочергин А.И."/>
    <x v="12"/>
    <x v="4"/>
    <x v="2"/>
    <x v="66"/>
    <x v="0"/>
    <n v="131.76999999999998"/>
    <n v="476.09999999999997"/>
    <n v="715"/>
    <n v="0"/>
    <n v="715"/>
    <n v="0.15"/>
    <n v="107.25"/>
    <x v="0"/>
  </r>
  <r>
    <x v="130"/>
    <x v="1"/>
    <x v="1"/>
    <s v="Красильникова В.А."/>
    <x v="11"/>
    <x v="4"/>
    <x v="2"/>
    <x v="58"/>
    <x v="0"/>
    <n v="131.76999999999998"/>
    <n v="476.09999999999997"/>
    <n v="715"/>
    <n v="0"/>
    <n v="715"/>
    <n v="0.15"/>
    <n v="107.25"/>
    <x v="0"/>
  </r>
  <r>
    <x v="131"/>
    <x v="1"/>
    <x v="1"/>
    <s v="Куликова Я.К."/>
    <x v="9"/>
    <x v="4"/>
    <x v="2"/>
    <x v="67"/>
    <x v="0"/>
    <n v="131.76999999999998"/>
    <n v="476.09999999999997"/>
    <n v="715"/>
    <n v="0"/>
    <n v="715"/>
    <n v="0.15"/>
    <n v="107.25"/>
    <x v="0"/>
  </r>
  <r>
    <x v="132"/>
    <x v="1"/>
    <x v="1"/>
    <s v="Маркова П.Д."/>
    <x v="9"/>
    <x v="4"/>
    <x v="2"/>
    <x v="17"/>
    <x v="0"/>
    <n v="131.76999999999998"/>
    <n v="476.09999999999997"/>
    <n v="715"/>
    <n v="0"/>
    <n v="715"/>
    <n v="0.15"/>
    <n v="107.25"/>
    <x v="0"/>
  </r>
  <r>
    <x v="133"/>
    <x v="1"/>
    <x v="1"/>
    <s v="Морозов З. М."/>
    <x v="7"/>
    <x v="4"/>
    <x v="2"/>
    <x v="41"/>
    <x v="0"/>
    <n v="131.76999999999998"/>
    <n v="476.09999999999997"/>
    <n v="715"/>
    <n v="0"/>
    <n v="715"/>
    <n v="0.15"/>
    <n v="107.25"/>
    <x v="0"/>
  </r>
  <r>
    <x v="134"/>
    <x v="1"/>
    <x v="1"/>
    <s v="Никитина В.А."/>
    <x v="9"/>
    <x v="4"/>
    <x v="2"/>
    <x v="59"/>
    <x v="0"/>
    <n v="131.76999999999998"/>
    <n v="476.09999999999997"/>
    <n v="715"/>
    <n v="0"/>
    <n v="715"/>
    <n v="0.15"/>
    <n v="107.25"/>
    <x v="0"/>
  </r>
  <r>
    <x v="135"/>
    <x v="1"/>
    <x v="1"/>
    <s v="Покровский Ф.Г."/>
    <x v="12"/>
    <x v="4"/>
    <x v="2"/>
    <x v="16"/>
    <x v="0"/>
    <n v="131.76999999999998"/>
    <n v="476.09999999999997"/>
    <n v="715"/>
    <n v="0"/>
    <n v="715"/>
    <n v="0.15"/>
    <n v="107.25"/>
    <x v="0"/>
  </r>
  <r>
    <x v="136"/>
    <x v="1"/>
    <x v="1"/>
    <s v="Прокофьева М.В."/>
    <x v="12"/>
    <x v="4"/>
    <x v="2"/>
    <x v="53"/>
    <x v="0"/>
    <n v="131.76999999999998"/>
    <n v="476.09999999999997"/>
    <n v="715"/>
    <n v="0"/>
    <n v="715"/>
    <n v="0.15"/>
    <n v="107.25"/>
    <x v="0"/>
  </r>
  <r>
    <x v="137"/>
    <x v="1"/>
    <x v="1"/>
    <s v="Соколова Е.М."/>
    <x v="10"/>
    <x v="4"/>
    <x v="2"/>
    <x v="68"/>
    <x v="0"/>
    <n v="131.76999999999998"/>
    <n v="476.09999999999997"/>
    <n v="715"/>
    <n v="0"/>
    <n v="715"/>
    <n v="0.15"/>
    <n v="107.25"/>
    <x v="0"/>
  </r>
  <r>
    <x v="138"/>
    <x v="1"/>
    <x v="1"/>
    <s v="Тимофеев А.М."/>
    <x v="10"/>
    <x v="4"/>
    <x v="2"/>
    <x v="8"/>
    <x v="0"/>
    <n v="131.76999999999998"/>
    <n v="476.09999999999997"/>
    <n v="715"/>
    <n v="0"/>
    <n v="715"/>
    <n v="0.15"/>
    <n v="107.25"/>
    <x v="0"/>
  </r>
  <r>
    <x v="139"/>
    <x v="1"/>
    <x v="1"/>
    <s v="Антипова Д.Д."/>
    <x v="8"/>
    <x v="5"/>
    <x v="3"/>
    <x v="57"/>
    <x v="0"/>
    <n v="314.15999999999997"/>
    <n v="658.49"/>
    <n v="1120"/>
    <n v="0"/>
    <n v="1120"/>
    <n v="0.15"/>
    <n v="168"/>
    <x v="0"/>
  </r>
  <r>
    <x v="140"/>
    <x v="1"/>
    <x v="1"/>
    <s v="Белоусов И. Л."/>
    <x v="8"/>
    <x v="5"/>
    <x v="3"/>
    <x v="39"/>
    <x v="0"/>
    <n v="314.15999999999997"/>
    <n v="658.49"/>
    <n v="1120"/>
    <n v="0"/>
    <n v="1120"/>
    <n v="0.15"/>
    <n v="168"/>
    <x v="0"/>
  </r>
  <r>
    <x v="141"/>
    <x v="1"/>
    <x v="1"/>
    <s v="Богданов Д.М."/>
    <x v="7"/>
    <x v="5"/>
    <x v="3"/>
    <x v="59"/>
    <x v="0"/>
    <n v="314.15999999999997"/>
    <n v="658.49"/>
    <n v="1120"/>
    <n v="0"/>
    <n v="1120"/>
    <n v="0.15"/>
    <n v="168"/>
    <x v="0"/>
  </r>
  <r>
    <x v="142"/>
    <x v="1"/>
    <x v="1"/>
    <s v="Богданов Я.Д."/>
    <x v="10"/>
    <x v="5"/>
    <x v="3"/>
    <x v="61"/>
    <x v="0"/>
    <n v="314.15999999999997"/>
    <n v="658.49"/>
    <n v="1120"/>
    <n v="0"/>
    <n v="1120"/>
    <n v="0.15"/>
    <n v="168"/>
    <x v="0"/>
  </r>
  <r>
    <x v="143"/>
    <x v="1"/>
    <x v="1"/>
    <s v="Воробьева А.Г."/>
    <x v="10"/>
    <x v="5"/>
    <x v="3"/>
    <x v="41"/>
    <x v="0"/>
    <n v="314.15999999999997"/>
    <n v="658.49"/>
    <n v="1120"/>
    <n v="0"/>
    <n v="1120"/>
    <n v="0.15"/>
    <n v="168"/>
    <x v="0"/>
  </r>
  <r>
    <x v="144"/>
    <x v="1"/>
    <x v="1"/>
    <s v="Данилова М.Г."/>
    <x v="12"/>
    <x v="5"/>
    <x v="3"/>
    <x v="5"/>
    <x v="0"/>
    <n v="314.15999999999997"/>
    <n v="658.49"/>
    <n v="1120"/>
    <n v="0"/>
    <n v="1120"/>
    <n v="0.15"/>
    <n v="168"/>
    <x v="0"/>
  </r>
  <r>
    <x v="145"/>
    <x v="1"/>
    <x v="1"/>
    <s v="Зайцев С. Э."/>
    <x v="11"/>
    <x v="5"/>
    <x v="3"/>
    <x v="54"/>
    <x v="0"/>
    <n v="314.15999999999997"/>
    <n v="658.49"/>
    <n v="1120"/>
    <n v="0"/>
    <n v="1120"/>
    <n v="0.15"/>
    <n v="168"/>
    <x v="0"/>
  </r>
  <r>
    <x v="146"/>
    <x v="1"/>
    <x v="1"/>
    <s v="Зверев А.А."/>
    <x v="9"/>
    <x v="5"/>
    <x v="3"/>
    <x v="23"/>
    <x v="0"/>
    <n v="314.15999999999997"/>
    <n v="658.49"/>
    <n v="1120"/>
    <n v="0"/>
    <n v="1120"/>
    <n v="0.15"/>
    <n v="168"/>
    <x v="0"/>
  </r>
  <r>
    <x v="147"/>
    <x v="1"/>
    <x v="1"/>
    <s v="Зверев М. Л."/>
    <x v="9"/>
    <x v="5"/>
    <x v="3"/>
    <x v="63"/>
    <x v="0"/>
    <n v="314.15999999999997"/>
    <n v="658.49"/>
    <n v="1120"/>
    <n v="0"/>
    <n v="1120"/>
    <n v="0.15"/>
    <n v="168"/>
    <x v="0"/>
  </r>
  <r>
    <x v="148"/>
    <x v="1"/>
    <x v="1"/>
    <s v="Иванов Д. Д."/>
    <x v="9"/>
    <x v="5"/>
    <x v="3"/>
    <x v="9"/>
    <x v="0"/>
    <n v="314.15999999999997"/>
    <n v="658.49"/>
    <n v="1120"/>
    <n v="0"/>
    <n v="1120"/>
    <n v="0.15"/>
    <n v="168"/>
    <x v="0"/>
  </r>
  <r>
    <x v="149"/>
    <x v="1"/>
    <x v="1"/>
    <s v="Иванов М.В."/>
    <x v="9"/>
    <x v="5"/>
    <x v="3"/>
    <x v="69"/>
    <x v="0"/>
    <n v="314.15999999999997"/>
    <n v="658.49"/>
    <n v="1120"/>
    <n v="0"/>
    <n v="1120"/>
    <n v="0.15"/>
    <n v="168"/>
    <x v="0"/>
  </r>
  <r>
    <x v="150"/>
    <x v="1"/>
    <x v="1"/>
    <s v="Иванова К. Д."/>
    <x v="11"/>
    <x v="5"/>
    <x v="3"/>
    <x v="13"/>
    <x v="0"/>
    <n v="314.15999999999997"/>
    <n v="658.49"/>
    <n v="1120"/>
    <n v="0"/>
    <n v="1120"/>
    <n v="0.15"/>
    <n v="168"/>
    <x v="0"/>
  </r>
  <r>
    <x v="151"/>
    <x v="1"/>
    <x v="1"/>
    <s v="Лыткин О.И."/>
    <x v="9"/>
    <x v="5"/>
    <x v="3"/>
    <x v="33"/>
    <x v="0"/>
    <n v="314.15999999999997"/>
    <n v="658.49"/>
    <n v="1120"/>
    <n v="0"/>
    <n v="1120"/>
    <n v="0.15"/>
    <n v="168"/>
    <x v="0"/>
  </r>
  <r>
    <x v="152"/>
    <x v="1"/>
    <x v="1"/>
    <s v="Одинцов З.А."/>
    <x v="11"/>
    <x v="5"/>
    <x v="3"/>
    <x v="1"/>
    <x v="0"/>
    <n v="314.15999999999997"/>
    <n v="658.49"/>
    <n v="1120"/>
    <n v="0"/>
    <n v="1120"/>
    <n v="0.15"/>
    <n v="168"/>
    <x v="0"/>
  </r>
  <r>
    <x v="153"/>
    <x v="2"/>
    <x v="0"/>
    <s v="Громов Д.М."/>
    <x v="0"/>
    <x v="0"/>
    <x v="0"/>
    <x v="70"/>
    <x v="0"/>
    <n v="163.13"/>
    <n v="507.46"/>
    <n v="762"/>
    <n v="0"/>
    <n v="762"/>
    <n v="0.15"/>
    <n v="114.3"/>
    <x v="0"/>
  </r>
  <r>
    <x v="154"/>
    <x v="2"/>
    <x v="0"/>
    <s v="Данилова В.А."/>
    <x v="2"/>
    <x v="0"/>
    <x v="0"/>
    <x v="23"/>
    <x v="0"/>
    <n v="163.13"/>
    <n v="507.46"/>
    <n v="762"/>
    <n v="0"/>
    <n v="762"/>
    <n v="0.15"/>
    <n v="114.3"/>
    <x v="0"/>
  </r>
  <r>
    <x v="155"/>
    <x v="2"/>
    <x v="0"/>
    <s v="Иванов А.М."/>
    <x v="3"/>
    <x v="0"/>
    <x v="0"/>
    <x v="65"/>
    <x v="0"/>
    <n v="163.13"/>
    <n v="507.46"/>
    <n v="762"/>
    <n v="0"/>
    <n v="762"/>
    <n v="0.15"/>
    <n v="114.3"/>
    <x v="0"/>
  </r>
  <r>
    <x v="156"/>
    <x v="2"/>
    <x v="0"/>
    <s v="Игнатова А.И."/>
    <x v="2"/>
    <x v="0"/>
    <x v="0"/>
    <x v="66"/>
    <x v="0"/>
    <n v="163.13"/>
    <n v="507.46"/>
    <n v="762"/>
    <n v="0"/>
    <n v="762"/>
    <n v="0.15"/>
    <n v="114.3"/>
    <x v="0"/>
  </r>
  <r>
    <x v="157"/>
    <x v="2"/>
    <x v="0"/>
    <s v="Колесов С.А."/>
    <x v="4"/>
    <x v="0"/>
    <x v="0"/>
    <x v="34"/>
    <x v="0"/>
    <n v="163.13"/>
    <n v="507.46"/>
    <n v="762"/>
    <n v="0"/>
    <n v="762"/>
    <n v="0.15"/>
    <n v="114.3"/>
    <x v="0"/>
  </r>
  <r>
    <x v="158"/>
    <x v="2"/>
    <x v="0"/>
    <s v="Крылова А.И."/>
    <x v="1"/>
    <x v="0"/>
    <x v="0"/>
    <x v="1"/>
    <x v="0"/>
    <n v="163.13"/>
    <n v="507.46"/>
    <n v="762"/>
    <n v="0"/>
    <n v="762"/>
    <n v="0.15"/>
    <n v="114.3"/>
    <x v="0"/>
  </r>
  <r>
    <x v="159"/>
    <x v="2"/>
    <x v="0"/>
    <s v="Петров И. Л."/>
    <x v="4"/>
    <x v="0"/>
    <x v="0"/>
    <x v="12"/>
    <x v="0"/>
    <n v="163.13"/>
    <n v="507.46"/>
    <n v="762"/>
    <n v="0"/>
    <n v="762"/>
    <n v="0.15"/>
    <n v="114.3"/>
    <x v="0"/>
  </r>
  <r>
    <x v="160"/>
    <x v="2"/>
    <x v="0"/>
    <s v="Рожков С. А."/>
    <x v="3"/>
    <x v="0"/>
    <x v="0"/>
    <x v="71"/>
    <x v="0"/>
    <n v="163.13"/>
    <n v="507.46"/>
    <n v="762"/>
    <n v="0"/>
    <n v="762"/>
    <n v="0.15"/>
    <n v="114.3"/>
    <x v="0"/>
  </r>
  <r>
    <x v="161"/>
    <x v="2"/>
    <x v="0"/>
    <s v="Романов И. М."/>
    <x v="6"/>
    <x v="0"/>
    <x v="0"/>
    <x v="71"/>
    <x v="0"/>
    <n v="163.13"/>
    <n v="507.46"/>
    <n v="762"/>
    <n v="0"/>
    <n v="762"/>
    <n v="0.15"/>
    <n v="114.3"/>
    <x v="0"/>
  </r>
  <r>
    <x v="162"/>
    <x v="2"/>
    <x v="0"/>
    <s v="Смирнов Д.П."/>
    <x v="3"/>
    <x v="0"/>
    <x v="0"/>
    <x v="8"/>
    <x v="0"/>
    <n v="163.13"/>
    <n v="507.46"/>
    <n v="762"/>
    <n v="0"/>
    <n v="762"/>
    <n v="0.15"/>
    <n v="114.3"/>
    <x v="0"/>
  </r>
  <r>
    <x v="163"/>
    <x v="2"/>
    <x v="0"/>
    <s v="Столярова А. А."/>
    <x v="2"/>
    <x v="0"/>
    <x v="0"/>
    <x v="49"/>
    <x v="0"/>
    <n v="163.13"/>
    <n v="507.46"/>
    <n v="762"/>
    <n v="0"/>
    <n v="762"/>
    <n v="0.15"/>
    <n v="114.3"/>
    <x v="0"/>
  </r>
  <r>
    <x v="164"/>
    <x v="2"/>
    <x v="0"/>
    <s v="Тарасов Д. П."/>
    <x v="6"/>
    <x v="0"/>
    <x v="0"/>
    <x v="63"/>
    <x v="0"/>
    <n v="163.13"/>
    <n v="507.46"/>
    <n v="762"/>
    <n v="0"/>
    <n v="762"/>
    <n v="0.15"/>
    <n v="114.3"/>
    <x v="0"/>
  </r>
  <r>
    <x v="165"/>
    <x v="2"/>
    <x v="0"/>
    <s v="Ушаков Д. А."/>
    <x v="0"/>
    <x v="0"/>
    <x v="0"/>
    <x v="72"/>
    <x v="0"/>
    <n v="163.13"/>
    <n v="507.46"/>
    <n v="762"/>
    <n v="0"/>
    <n v="762"/>
    <n v="0.15"/>
    <n v="114.3"/>
    <x v="0"/>
  </r>
  <r>
    <x v="166"/>
    <x v="2"/>
    <x v="0"/>
    <s v="Фокина А. М."/>
    <x v="0"/>
    <x v="0"/>
    <x v="0"/>
    <x v="56"/>
    <x v="0"/>
    <n v="163.13"/>
    <n v="507.46"/>
    <n v="762"/>
    <n v="0"/>
    <n v="762"/>
    <n v="0.15"/>
    <n v="114.3"/>
    <x v="0"/>
  </r>
  <r>
    <x v="167"/>
    <x v="2"/>
    <x v="0"/>
    <s v="Чумакова А. Д."/>
    <x v="1"/>
    <x v="0"/>
    <x v="0"/>
    <x v="7"/>
    <x v="0"/>
    <n v="163.13"/>
    <n v="507.46"/>
    <n v="762"/>
    <n v="0"/>
    <n v="762"/>
    <n v="0.15"/>
    <n v="114.3"/>
    <x v="0"/>
  </r>
  <r>
    <x v="168"/>
    <x v="2"/>
    <x v="0"/>
    <s v="Яковлев Р. М."/>
    <x v="5"/>
    <x v="0"/>
    <x v="0"/>
    <x v="28"/>
    <x v="0"/>
    <n v="163.13"/>
    <n v="507.46"/>
    <n v="762"/>
    <n v="0"/>
    <n v="762"/>
    <n v="0.15"/>
    <n v="114.3"/>
    <x v="0"/>
  </r>
  <r>
    <x v="169"/>
    <x v="2"/>
    <x v="0"/>
    <s v="Белякова В.М."/>
    <x v="5"/>
    <x v="1"/>
    <x v="1"/>
    <x v="33"/>
    <x v="0"/>
    <n v="97.2"/>
    <n v="441.53"/>
    <n v="619"/>
    <n v="0"/>
    <n v="619"/>
    <n v="0.15"/>
    <n v="92.85"/>
    <x v="0"/>
  </r>
  <r>
    <x v="170"/>
    <x v="2"/>
    <x v="0"/>
    <s v="Воробьева К.Л."/>
    <x v="4"/>
    <x v="1"/>
    <x v="1"/>
    <x v="26"/>
    <x v="0"/>
    <n v="97.2"/>
    <n v="441.53"/>
    <n v="619"/>
    <n v="0"/>
    <n v="619"/>
    <n v="0.15"/>
    <n v="92.85"/>
    <x v="0"/>
  </r>
  <r>
    <x v="171"/>
    <x v="2"/>
    <x v="0"/>
    <s v="Воронцова С. К."/>
    <x v="1"/>
    <x v="1"/>
    <x v="1"/>
    <x v="15"/>
    <x v="0"/>
    <n v="97.2"/>
    <n v="441.53"/>
    <n v="619"/>
    <n v="0"/>
    <n v="619"/>
    <n v="0.15"/>
    <n v="92.85"/>
    <x v="0"/>
  </r>
  <r>
    <x v="172"/>
    <x v="2"/>
    <x v="0"/>
    <s v="Гаврилов П. М."/>
    <x v="2"/>
    <x v="1"/>
    <x v="1"/>
    <x v="6"/>
    <x v="0"/>
    <n v="97.2"/>
    <n v="441.53"/>
    <n v="619"/>
    <n v="0"/>
    <n v="619"/>
    <n v="0.15"/>
    <n v="92.85"/>
    <x v="0"/>
  </r>
  <r>
    <x v="173"/>
    <x v="2"/>
    <x v="0"/>
    <s v="Гуляев Г. И."/>
    <x v="4"/>
    <x v="1"/>
    <x v="1"/>
    <x v="31"/>
    <x v="0"/>
    <n v="97.2"/>
    <n v="441.53"/>
    <n v="619"/>
    <n v="0"/>
    <n v="619"/>
    <n v="0.15"/>
    <n v="92.85"/>
    <x v="0"/>
  </r>
  <r>
    <x v="174"/>
    <x v="2"/>
    <x v="0"/>
    <s v="Егоров П. М."/>
    <x v="1"/>
    <x v="1"/>
    <x v="1"/>
    <x v="58"/>
    <x v="0"/>
    <n v="97.2"/>
    <n v="441.53"/>
    <n v="619"/>
    <n v="0"/>
    <n v="619"/>
    <n v="0.15"/>
    <n v="92.85"/>
    <x v="0"/>
  </r>
  <r>
    <x v="175"/>
    <x v="2"/>
    <x v="0"/>
    <s v="Зайцева Г. М."/>
    <x v="4"/>
    <x v="1"/>
    <x v="1"/>
    <x v="10"/>
    <x v="0"/>
    <n v="97.2"/>
    <n v="441.53"/>
    <n v="619"/>
    <n v="0"/>
    <n v="619"/>
    <n v="0.15"/>
    <n v="92.85"/>
    <x v="0"/>
  </r>
  <r>
    <x v="176"/>
    <x v="2"/>
    <x v="0"/>
    <s v="Иванов Е.В."/>
    <x v="6"/>
    <x v="1"/>
    <x v="1"/>
    <x v="27"/>
    <x v="0"/>
    <n v="97.2"/>
    <n v="441.53"/>
    <n v="619"/>
    <n v="0"/>
    <n v="619"/>
    <n v="0.15"/>
    <n v="92.85"/>
    <x v="0"/>
  </r>
  <r>
    <x v="177"/>
    <x v="2"/>
    <x v="0"/>
    <s v="Иванов И. А."/>
    <x v="6"/>
    <x v="1"/>
    <x v="1"/>
    <x v="73"/>
    <x v="0"/>
    <n v="97.2"/>
    <n v="441.53"/>
    <n v="619"/>
    <n v="0"/>
    <n v="619"/>
    <n v="0.15"/>
    <n v="92.85"/>
    <x v="0"/>
  </r>
  <r>
    <x v="178"/>
    <x v="2"/>
    <x v="0"/>
    <s v="Игнатьева А.А."/>
    <x v="1"/>
    <x v="1"/>
    <x v="1"/>
    <x v="39"/>
    <x v="0"/>
    <n v="97.2"/>
    <n v="441.53"/>
    <n v="619"/>
    <n v="0"/>
    <n v="619"/>
    <n v="0.15"/>
    <n v="92.85"/>
    <x v="0"/>
  </r>
  <r>
    <x v="179"/>
    <x v="2"/>
    <x v="0"/>
    <s v="Комаров М.М."/>
    <x v="1"/>
    <x v="1"/>
    <x v="1"/>
    <x v="53"/>
    <x v="0"/>
    <n v="97.2"/>
    <n v="441.53"/>
    <n v="619"/>
    <n v="0"/>
    <n v="619"/>
    <n v="0.15"/>
    <n v="92.85"/>
    <x v="0"/>
  </r>
  <r>
    <x v="180"/>
    <x v="2"/>
    <x v="0"/>
    <s v="Меркулова А.Г."/>
    <x v="1"/>
    <x v="1"/>
    <x v="1"/>
    <x v="31"/>
    <x v="0"/>
    <n v="97.2"/>
    <n v="441.53"/>
    <n v="619"/>
    <n v="0"/>
    <n v="619"/>
    <n v="0.15"/>
    <n v="92.85"/>
    <x v="0"/>
  </r>
  <r>
    <x v="181"/>
    <x v="2"/>
    <x v="0"/>
    <s v="Плотникова Е.В."/>
    <x v="4"/>
    <x v="1"/>
    <x v="1"/>
    <x v="35"/>
    <x v="0"/>
    <n v="97.2"/>
    <n v="441.53"/>
    <n v="619"/>
    <n v="0"/>
    <n v="619"/>
    <n v="0.15"/>
    <n v="92.85"/>
    <x v="0"/>
  </r>
  <r>
    <x v="182"/>
    <x v="2"/>
    <x v="0"/>
    <s v="Попова С. И."/>
    <x v="1"/>
    <x v="1"/>
    <x v="1"/>
    <x v="74"/>
    <x v="0"/>
    <n v="97.2"/>
    <n v="441.53"/>
    <n v="619"/>
    <n v="0"/>
    <n v="619"/>
    <n v="0.15"/>
    <n v="92.85"/>
    <x v="0"/>
  </r>
  <r>
    <x v="183"/>
    <x v="2"/>
    <x v="0"/>
    <s v="Рябинина А.А."/>
    <x v="1"/>
    <x v="1"/>
    <x v="1"/>
    <x v="54"/>
    <x v="0"/>
    <n v="97.2"/>
    <n v="441.53"/>
    <n v="619"/>
    <n v="0"/>
    <n v="619"/>
    <n v="0.15"/>
    <n v="92.85"/>
    <x v="0"/>
  </r>
  <r>
    <x v="184"/>
    <x v="2"/>
    <x v="0"/>
    <s v="Селиванова В.Г."/>
    <x v="6"/>
    <x v="1"/>
    <x v="1"/>
    <x v="75"/>
    <x v="0"/>
    <n v="97.2"/>
    <n v="441.53"/>
    <n v="619"/>
    <n v="0"/>
    <n v="619"/>
    <n v="0.15"/>
    <n v="92.85"/>
    <x v="0"/>
  </r>
  <r>
    <x v="185"/>
    <x v="2"/>
    <x v="0"/>
    <s v="Смирнов Е.К."/>
    <x v="0"/>
    <x v="1"/>
    <x v="1"/>
    <x v="44"/>
    <x v="0"/>
    <n v="97.2"/>
    <n v="441.53"/>
    <n v="619"/>
    <n v="0"/>
    <n v="619"/>
    <n v="0.15"/>
    <n v="92.85"/>
    <x v="0"/>
  </r>
  <r>
    <x v="186"/>
    <x v="2"/>
    <x v="0"/>
    <s v="Соколова В.А."/>
    <x v="2"/>
    <x v="1"/>
    <x v="1"/>
    <x v="53"/>
    <x v="0"/>
    <n v="97.2"/>
    <n v="441.53"/>
    <n v="619"/>
    <n v="0"/>
    <n v="619"/>
    <n v="0.15"/>
    <n v="92.85"/>
    <x v="0"/>
  </r>
  <r>
    <x v="187"/>
    <x v="2"/>
    <x v="0"/>
    <s v="Сысоева Л.А."/>
    <x v="2"/>
    <x v="1"/>
    <x v="1"/>
    <x v="49"/>
    <x v="0"/>
    <n v="97.2"/>
    <n v="441.53"/>
    <n v="619"/>
    <n v="0"/>
    <n v="619"/>
    <n v="0.15"/>
    <n v="92.85"/>
    <x v="0"/>
  </r>
  <r>
    <x v="188"/>
    <x v="2"/>
    <x v="0"/>
    <s v="Титов С. Д."/>
    <x v="3"/>
    <x v="1"/>
    <x v="1"/>
    <x v="37"/>
    <x v="0"/>
    <n v="97.2"/>
    <n v="441.53"/>
    <n v="619"/>
    <n v="0"/>
    <n v="619"/>
    <n v="0.15"/>
    <n v="92.85"/>
    <x v="0"/>
  </r>
  <r>
    <x v="189"/>
    <x v="2"/>
    <x v="0"/>
    <s v="Титов С.М."/>
    <x v="1"/>
    <x v="1"/>
    <x v="1"/>
    <x v="39"/>
    <x v="0"/>
    <n v="97.2"/>
    <n v="441.53"/>
    <n v="619"/>
    <n v="0"/>
    <n v="619"/>
    <n v="0.15"/>
    <n v="92.85"/>
    <x v="0"/>
  </r>
  <r>
    <x v="190"/>
    <x v="2"/>
    <x v="0"/>
    <s v="Щеглов И.И."/>
    <x v="0"/>
    <x v="1"/>
    <x v="1"/>
    <x v="62"/>
    <x v="0"/>
    <n v="97.2"/>
    <n v="441.53"/>
    <n v="619"/>
    <n v="0"/>
    <n v="619"/>
    <n v="0.15"/>
    <n v="92.85"/>
    <x v="0"/>
  </r>
  <r>
    <x v="191"/>
    <x v="2"/>
    <x v="0"/>
    <s v="Яковлев Р. М."/>
    <x v="5"/>
    <x v="1"/>
    <x v="1"/>
    <x v="28"/>
    <x v="0"/>
    <n v="97.2"/>
    <n v="441.53"/>
    <n v="619"/>
    <n v="0.03"/>
    <n v="601"/>
    <n v="0.15"/>
    <n v="90.149999999999991"/>
    <x v="0"/>
  </r>
  <r>
    <x v="192"/>
    <x v="2"/>
    <x v="0"/>
    <s v="Васильев Д. Д."/>
    <x v="4"/>
    <x v="2"/>
    <x v="2"/>
    <x v="66"/>
    <x v="0"/>
    <n v="119.43"/>
    <n v="463.76"/>
    <n v="696"/>
    <n v="0"/>
    <n v="696"/>
    <n v="0.15"/>
    <n v="104.39999999999999"/>
    <x v="0"/>
  </r>
  <r>
    <x v="193"/>
    <x v="2"/>
    <x v="0"/>
    <s v="Демина М. И."/>
    <x v="0"/>
    <x v="2"/>
    <x v="2"/>
    <x v="42"/>
    <x v="0"/>
    <n v="119.43"/>
    <n v="463.76"/>
    <n v="696"/>
    <n v="0"/>
    <n v="696"/>
    <n v="0.15"/>
    <n v="104.39999999999999"/>
    <x v="0"/>
  </r>
  <r>
    <x v="194"/>
    <x v="2"/>
    <x v="0"/>
    <s v="Егоров Д.Д."/>
    <x v="1"/>
    <x v="2"/>
    <x v="2"/>
    <x v="62"/>
    <x v="0"/>
    <n v="119.43"/>
    <n v="463.76"/>
    <n v="696"/>
    <n v="0"/>
    <n v="696"/>
    <n v="0.15"/>
    <n v="104.39999999999999"/>
    <x v="0"/>
  </r>
  <r>
    <x v="195"/>
    <x v="2"/>
    <x v="0"/>
    <s v="Жукова А. Д."/>
    <x v="4"/>
    <x v="2"/>
    <x v="2"/>
    <x v="66"/>
    <x v="0"/>
    <n v="119.43"/>
    <n v="463.76"/>
    <n v="696"/>
    <n v="0"/>
    <n v="696"/>
    <n v="0.15"/>
    <n v="104.39999999999999"/>
    <x v="0"/>
  </r>
  <r>
    <x v="196"/>
    <x v="2"/>
    <x v="0"/>
    <s v="Иванова Д.М."/>
    <x v="2"/>
    <x v="2"/>
    <x v="2"/>
    <x v="76"/>
    <x v="0"/>
    <n v="119.43"/>
    <n v="463.76"/>
    <n v="696"/>
    <n v="0"/>
    <n v="696"/>
    <n v="0.15"/>
    <n v="104.39999999999999"/>
    <x v="0"/>
  </r>
  <r>
    <x v="197"/>
    <x v="2"/>
    <x v="0"/>
    <s v="Карпов А.Г."/>
    <x v="1"/>
    <x v="2"/>
    <x v="2"/>
    <x v="49"/>
    <x v="0"/>
    <n v="119.43"/>
    <n v="463.76"/>
    <n v="696"/>
    <n v="0"/>
    <n v="696"/>
    <n v="0.15"/>
    <n v="104.39999999999999"/>
    <x v="0"/>
  </r>
  <r>
    <x v="198"/>
    <x v="2"/>
    <x v="0"/>
    <s v="Королева К. С."/>
    <x v="1"/>
    <x v="2"/>
    <x v="2"/>
    <x v="22"/>
    <x v="0"/>
    <n v="119.43"/>
    <n v="463.76"/>
    <n v="696"/>
    <n v="0"/>
    <n v="696"/>
    <n v="0.15"/>
    <n v="104.39999999999999"/>
    <x v="0"/>
  </r>
  <r>
    <x v="199"/>
    <x v="2"/>
    <x v="0"/>
    <s v="Кочергина С. И."/>
    <x v="5"/>
    <x v="2"/>
    <x v="2"/>
    <x v="65"/>
    <x v="0"/>
    <n v="119.43"/>
    <n v="463.76"/>
    <n v="696"/>
    <n v="0"/>
    <n v="696"/>
    <n v="0.15"/>
    <n v="104.39999999999999"/>
    <x v="0"/>
  </r>
  <r>
    <x v="200"/>
    <x v="2"/>
    <x v="0"/>
    <s v="Краснов А. К."/>
    <x v="6"/>
    <x v="2"/>
    <x v="2"/>
    <x v="9"/>
    <x v="0"/>
    <n v="119.43"/>
    <n v="463.76"/>
    <n v="696"/>
    <n v="0"/>
    <n v="696"/>
    <n v="0.15"/>
    <n v="104.39999999999999"/>
    <x v="0"/>
  </r>
  <r>
    <x v="201"/>
    <x v="2"/>
    <x v="0"/>
    <s v="Михеева С.Т."/>
    <x v="5"/>
    <x v="2"/>
    <x v="2"/>
    <x v="41"/>
    <x v="0"/>
    <n v="119.43"/>
    <n v="463.76"/>
    <n v="696"/>
    <n v="0"/>
    <n v="696"/>
    <n v="0.15"/>
    <n v="104.39999999999999"/>
    <x v="0"/>
  </r>
  <r>
    <x v="202"/>
    <x v="2"/>
    <x v="0"/>
    <s v="Моисеев А.И."/>
    <x v="1"/>
    <x v="2"/>
    <x v="2"/>
    <x v="71"/>
    <x v="0"/>
    <n v="119.43"/>
    <n v="463.76"/>
    <n v="696"/>
    <n v="0"/>
    <n v="696"/>
    <n v="0.15"/>
    <n v="104.39999999999999"/>
    <x v="0"/>
  </r>
  <r>
    <x v="203"/>
    <x v="2"/>
    <x v="0"/>
    <s v="Петров И. Л."/>
    <x v="4"/>
    <x v="2"/>
    <x v="2"/>
    <x v="12"/>
    <x v="0"/>
    <n v="119.43"/>
    <n v="463.76"/>
    <n v="696"/>
    <n v="0.03"/>
    <n v="676"/>
    <n v="0.15"/>
    <n v="101.39999999999999"/>
    <x v="0"/>
  </r>
  <r>
    <x v="204"/>
    <x v="2"/>
    <x v="0"/>
    <s v="Поляков И. А."/>
    <x v="1"/>
    <x v="2"/>
    <x v="2"/>
    <x v="55"/>
    <x v="0"/>
    <n v="119.43"/>
    <n v="463.76"/>
    <n v="696"/>
    <n v="0"/>
    <n v="696"/>
    <n v="0.15"/>
    <n v="104.39999999999999"/>
    <x v="0"/>
  </r>
  <r>
    <x v="205"/>
    <x v="2"/>
    <x v="0"/>
    <s v="Абрамов И.Б."/>
    <x v="2"/>
    <x v="3"/>
    <x v="2"/>
    <x v="54"/>
    <x v="0"/>
    <n v="109.24000000000001"/>
    <n v="453.57"/>
    <n v="681"/>
    <n v="0"/>
    <n v="681"/>
    <n v="0.15"/>
    <n v="102.14999999999999"/>
    <x v="0"/>
  </r>
  <r>
    <x v="206"/>
    <x v="2"/>
    <x v="0"/>
    <s v="Боброва В. Г."/>
    <x v="0"/>
    <x v="3"/>
    <x v="2"/>
    <x v="73"/>
    <x v="0"/>
    <n v="109.24000000000001"/>
    <n v="453.57"/>
    <n v="681"/>
    <n v="0"/>
    <n v="681"/>
    <n v="0.15"/>
    <n v="102.14999999999999"/>
    <x v="0"/>
  </r>
  <r>
    <x v="207"/>
    <x v="2"/>
    <x v="0"/>
    <s v="Ковалева А. А."/>
    <x v="1"/>
    <x v="3"/>
    <x v="2"/>
    <x v="29"/>
    <x v="0"/>
    <n v="109.24000000000001"/>
    <n v="453.57"/>
    <n v="681"/>
    <n v="0"/>
    <n v="681"/>
    <n v="0.15"/>
    <n v="102.14999999999999"/>
    <x v="0"/>
  </r>
  <r>
    <x v="208"/>
    <x v="2"/>
    <x v="0"/>
    <s v="Коровина Д. Г."/>
    <x v="1"/>
    <x v="3"/>
    <x v="2"/>
    <x v="64"/>
    <x v="0"/>
    <n v="109.24000000000001"/>
    <n v="453.57"/>
    <n v="681"/>
    <n v="0.05"/>
    <n v="647"/>
    <n v="0.15"/>
    <n v="97.05"/>
    <x v="0"/>
  </r>
  <r>
    <x v="209"/>
    <x v="2"/>
    <x v="0"/>
    <s v="Крылова Е.С."/>
    <x v="6"/>
    <x v="3"/>
    <x v="2"/>
    <x v="51"/>
    <x v="0"/>
    <n v="109.24000000000001"/>
    <n v="453.57"/>
    <n v="681"/>
    <n v="0"/>
    <n v="681"/>
    <n v="0.15"/>
    <n v="102.14999999999999"/>
    <x v="0"/>
  </r>
  <r>
    <x v="210"/>
    <x v="2"/>
    <x v="0"/>
    <s v="Кузьмина Д.В."/>
    <x v="5"/>
    <x v="3"/>
    <x v="2"/>
    <x v="9"/>
    <x v="0"/>
    <n v="109.24000000000001"/>
    <n v="453.57"/>
    <n v="681"/>
    <n v="0"/>
    <n v="681"/>
    <n v="0.15"/>
    <n v="102.14999999999999"/>
    <x v="0"/>
  </r>
  <r>
    <x v="211"/>
    <x v="2"/>
    <x v="0"/>
    <s v="Кузьмина М.Д."/>
    <x v="1"/>
    <x v="3"/>
    <x v="2"/>
    <x v="61"/>
    <x v="0"/>
    <n v="109.24000000000001"/>
    <n v="453.57"/>
    <n v="681"/>
    <n v="0"/>
    <n v="681"/>
    <n v="0.15"/>
    <n v="102.14999999999999"/>
    <x v="0"/>
  </r>
  <r>
    <x v="212"/>
    <x v="2"/>
    <x v="0"/>
    <s v="Лебедев С.С."/>
    <x v="1"/>
    <x v="3"/>
    <x v="2"/>
    <x v="40"/>
    <x v="0"/>
    <n v="109.24000000000001"/>
    <n v="453.57"/>
    <n v="681"/>
    <n v="0"/>
    <n v="681"/>
    <n v="0.15"/>
    <n v="102.14999999999999"/>
    <x v="0"/>
  </r>
  <r>
    <x v="213"/>
    <x v="2"/>
    <x v="0"/>
    <s v="Лебедев Т. С."/>
    <x v="6"/>
    <x v="3"/>
    <x v="2"/>
    <x v="73"/>
    <x v="0"/>
    <n v="109.24000000000001"/>
    <n v="453.57"/>
    <n v="681"/>
    <n v="0"/>
    <n v="681"/>
    <n v="0.15"/>
    <n v="102.14999999999999"/>
    <x v="0"/>
  </r>
  <r>
    <x v="214"/>
    <x v="2"/>
    <x v="0"/>
    <s v="Литвинов Д. А."/>
    <x v="5"/>
    <x v="3"/>
    <x v="2"/>
    <x v="21"/>
    <x v="0"/>
    <n v="109.24000000000001"/>
    <n v="453.57"/>
    <n v="681"/>
    <n v="0"/>
    <n v="681"/>
    <n v="0.15"/>
    <n v="102.14999999999999"/>
    <x v="0"/>
  </r>
  <r>
    <x v="215"/>
    <x v="2"/>
    <x v="0"/>
    <s v="Литвинов Ю. Э."/>
    <x v="4"/>
    <x v="3"/>
    <x v="2"/>
    <x v="29"/>
    <x v="0"/>
    <n v="109.24000000000001"/>
    <n v="453.57"/>
    <n v="681"/>
    <n v="0"/>
    <n v="681"/>
    <n v="0.15"/>
    <n v="102.14999999999999"/>
    <x v="0"/>
  </r>
  <r>
    <x v="216"/>
    <x v="2"/>
    <x v="0"/>
    <s v="Мельников А.И."/>
    <x v="5"/>
    <x v="3"/>
    <x v="2"/>
    <x v="73"/>
    <x v="0"/>
    <n v="109.24000000000001"/>
    <n v="453.57"/>
    <n v="681"/>
    <n v="0"/>
    <n v="681"/>
    <n v="0.15"/>
    <n v="102.14999999999999"/>
    <x v="0"/>
  </r>
  <r>
    <x v="217"/>
    <x v="2"/>
    <x v="0"/>
    <s v="Панин К.Т."/>
    <x v="0"/>
    <x v="3"/>
    <x v="2"/>
    <x v="77"/>
    <x v="0"/>
    <n v="109.24000000000001"/>
    <n v="453.57"/>
    <n v="681"/>
    <n v="0"/>
    <n v="681"/>
    <n v="0.15"/>
    <n v="102.14999999999999"/>
    <x v="0"/>
  </r>
  <r>
    <x v="218"/>
    <x v="2"/>
    <x v="0"/>
    <s v="Астахов А.Д."/>
    <x v="3"/>
    <x v="4"/>
    <x v="2"/>
    <x v="44"/>
    <x v="0"/>
    <n v="131.76999999999998"/>
    <n v="476.09999999999997"/>
    <n v="715"/>
    <n v="0"/>
    <n v="715"/>
    <n v="0.15"/>
    <n v="107.25"/>
    <x v="0"/>
  </r>
  <r>
    <x v="219"/>
    <x v="2"/>
    <x v="0"/>
    <s v="Быков Л.Н."/>
    <x v="5"/>
    <x v="4"/>
    <x v="2"/>
    <x v="65"/>
    <x v="0"/>
    <n v="131.76999999999998"/>
    <n v="476.09999999999997"/>
    <n v="715"/>
    <n v="0"/>
    <n v="715"/>
    <n v="0.15"/>
    <n v="107.25"/>
    <x v="0"/>
  </r>
  <r>
    <x v="220"/>
    <x v="2"/>
    <x v="0"/>
    <s v="Ильинский М.Р."/>
    <x v="1"/>
    <x v="4"/>
    <x v="2"/>
    <x v="17"/>
    <x v="0"/>
    <n v="131.76999999999998"/>
    <n v="476.09999999999997"/>
    <n v="715"/>
    <n v="0"/>
    <n v="715"/>
    <n v="0.15"/>
    <n v="107.25"/>
    <x v="0"/>
  </r>
  <r>
    <x v="221"/>
    <x v="2"/>
    <x v="0"/>
    <s v="Калинина П. Д."/>
    <x v="3"/>
    <x v="4"/>
    <x v="2"/>
    <x v="51"/>
    <x v="0"/>
    <n v="131.76999999999998"/>
    <n v="476.09999999999997"/>
    <n v="715"/>
    <n v="0"/>
    <n v="715"/>
    <n v="0.15"/>
    <n v="107.25"/>
    <x v="0"/>
  </r>
  <r>
    <x v="222"/>
    <x v="2"/>
    <x v="0"/>
    <s v="Князев Д. М."/>
    <x v="0"/>
    <x v="4"/>
    <x v="2"/>
    <x v="72"/>
    <x v="0"/>
    <n v="131.76999999999998"/>
    <n v="476.09999999999997"/>
    <n v="715"/>
    <n v="0"/>
    <n v="715"/>
    <n v="0.15"/>
    <n v="107.25"/>
    <x v="0"/>
  </r>
  <r>
    <x v="223"/>
    <x v="2"/>
    <x v="0"/>
    <s v="Лебедев С. А."/>
    <x v="1"/>
    <x v="4"/>
    <x v="2"/>
    <x v="12"/>
    <x v="0"/>
    <n v="131.76999999999998"/>
    <n v="476.09999999999997"/>
    <n v="715"/>
    <n v="0"/>
    <n v="715"/>
    <n v="0.15"/>
    <n v="107.25"/>
    <x v="0"/>
  </r>
  <r>
    <x v="224"/>
    <x v="2"/>
    <x v="0"/>
    <s v="Литвинов М. А."/>
    <x v="6"/>
    <x v="4"/>
    <x v="2"/>
    <x v="38"/>
    <x v="0"/>
    <n v="131.76999999999998"/>
    <n v="476.09999999999997"/>
    <n v="715"/>
    <n v="0"/>
    <n v="715"/>
    <n v="0.15"/>
    <n v="107.25"/>
    <x v="0"/>
  </r>
  <r>
    <x v="225"/>
    <x v="2"/>
    <x v="0"/>
    <s v="Логинова М. К."/>
    <x v="6"/>
    <x v="4"/>
    <x v="2"/>
    <x v="27"/>
    <x v="0"/>
    <n v="131.76999999999998"/>
    <n v="476.09999999999997"/>
    <n v="715"/>
    <n v="0"/>
    <n v="715"/>
    <n v="0.15"/>
    <n v="107.25"/>
    <x v="0"/>
  </r>
  <r>
    <x v="226"/>
    <x v="2"/>
    <x v="0"/>
    <s v="Лопатина З.Д."/>
    <x v="6"/>
    <x v="4"/>
    <x v="2"/>
    <x v="43"/>
    <x v="0"/>
    <n v="131.76999999999998"/>
    <n v="476.09999999999997"/>
    <n v="715"/>
    <n v="0"/>
    <n v="715"/>
    <n v="0.15"/>
    <n v="107.25"/>
    <x v="0"/>
  </r>
  <r>
    <x v="227"/>
    <x v="2"/>
    <x v="0"/>
    <s v="Мартынова В.П."/>
    <x v="5"/>
    <x v="4"/>
    <x v="2"/>
    <x v="19"/>
    <x v="0"/>
    <n v="131.76999999999998"/>
    <n v="476.09999999999997"/>
    <n v="715"/>
    <n v="0"/>
    <n v="715"/>
    <n v="0.15"/>
    <n v="107.25"/>
    <x v="0"/>
  </r>
  <r>
    <x v="228"/>
    <x v="2"/>
    <x v="0"/>
    <s v="Петрова Г.Н."/>
    <x v="5"/>
    <x v="4"/>
    <x v="2"/>
    <x v="21"/>
    <x v="0"/>
    <n v="131.76999999999998"/>
    <n v="476.09999999999997"/>
    <n v="715"/>
    <n v="0"/>
    <n v="715"/>
    <n v="0.15"/>
    <n v="107.25"/>
    <x v="0"/>
  </r>
  <r>
    <x v="229"/>
    <x v="2"/>
    <x v="0"/>
    <s v="Сидоров Г.Я."/>
    <x v="3"/>
    <x v="4"/>
    <x v="2"/>
    <x v="68"/>
    <x v="0"/>
    <n v="131.76999999999998"/>
    <n v="476.09999999999997"/>
    <n v="715"/>
    <n v="0"/>
    <n v="715"/>
    <n v="0.15"/>
    <n v="107.25"/>
    <x v="0"/>
  </r>
  <r>
    <x v="230"/>
    <x v="2"/>
    <x v="0"/>
    <s v="Соколов И.М."/>
    <x v="1"/>
    <x v="4"/>
    <x v="2"/>
    <x v="14"/>
    <x v="0"/>
    <n v="131.76999999999998"/>
    <n v="476.09999999999997"/>
    <n v="715"/>
    <n v="0"/>
    <n v="715"/>
    <n v="0.15"/>
    <n v="107.25"/>
    <x v="0"/>
  </r>
  <r>
    <x v="231"/>
    <x v="2"/>
    <x v="0"/>
    <s v="Акимов В. М."/>
    <x v="1"/>
    <x v="5"/>
    <x v="3"/>
    <x v="52"/>
    <x v="0"/>
    <n v="314.15999999999997"/>
    <n v="658.49"/>
    <n v="1120"/>
    <n v="0"/>
    <n v="1120"/>
    <n v="0.15"/>
    <n v="168"/>
    <x v="0"/>
  </r>
  <r>
    <x v="232"/>
    <x v="2"/>
    <x v="0"/>
    <s v="Волкова К. Д."/>
    <x v="1"/>
    <x v="5"/>
    <x v="3"/>
    <x v="12"/>
    <x v="0"/>
    <n v="314.15999999999997"/>
    <n v="658.49"/>
    <n v="1120"/>
    <n v="0"/>
    <n v="1120"/>
    <n v="0.15"/>
    <n v="168"/>
    <x v="0"/>
  </r>
  <r>
    <x v="233"/>
    <x v="2"/>
    <x v="0"/>
    <s v="Гуров И.А."/>
    <x v="5"/>
    <x v="5"/>
    <x v="3"/>
    <x v="25"/>
    <x v="0"/>
    <n v="314.15999999999997"/>
    <n v="658.49"/>
    <n v="1120"/>
    <n v="0"/>
    <n v="1120"/>
    <n v="0.15"/>
    <n v="168"/>
    <x v="0"/>
  </r>
  <r>
    <x v="234"/>
    <x v="2"/>
    <x v="0"/>
    <s v="Демидова Д. М."/>
    <x v="6"/>
    <x v="5"/>
    <x v="3"/>
    <x v="32"/>
    <x v="0"/>
    <n v="314.15999999999997"/>
    <n v="658.49"/>
    <n v="1120"/>
    <n v="0"/>
    <n v="1120"/>
    <n v="0.15"/>
    <n v="168"/>
    <x v="0"/>
  </r>
  <r>
    <x v="235"/>
    <x v="2"/>
    <x v="0"/>
    <s v="Зорина К. М."/>
    <x v="6"/>
    <x v="5"/>
    <x v="3"/>
    <x v="6"/>
    <x v="0"/>
    <n v="314.15999999999997"/>
    <n v="658.49"/>
    <n v="1120"/>
    <n v="0"/>
    <n v="1120"/>
    <n v="0.15"/>
    <n v="168"/>
    <x v="0"/>
  </r>
  <r>
    <x v="236"/>
    <x v="2"/>
    <x v="0"/>
    <s v="Иванов Д. П."/>
    <x v="1"/>
    <x v="5"/>
    <x v="3"/>
    <x v="66"/>
    <x v="0"/>
    <n v="314.15999999999997"/>
    <n v="658.49"/>
    <n v="1120"/>
    <n v="0"/>
    <n v="1120"/>
    <n v="0.15"/>
    <n v="168"/>
    <x v="0"/>
  </r>
  <r>
    <x v="237"/>
    <x v="2"/>
    <x v="0"/>
    <s v="Иванов П. Р."/>
    <x v="6"/>
    <x v="5"/>
    <x v="3"/>
    <x v="4"/>
    <x v="0"/>
    <n v="314.15999999999997"/>
    <n v="658.49"/>
    <n v="1120"/>
    <n v="0"/>
    <n v="1120"/>
    <n v="0.15"/>
    <n v="168"/>
    <x v="0"/>
  </r>
  <r>
    <x v="238"/>
    <x v="2"/>
    <x v="0"/>
    <s v="Комарова В.Б."/>
    <x v="2"/>
    <x v="5"/>
    <x v="3"/>
    <x v="60"/>
    <x v="0"/>
    <n v="314.15999999999997"/>
    <n v="658.49"/>
    <n v="1120"/>
    <n v="0"/>
    <n v="1120"/>
    <n v="0.15"/>
    <n v="168"/>
    <x v="0"/>
  </r>
  <r>
    <x v="239"/>
    <x v="2"/>
    <x v="0"/>
    <s v="Коровина Д. Г."/>
    <x v="1"/>
    <x v="5"/>
    <x v="3"/>
    <x v="64"/>
    <x v="0"/>
    <n v="314.15999999999997"/>
    <n v="658.49"/>
    <n v="1120"/>
    <n v="0"/>
    <n v="1120"/>
    <n v="0.15"/>
    <n v="168"/>
    <x v="0"/>
  </r>
  <r>
    <x v="240"/>
    <x v="2"/>
    <x v="0"/>
    <s v="Королева М.А."/>
    <x v="1"/>
    <x v="5"/>
    <x v="3"/>
    <x v="14"/>
    <x v="0"/>
    <n v="314.15999999999997"/>
    <n v="658.49"/>
    <n v="1120"/>
    <n v="0"/>
    <n v="1120"/>
    <n v="0.15"/>
    <n v="168"/>
    <x v="0"/>
  </r>
  <r>
    <x v="241"/>
    <x v="2"/>
    <x v="0"/>
    <s v="Розанов Н.И."/>
    <x v="5"/>
    <x v="5"/>
    <x v="3"/>
    <x v="29"/>
    <x v="0"/>
    <n v="314.15999999999997"/>
    <n v="658.49"/>
    <n v="1120"/>
    <n v="0"/>
    <n v="1120"/>
    <n v="0.15"/>
    <n v="168"/>
    <x v="0"/>
  </r>
  <r>
    <x v="242"/>
    <x v="2"/>
    <x v="0"/>
    <s v="Фролова А.А."/>
    <x v="2"/>
    <x v="5"/>
    <x v="3"/>
    <x v="53"/>
    <x v="0"/>
    <n v="314.15999999999997"/>
    <n v="658.49"/>
    <n v="1120"/>
    <n v="0"/>
    <n v="1120"/>
    <n v="0.15"/>
    <n v="168"/>
    <x v="0"/>
  </r>
  <r>
    <x v="243"/>
    <x v="3"/>
    <x v="1"/>
    <s v="Аникин К.Ю."/>
    <x v="7"/>
    <x v="0"/>
    <x v="0"/>
    <x v="63"/>
    <x v="0"/>
    <n v="163.13"/>
    <n v="507.46"/>
    <n v="762"/>
    <n v="0"/>
    <n v="762"/>
    <n v="0.15"/>
    <n v="114.3"/>
    <x v="0"/>
  </r>
  <r>
    <x v="244"/>
    <x v="3"/>
    <x v="1"/>
    <s v="Волкова А.А."/>
    <x v="10"/>
    <x v="0"/>
    <x v="0"/>
    <x v="8"/>
    <x v="0"/>
    <n v="163.13"/>
    <n v="507.46"/>
    <n v="762"/>
    <n v="0"/>
    <n v="762"/>
    <n v="0.15"/>
    <n v="114.3"/>
    <x v="0"/>
  </r>
  <r>
    <x v="245"/>
    <x v="3"/>
    <x v="1"/>
    <s v="Копылов Е.С."/>
    <x v="10"/>
    <x v="0"/>
    <x v="0"/>
    <x v="13"/>
    <x v="0"/>
    <n v="163.13"/>
    <n v="507.46"/>
    <n v="762"/>
    <n v="0"/>
    <n v="762"/>
    <n v="0.15"/>
    <n v="114.3"/>
    <x v="0"/>
  </r>
  <r>
    <x v="246"/>
    <x v="3"/>
    <x v="1"/>
    <s v="Корнеева В.Ф."/>
    <x v="9"/>
    <x v="0"/>
    <x v="0"/>
    <x v="6"/>
    <x v="0"/>
    <n v="163.13"/>
    <n v="507.46"/>
    <n v="762"/>
    <n v="0"/>
    <n v="762"/>
    <n v="0.15"/>
    <n v="114.3"/>
    <x v="0"/>
  </r>
  <r>
    <x v="247"/>
    <x v="3"/>
    <x v="1"/>
    <s v="Моисеев А.Р."/>
    <x v="11"/>
    <x v="0"/>
    <x v="0"/>
    <x v="21"/>
    <x v="0"/>
    <n v="163.13"/>
    <n v="507.46"/>
    <n v="762"/>
    <n v="0"/>
    <n v="762"/>
    <n v="0.15"/>
    <n v="114.3"/>
    <x v="0"/>
  </r>
  <r>
    <x v="248"/>
    <x v="3"/>
    <x v="1"/>
    <s v="Петров Т. В."/>
    <x v="12"/>
    <x v="0"/>
    <x v="0"/>
    <x v="12"/>
    <x v="0"/>
    <n v="163.13"/>
    <n v="507.46"/>
    <n v="762"/>
    <n v="0"/>
    <n v="762"/>
    <n v="0.15"/>
    <n v="114.3"/>
    <x v="0"/>
  </r>
  <r>
    <x v="249"/>
    <x v="3"/>
    <x v="1"/>
    <s v="Попова П. Д."/>
    <x v="10"/>
    <x v="0"/>
    <x v="0"/>
    <x v="23"/>
    <x v="0"/>
    <n v="163.13"/>
    <n v="507.46"/>
    <n v="762"/>
    <n v="0"/>
    <n v="762"/>
    <n v="0.15"/>
    <n v="114.3"/>
    <x v="0"/>
  </r>
  <r>
    <x v="250"/>
    <x v="3"/>
    <x v="1"/>
    <s v="Потапов Ю. П."/>
    <x v="7"/>
    <x v="0"/>
    <x v="0"/>
    <x v="74"/>
    <x v="0"/>
    <n v="163.13"/>
    <n v="507.46"/>
    <n v="762"/>
    <n v="0"/>
    <n v="762"/>
    <n v="0.15"/>
    <n v="114.3"/>
    <x v="0"/>
  </r>
  <r>
    <x v="251"/>
    <x v="3"/>
    <x v="1"/>
    <s v="Соловьев Д.Р."/>
    <x v="10"/>
    <x v="0"/>
    <x v="0"/>
    <x v="2"/>
    <x v="0"/>
    <n v="163.13"/>
    <n v="507.46"/>
    <n v="762"/>
    <n v="0"/>
    <n v="762"/>
    <n v="0.15"/>
    <n v="114.3"/>
    <x v="0"/>
  </r>
  <r>
    <x v="252"/>
    <x v="3"/>
    <x v="1"/>
    <s v="Степанова А.Р."/>
    <x v="10"/>
    <x v="0"/>
    <x v="0"/>
    <x v="10"/>
    <x v="0"/>
    <n v="163.13"/>
    <n v="507.46"/>
    <n v="762"/>
    <n v="0"/>
    <n v="762"/>
    <n v="0.15"/>
    <n v="114.3"/>
    <x v="0"/>
  </r>
  <r>
    <x v="253"/>
    <x v="3"/>
    <x v="1"/>
    <s v="Тарасова А. А."/>
    <x v="9"/>
    <x v="0"/>
    <x v="0"/>
    <x v="78"/>
    <x v="0"/>
    <n v="163.13"/>
    <n v="507.46"/>
    <n v="762"/>
    <n v="0"/>
    <n v="762"/>
    <n v="0.15"/>
    <n v="114.3"/>
    <x v="0"/>
  </r>
  <r>
    <x v="254"/>
    <x v="3"/>
    <x v="1"/>
    <s v="Федорова В. М."/>
    <x v="11"/>
    <x v="0"/>
    <x v="0"/>
    <x v="19"/>
    <x v="0"/>
    <n v="163.13"/>
    <n v="507.46"/>
    <n v="762"/>
    <n v="0"/>
    <n v="762"/>
    <n v="0.15"/>
    <n v="114.3"/>
    <x v="0"/>
  </r>
  <r>
    <x v="255"/>
    <x v="3"/>
    <x v="1"/>
    <s v="Фирсова Е.И."/>
    <x v="9"/>
    <x v="0"/>
    <x v="0"/>
    <x v="34"/>
    <x v="0"/>
    <n v="163.13"/>
    <n v="507.46"/>
    <n v="762"/>
    <n v="0"/>
    <n v="762"/>
    <n v="0.15"/>
    <n v="114.3"/>
    <x v="0"/>
  </r>
  <r>
    <x v="256"/>
    <x v="3"/>
    <x v="1"/>
    <s v="Фролов М. К."/>
    <x v="9"/>
    <x v="0"/>
    <x v="0"/>
    <x v="20"/>
    <x v="0"/>
    <n v="163.13"/>
    <n v="507.46"/>
    <n v="762"/>
    <n v="0"/>
    <n v="762"/>
    <n v="0.15"/>
    <n v="114.3"/>
    <x v="0"/>
  </r>
  <r>
    <x v="257"/>
    <x v="3"/>
    <x v="1"/>
    <s v="Юдин М. М."/>
    <x v="9"/>
    <x v="0"/>
    <x v="0"/>
    <x v="45"/>
    <x v="0"/>
    <n v="163.13"/>
    <n v="507.46"/>
    <n v="762"/>
    <n v="0"/>
    <n v="762"/>
    <n v="0.15"/>
    <n v="114.3"/>
    <x v="0"/>
  </r>
  <r>
    <x v="258"/>
    <x v="3"/>
    <x v="1"/>
    <s v="Яковлев А. И."/>
    <x v="8"/>
    <x v="0"/>
    <x v="0"/>
    <x v="52"/>
    <x v="0"/>
    <n v="163.13"/>
    <n v="507.46"/>
    <n v="762"/>
    <n v="0"/>
    <n v="762"/>
    <n v="0.15"/>
    <n v="114.3"/>
    <x v="0"/>
  </r>
  <r>
    <x v="259"/>
    <x v="3"/>
    <x v="1"/>
    <s v="Алексеев Н.М."/>
    <x v="8"/>
    <x v="1"/>
    <x v="1"/>
    <x v="58"/>
    <x v="0"/>
    <n v="97.2"/>
    <n v="441.53"/>
    <n v="619"/>
    <n v="0"/>
    <n v="619"/>
    <n v="0.15"/>
    <n v="92.85"/>
    <x v="0"/>
  </r>
  <r>
    <x v="260"/>
    <x v="3"/>
    <x v="1"/>
    <s v="Безрукова М.К."/>
    <x v="10"/>
    <x v="1"/>
    <x v="1"/>
    <x v="34"/>
    <x v="0"/>
    <n v="97.2"/>
    <n v="441.53"/>
    <n v="619"/>
    <n v="0"/>
    <n v="619"/>
    <n v="0.15"/>
    <n v="92.85"/>
    <x v="0"/>
  </r>
  <r>
    <x v="261"/>
    <x v="3"/>
    <x v="1"/>
    <s v="Белоусова М.М."/>
    <x v="9"/>
    <x v="1"/>
    <x v="1"/>
    <x v="55"/>
    <x v="0"/>
    <n v="97.2"/>
    <n v="441.53"/>
    <n v="619"/>
    <n v="0.02"/>
    <n v="607"/>
    <n v="0.15"/>
    <n v="91.05"/>
    <x v="0"/>
  </r>
  <r>
    <x v="262"/>
    <x v="3"/>
    <x v="1"/>
    <s v="Бобров Т.А."/>
    <x v="11"/>
    <x v="1"/>
    <x v="1"/>
    <x v="76"/>
    <x v="0"/>
    <n v="97.2"/>
    <n v="441.53"/>
    <n v="619"/>
    <n v="0"/>
    <n v="619"/>
    <n v="0.15"/>
    <n v="92.85"/>
    <x v="0"/>
  </r>
  <r>
    <x v="263"/>
    <x v="3"/>
    <x v="1"/>
    <s v="Бородин А. М."/>
    <x v="9"/>
    <x v="1"/>
    <x v="1"/>
    <x v="17"/>
    <x v="0"/>
    <n v="97.2"/>
    <n v="441.53"/>
    <n v="619"/>
    <n v="0"/>
    <n v="619"/>
    <n v="0.15"/>
    <n v="92.85"/>
    <x v="0"/>
  </r>
  <r>
    <x v="264"/>
    <x v="3"/>
    <x v="1"/>
    <s v="Волошина В. Ф."/>
    <x v="8"/>
    <x v="1"/>
    <x v="1"/>
    <x v="36"/>
    <x v="0"/>
    <n v="97.2"/>
    <n v="441.53"/>
    <n v="619"/>
    <n v="0"/>
    <n v="619"/>
    <n v="0.15"/>
    <n v="92.85"/>
    <x v="0"/>
  </r>
  <r>
    <x v="265"/>
    <x v="3"/>
    <x v="1"/>
    <s v="Гордеева В.Я."/>
    <x v="9"/>
    <x v="1"/>
    <x v="1"/>
    <x v="44"/>
    <x v="0"/>
    <n v="97.2"/>
    <n v="441.53"/>
    <n v="619"/>
    <n v="0"/>
    <n v="619"/>
    <n v="0.15"/>
    <n v="92.85"/>
    <x v="0"/>
  </r>
  <r>
    <x v="266"/>
    <x v="3"/>
    <x v="1"/>
    <s v="Ильинская В.П."/>
    <x v="7"/>
    <x v="1"/>
    <x v="1"/>
    <x v="79"/>
    <x v="0"/>
    <n v="97.2"/>
    <n v="441.53"/>
    <n v="619"/>
    <n v="0"/>
    <n v="619"/>
    <n v="0.15"/>
    <n v="92.85"/>
    <x v="0"/>
  </r>
  <r>
    <x v="267"/>
    <x v="3"/>
    <x v="1"/>
    <s v="Киселева А.Е."/>
    <x v="9"/>
    <x v="1"/>
    <x v="1"/>
    <x v="25"/>
    <x v="0"/>
    <n v="97.2"/>
    <n v="441.53"/>
    <n v="619"/>
    <n v="0.02"/>
    <n v="607"/>
    <n v="0.15"/>
    <n v="91.05"/>
    <x v="0"/>
  </r>
  <r>
    <x v="268"/>
    <x v="3"/>
    <x v="1"/>
    <s v="Лаптева В. А."/>
    <x v="9"/>
    <x v="1"/>
    <x v="1"/>
    <x v="0"/>
    <x v="0"/>
    <n v="97.2"/>
    <n v="441.53"/>
    <n v="619"/>
    <n v="0"/>
    <n v="619"/>
    <n v="0.15"/>
    <n v="92.85"/>
    <x v="0"/>
  </r>
  <r>
    <x v="269"/>
    <x v="3"/>
    <x v="1"/>
    <s v="Медведев М.И."/>
    <x v="12"/>
    <x v="1"/>
    <x v="1"/>
    <x v="12"/>
    <x v="0"/>
    <n v="97.2"/>
    <n v="441.53"/>
    <n v="619"/>
    <n v="0"/>
    <n v="619"/>
    <n v="0.15"/>
    <n v="92.85"/>
    <x v="0"/>
  </r>
  <r>
    <x v="270"/>
    <x v="3"/>
    <x v="1"/>
    <s v="Мельникова С.А."/>
    <x v="9"/>
    <x v="1"/>
    <x v="1"/>
    <x v="32"/>
    <x v="0"/>
    <n v="97.2"/>
    <n v="441.53"/>
    <n v="619"/>
    <n v="0"/>
    <n v="619"/>
    <n v="0.15"/>
    <n v="92.85"/>
    <x v="0"/>
  </r>
  <r>
    <x v="271"/>
    <x v="3"/>
    <x v="1"/>
    <s v="Осипов Р.В."/>
    <x v="9"/>
    <x v="1"/>
    <x v="1"/>
    <x v="3"/>
    <x v="0"/>
    <n v="97.2"/>
    <n v="441.53"/>
    <n v="619"/>
    <n v="0"/>
    <n v="619"/>
    <n v="0.15"/>
    <n v="92.85"/>
    <x v="0"/>
  </r>
  <r>
    <x v="272"/>
    <x v="3"/>
    <x v="1"/>
    <s v="Романов С.Д."/>
    <x v="9"/>
    <x v="1"/>
    <x v="1"/>
    <x v="15"/>
    <x v="0"/>
    <n v="97.2"/>
    <n v="441.53"/>
    <n v="619"/>
    <n v="0"/>
    <n v="619"/>
    <n v="0.15"/>
    <n v="92.85"/>
    <x v="0"/>
  </r>
  <r>
    <x v="273"/>
    <x v="3"/>
    <x v="1"/>
    <s v="Смирнов С.М."/>
    <x v="12"/>
    <x v="1"/>
    <x v="1"/>
    <x v="27"/>
    <x v="0"/>
    <n v="97.2"/>
    <n v="441.53"/>
    <n v="619"/>
    <n v="0"/>
    <n v="619"/>
    <n v="0.15"/>
    <n v="92.85"/>
    <x v="0"/>
  </r>
  <r>
    <x v="274"/>
    <x v="3"/>
    <x v="1"/>
    <s v="Тимофеева А.Л."/>
    <x v="11"/>
    <x v="1"/>
    <x v="1"/>
    <x v="74"/>
    <x v="0"/>
    <n v="97.2"/>
    <n v="441.53"/>
    <n v="619"/>
    <n v="0"/>
    <n v="619"/>
    <n v="0.15"/>
    <n v="92.85"/>
    <x v="0"/>
  </r>
  <r>
    <x v="275"/>
    <x v="3"/>
    <x v="1"/>
    <s v="Федоров Л.А."/>
    <x v="9"/>
    <x v="1"/>
    <x v="1"/>
    <x v="33"/>
    <x v="0"/>
    <n v="97.2"/>
    <n v="441.53"/>
    <n v="619"/>
    <n v="0"/>
    <n v="619"/>
    <n v="0.15"/>
    <n v="92.85"/>
    <x v="0"/>
  </r>
  <r>
    <x v="276"/>
    <x v="3"/>
    <x v="1"/>
    <s v="Хохлов К.И."/>
    <x v="7"/>
    <x v="1"/>
    <x v="1"/>
    <x v="78"/>
    <x v="0"/>
    <n v="97.2"/>
    <n v="441.53"/>
    <n v="619"/>
    <n v="0"/>
    <n v="619"/>
    <n v="0.15"/>
    <n v="92.85"/>
    <x v="0"/>
  </r>
  <r>
    <x v="277"/>
    <x v="3"/>
    <x v="1"/>
    <s v="Черепанов М.А."/>
    <x v="10"/>
    <x v="1"/>
    <x v="1"/>
    <x v="57"/>
    <x v="0"/>
    <n v="97.2"/>
    <n v="441.53"/>
    <n v="619"/>
    <n v="0"/>
    <n v="619"/>
    <n v="0.15"/>
    <n v="92.85"/>
    <x v="0"/>
  </r>
  <r>
    <x v="278"/>
    <x v="3"/>
    <x v="1"/>
    <s v="Александрова А.А."/>
    <x v="12"/>
    <x v="2"/>
    <x v="2"/>
    <x v="65"/>
    <x v="0"/>
    <n v="119.43"/>
    <n v="463.76"/>
    <n v="696"/>
    <n v="0"/>
    <n v="696"/>
    <n v="0.15"/>
    <n v="104.39999999999999"/>
    <x v="0"/>
  </r>
  <r>
    <x v="279"/>
    <x v="3"/>
    <x v="1"/>
    <s v="Гаврилова А. А."/>
    <x v="9"/>
    <x v="2"/>
    <x v="2"/>
    <x v="56"/>
    <x v="0"/>
    <n v="119.43"/>
    <n v="463.76"/>
    <n v="696"/>
    <n v="0"/>
    <n v="696"/>
    <n v="0.15"/>
    <n v="104.39999999999999"/>
    <x v="0"/>
  </r>
  <r>
    <x v="280"/>
    <x v="3"/>
    <x v="1"/>
    <s v="Гуляева А. А."/>
    <x v="11"/>
    <x v="2"/>
    <x v="2"/>
    <x v="21"/>
    <x v="0"/>
    <n v="119.43"/>
    <n v="463.76"/>
    <n v="696"/>
    <n v="0"/>
    <n v="696"/>
    <n v="0.15"/>
    <n v="104.39999999999999"/>
    <x v="0"/>
  </r>
  <r>
    <x v="281"/>
    <x v="3"/>
    <x v="1"/>
    <s v="Давыдов Д.И."/>
    <x v="8"/>
    <x v="2"/>
    <x v="2"/>
    <x v="80"/>
    <x v="0"/>
    <n v="119.43"/>
    <n v="463.76"/>
    <n v="696"/>
    <n v="0"/>
    <n v="696"/>
    <n v="0.15"/>
    <n v="104.39999999999999"/>
    <x v="0"/>
  </r>
  <r>
    <x v="282"/>
    <x v="3"/>
    <x v="1"/>
    <s v="Канахина А.В."/>
    <x v="11"/>
    <x v="2"/>
    <x v="2"/>
    <x v="16"/>
    <x v="0"/>
    <n v="119.43"/>
    <n v="463.76"/>
    <n v="696"/>
    <n v="0"/>
    <n v="696"/>
    <n v="0.15"/>
    <n v="104.39999999999999"/>
    <x v="0"/>
  </r>
  <r>
    <x v="283"/>
    <x v="3"/>
    <x v="1"/>
    <s v="Касаткина А. Т."/>
    <x v="11"/>
    <x v="2"/>
    <x v="2"/>
    <x v="81"/>
    <x v="0"/>
    <n v="119.43"/>
    <n v="463.76"/>
    <n v="696"/>
    <n v="0"/>
    <n v="696"/>
    <n v="0.15"/>
    <n v="104.39999999999999"/>
    <x v="0"/>
  </r>
  <r>
    <x v="284"/>
    <x v="3"/>
    <x v="1"/>
    <s v="Кудряшов К. М."/>
    <x v="9"/>
    <x v="2"/>
    <x v="2"/>
    <x v="82"/>
    <x v="0"/>
    <n v="119.43"/>
    <n v="463.76"/>
    <n v="696"/>
    <n v="0"/>
    <n v="696"/>
    <n v="0.15"/>
    <n v="104.39999999999999"/>
    <x v="0"/>
  </r>
  <r>
    <x v="285"/>
    <x v="3"/>
    <x v="1"/>
    <s v="Кузина П.М."/>
    <x v="11"/>
    <x v="2"/>
    <x v="2"/>
    <x v="25"/>
    <x v="0"/>
    <n v="119.43"/>
    <n v="463.76"/>
    <n v="696"/>
    <n v="0"/>
    <n v="696"/>
    <n v="0.15"/>
    <n v="104.39999999999999"/>
    <x v="0"/>
  </r>
  <r>
    <x v="286"/>
    <x v="3"/>
    <x v="1"/>
    <s v="Лаврентьев А. Н."/>
    <x v="8"/>
    <x v="2"/>
    <x v="2"/>
    <x v="6"/>
    <x v="0"/>
    <n v="119.43"/>
    <n v="463.76"/>
    <n v="696"/>
    <n v="0"/>
    <n v="696"/>
    <n v="0.15"/>
    <n v="104.39999999999999"/>
    <x v="0"/>
  </r>
  <r>
    <x v="287"/>
    <x v="3"/>
    <x v="1"/>
    <s v="Никольская В.С."/>
    <x v="10"/>
    <x v="2"/>
    <x v="2"/>
    <x v="26"/>
    <x v="0"/>
    <n v="119.43"/>
    <n v="463.76"/>
    <n v="696"/>
    <n v="0"/>
    <n v="696"/>
    <n v="0.15"/>
    <n v="104.39999999999999"/>
    <x v="0"/>
  </r>
  <r>
    <x v="288"/>
    <x v="3"/>
    <x v="1"/>
    <s v="Соколов К. Л."/>
    <x v="8"/>
    <x v="2"/>
    <x v="2"/>
    <x v="80"/>
    <x v="0"/>
    <n v="119.43"/>
    <n v="463.76"/>
    <n v="696"/>
    <n v="0"/>
    <n v="696"/>
    <n v="0.15"/>
    <n v="104.39999999999999"/>
    <x v="0"/>
  </r>
  <r>
    <x v="289"/>
    <x v="3"/>
    <x v="1"/>
    <s v="Титова А. С."/>
    <x v="8"/>
    <x v="2"/>
    <x v="2"/>
    <x v="21"/>
    <x v="0"/>
    <n v="119.43"/>
    <n v="463.76"/>
    <n v="696"/>
    <n v="0"/>
    <n v="696"/>
    <n v="0.15"/>
    <n v="104.39999999999999"/>
    <x v="0"/>
  </r>
  <r>
    <x v="290"/>
    <x v="3"/>
    <x v="1"/>
    <s v="Юдин М. М."/>
    <x v="9"/>
    <x v="2"/>
    <x v="2"/>
    <x v="45"/>
    <x v="0"/>
    <n v="119.43"/>
    <n v="463.76"/>
    <n v="696"/>
    <n v="0.02"/>
    <n v="683"/>
    <n v="0.15"/>
    <n v="102.45"/>
    <x v="0"/>
  </r>
  <r>
    <x v="291"/>
    <x v="3"/>
    <x v="1"/>
    <s v="Зеленин А.П."/>
    <x v="12"/>
    <x v="3"/>
    <x v="2"/>
    <x v="12"/>
    <x v="0"/>
    <n v="109.24000000000001"/>
    <n v="453.57"/>
    <n v="681"/>
    <n v="0"/>
    <n v="681"/>
    <n v="0.15"/>
    <n v="102.14999999999999"/>
    <x v="0"/>
  </r>
  <r>
    <x v="292"/>
    <x v="3"/>
    <x v="1"/>
    <s v="Калинина В. Н."/>
    <x v="8"/>
    <x v="3"/>
    <x v="2"/>
    <x v="64"/>
    <x v="0"/>
    <n v="109.24000000000001"/>
    <n v="453.57"/>
    <n v="681"/>
    <n v="0"/>
    <n v="681"/>
    <n v="0.15"/>
    <n v="102.14999999999999"/>
    <x v="0"/>
  </r>
  <r>
    <x v="293"/>
    <x v="3"/>
    <x v="1"/>
    <s v="Калмыков И. Д."/>
    <x v="9"/>
    <x v="3"/>
    <x v="2"/>
    <x v="37"/>
    <x v="0"/>
    <n v="109.24000000000001"/>
    <n v="453.57"/>
    <n v="681"/>
    <n v="0.05"/>
    <n v="647"/>
    <n v="0.15"/>
    <n v="97.05"/>
    <x v="0"/>
  </r>
  <r>
    <x v="294"/>
    <x v="3"/>
    <x v="1"/>
    <s v="Куликов П.А."/>
    <x v="8"/>
    <x v="3"/>
    <x v="2"/>
    <x v="71"/>
    <x v="0"/>
    <n v="109.24000000000001"/>
    <n v="453.57"/>
    <n v="681"/>
    <n v="0"/>
    <n v="681"/>
    <n v="0.15"/>
    <n v="102.14999999999999"/>
    <x v="0"/>
  </r>
  <r>
    <x v="295"/>
    <x v="3"/>
    <x v="1"/>
    <s v="Мельников Э.Ф."/>
    <x v="11"/>
    <x v="3"/>
    <x v="2"/>
    <x v="60"/>
    <x v="0"/>
    <n v="109.24000000000001"/>
    <n v="453.57"/>
    <n v="681"/>
    <n v="0"/>
    <n v="681"/>
    <n v="0.15"/>
    <n v="102.14999999999999"/>
    <x v="0"/>
  </r>
  <r>
    <x v="296"/>
    <x v="3"/>
    <x v="1"/>
    <s v="Минин Д.А."/>
    <x v="9"/>
    <x v="3"/>
    <x v="2"/>
    <x v="39"/>
    <x v="0"/>
    <n v="109.24000000000001"/>
    <n v="453.57"/>
    <n v="681"/>
    <n v="0"/>
    <n v="681"/>
    <n v="0.15"/>
    <n v="102.14999999999999"/>
    <x v="0"/>
  </r>
  <r>
    <x v="297"/>
    <x v="3"/>
    <x v="1"/>
    <s v="Панин Н.С."/>
    <x v="9"/>
    <x v="3"/>
    <x v="2"/>
    <x v="24"/>
    <x v="0"/>
    <n v="109.24000000000001"/>
    <n v="453.57"/>
    <n v="681"/>
    <n v="0"/>
    <n v="681"/>
    <n v="0.15"/>
    <n v="102.14999999999999"/>
    <x v="0"/>
  </r>
  <r>
    <x v="298"/>
    <x v="3"/>
    <x v="1"/>
    <s v="Попов Д.Г."/>
    <x v="10"/>
    <x v="3"/>
    <x v="2"/>
    <x v="72"/>
    <x v="0"/>
    <n v="109.24000000000001"/>
    <n v="453.57"/>
    <n v="681"/>
    <n v="0"/>
    <n v="681"/>
    <n v="0.15"/>
    <n v="102.14999999999999"/>
    <x v="0"/>
  </r>
  <r>
    <x v="299"/>
    <x v="3"/>
    <x v="1"/>
    <s v="Тихонова А.М."/>
    <x v="12"/>
    <x v="3"/>
    <x v="2"/>
    <x v="70"/>
    <x v="0"/>
    <n v="109.24000000000001"/>
    <n v="453.57"/>
    <n v="681"/>
    <n v="0"/>
    <n v="681"/>
    <n v="0.15"/>
    <n v="102.14999999999999"/>
    <x v="0"/>
  </r>
  <r>
    <x v="300"/>
    <x v="3"/>
    <x v="1"/>
    <s v="Устинова А.Я."/>
    <x v="10"/>
    <x v="3"/>
    <x v="2"/>
    <x v="8"/>
    <x v="0"/>
    <n v="109.24000000000001"/>
    <n v="453.57"/>
    <n v="681"/>
    <n v="0"/>
    <n v="681"/>
    <n v="0.15"/>
    <n v="102.14999999999999"/>
    <x v="0"/>
  </r>
  <r>
    <x v="301"/>
    <x v="3"/>
    <x v="1"/>
    <s v="Алексеев Р.И."/>
    <x v="9"/>
    <x v="4"/>
    <x v="2"/>
    <x v="30"/>
    <x v="0"/>
    <n v="131.76999999999998"/>
    <n v="476.09999999999997"/>
    <n v="715"/>
    <n v="0"/>
    <n v="715"/>
    <n v="0.15"/>
    <n v="107.25"/>
    <x v="0"/>
  </r>
  <r>
    <x v="302"/>
    <x v="3"/>
    <x v="1"/>
    <s v="Белоусова М.М."/>
    <x v="9"/>
    <x v="4"/>
    <x v="2"/>
    <x v="55"/>
    <x v="0"/>
    <n v="131.76999999999998"/>
    <n v="476.09999999999997"/>
    <n v="715"/>
    <n v="0"/>
    <n v="715"/>
    <n v="0.15"/>
    <n v="107.25"/>
    <x v="0"/>
  </r>
  <r>
    <x v="303"/>
    <x v="3"/>
    <x v="1"/>
    <s v="Глушкова А.М."/>
    <x v="9"/>
    <x v="4"/>
    <x v="2"/>
    <x v="63"/>
    <x v="0"/>
    <n v="131.76999999999998"/>
    <n v="476.09999999999997"/>
    <n v="715"/>
    <n v="0"/>
    <n v="715"/>
    <n v="0.15"/>
    <n v="107.25"/>
    <x v="0"/>
  </r>
  <r>
    <x v="304"/>
    <x v="3"/>
    <x v="1"/>
    <s v="Долгова Е.Е."/>
    <x v="10"/>
    <x v="4"/>
    <x v="2"/>
    <x v="2"/>
    <x v="0"/>
    <n v="131.76999999999998"/>
    <n v="476.09999999999997"/>
    <n v="715"/>
    <n v="0"/>
    <n v="715"/>
    <n v="0.15"/>
    <n v="107.25"/>
    <x v="0"/>
  </r>
  <r>
    <x v="305"/>
    <x v="3"/>
    <x v="1"/>
    <s v="Ефимова А.М."/>
    <x v="11"/>
    <x v="4"/>
    <x v="2"/>
    <x v="76"/>
    <x v="0"/>
    <n v="131.76999999999998"/>
    <n v="476.09999999999997"/>
    <n v="715"/>
    <n v="0"/>
    <n v="715"/>
    <n v="0.15"/>
    <n v="107.25"/>
    <x v="0"/>
  </r>
  <r>
    <x v="306"/>
    <x v="3"/>
    <x v="1"/>
    <s v="Карасев М.А."/>
    <x v="11"/>
    <x v="4"/>
    <x v="2"/>
    <x v="56"/>
    <x v="0"/>
    <n v="131.76999999999998"/>
    <n v="476.09999999999997"/>
    <n v="715"/>
    <n v="0"/>
    <n v="715"/>
    <n v="0.15"/>
    <n v="107.25"/>
    <x v="0"/>
  </r>
  <r>
    <x v="307"/>
    <x v="3"/>
    <x v="1"/>
    <s v="Киселева А.Е."/>
    <x v="9"/>
    <x v="4"/>
    <x v="2"/>
    <x v="25"/>
    <x v="0"/>
    <n v="131.76999999999998"/>
    <n v="476.09999999999997"/>
    <n v="715"/>
    <n v="0"/>
    <n v="715"/>
    <n v="0.15"/>
    <n v="107.25"/>
    <x v="0"/>
  </r>
  <r>
    <x v="308"/>
    <x v="3"/>
    <x v="1"/>
    <s v="Ковалева К.М."/>
    <x v="9"/>
    <x v="4"/>
    <x v="2"/>
    <x v="49"/>
    <x v="0"/>
    <n v="131.76999999999998"/>
    <n v="476.09999999999997"/>
    <n v="715"/>
    <n v="0"/>
    <n v="715"/>
    <n v="0.15"/>
    <n v="107.25"/>
    <x v="0"/>
  </r>
  <r>
    <x v="309"/>
    <x v="3"/>
    <x v="1"/>
    <s v="Колосов М.М."/>
    <x v="8"/>
    <x v="4"/>
    <x v="2"/>
    <x v="33"/>
    <x v="0"/>
    <n v="131.76999999999998"/>
    <n v="476.09999999999997"/>
    <n v="715"/>
    <n v="0"/>
    <n v="715"/>
    <n v="0.15"/>
    <n v="107.25"/>
    <x v="0"/>
  </r>
  <r>
    <x v="310"/>
    <x v="3"/>
    <x v="1"/>
    <s v="Кузнецова О. Г."/>
    <x v="8"/>
    <x v="4"/>
    <x v="2"/>
    <x v="52"/>
    <x v="0"/>
    <n v="131.76999999999998"/>
    <n v="476.09999999999997"/>
    <n v="715"/>
    <n v="0"/>
    <n v="715"/>
    <n v="0.15"/>
    <n v="107.25"/>
    <x v="0"/>
  </r>
  <r>
    <x v="311"/>
    <x v="3"/>
    <x v="1"/>
    <s v="Максимова П.Д."/>
    <x v="9"/>
    <x v="4"/>
    <x v="2"/>
    <x v="35"/>
    <x v="0"/>
    <n v="131.76999999999998"/>
    <n v="476.09999999999997"/>
    <n v="715"/>
    <n v="0"/>
    <n v="715"/>
    <n v="0.15"/>
    <n v="107.25"/>
    <x v="0"/>
  </r>
  <r>
    <x v="312"/>
    <x v="3"/>
    <x v="1"/>
    <s v="Мухин И. К."/>
    <x v="9"/>
    <x v="4"/>
    <x v="2"/>
    <x v="47"/>
    <x v="0"/>
    <n v="131.76999999999998"/>
    <n v="476.09999999999997"/>
    <n v="715"/>
    <n v="0"/>
    <n v="715"/>
    <n v="0.15"/>
    <n v="107.25"/>
    <x v="0"/>
  </r>
  <r>
    <x v="313"/>
    <x v="3"/>
    <x v="1"/>
    <s v="Смирнов Т.З."/>
    <x v="8"/>
    <x v="4"/>
    <x v="2"/>
    <x v="75"/>
    <x v="0"/>
    <n v="131.76999999999998"/>
    <n v="476.09999999999997"/>
    <n v="715"/>
    <n v="0"/>
    <n v="715"/>
    <n v="0.15"/>
    <n v="107.25"/>
    <x v="0"/>
  </r>
  <r>
    <x v="314"/>
    <x v="3"/>
    <x v="1"/>
    <s v="Соколова А.С."/>
    <x v="10"/>
    <x v="4"/>
    <x v="2"/>
    <x v="39"/>
    <x v="0"/>
    <n v="131.76999999999998"/>
    <n v="476.09999999999997"/>
    <n v="715"/>
    <n v="0"/>
    <n v="715"/>
    <n v="0.15"/>
    <n v="107.25"/>
    <x v="0"/>
  </r>
  <r>
    <x v="315"/>
    <x v="3"/>
    <x v="1"/>
    <s v="Троицкая Д.Е."/>
    <x v="8"/>
    <x v="4"/>
    <x v="2"/>
    <x v="26"/>
    <x v="0"/>
    <n v="131.76999999999998"/>
    <n v="476.09999999999997"/>
    <n v="715"/>
    <n v="0"/>
    <n v="715"/>
    <n v="0.15"/>
    <n v="107.25"/>
    <x v="0"/>
  </r>
  <r>
    <x v="316"/>
    <x v="3"/>
    <x v="1"/>
    <s v="Фомина А.А."/>
    <x v="7"/>
    <x v="4"/>
    <x v="2"/>
    <x v="43"/>
    <x v="0"/>
    <n v="131.76999999999998"/>
    <n v="476.09999999999997"/>
    <n v="715"/>
    <n v="0.05"/>
    <n v="680"/>
    <n v="0.15"/>
    <n v="102"/>
    <x v="0"/>
  </r>
  <r>
    <x v="317"/>
    <x v="3"/>
    <x v="1"/>
    <s v="Авдеева С. В."/>
    <x v="9"/>
    <x v="5"/>
    <x v="3"/>
    <x v="37"/>
    <x v="0"/>
    <n v="314.15999999999997"/>
    <n v="658.49"/>
    <n v="1120"/>
    <n v="0"/>
    <n v="1120"/>
    <n v="0.15"/>
    <n v="168"/>
    <x v="0"/>
  </r>
  <r>
    <x v="318"/>
    <x v="3"/>
    <x v="1"/>
    <s v="Васильева Е.А."/>
    <x v="7"/>
    <x v="5"/>
    <x v="3"/>
    <x v="11"/>
    <x v="0"/>
    <n v="314.15999999999997"/>
    <n v="658.49"/>
    <n v="1120"/>
    <n v="0"/>
    <n v="1120"/>
    <n v="0.15"/>
    <n v="168"/>
    <x v="0"/>
  </r>
  <r>
    <x v="319"/>
    <x v="3"/>
    <x v="1"/>
    <s v="Волков И.А."/>
    <x v="8"/>
    <x v="5"/>
    <x v="3"/>
    <x v="11"/>
    <x v="0"/>
    <n v="314.15999999999997"/>
    <n v="658.49"/>
    <n v="1120"/>
    <n v="0"/>
    <n v="1120"/>
    <n v="0.15"/>
    <n v="168"/>
    <x v="0"/>
  </r>
  <r>
    <x v="320"/>
    <x v="3"/>
    <x v="1"/>
    <s v="Евсеев И.Д."/>
    <x v="9"/>
    <x v="5"/>
    <x v="3"/>
    <x v="39"/>
    <x v="0"/>
    <n v="314.15999999999997"/>
    <n v="658.49"/>
    <n v="1120"/>
    <n v="0"/>
    <n v="1120"/>
    <n v="0.15"/>
    <n v="168"/>
    <x v="0"/>
  </r>
  <r>
    <x v="321"/>
    <x v="3"/>
    <x v="1"/>
    <s v="Левин Е.Б."/>
    <x v="12"/>
    <x v="5"/>
    <x v="3"/>
    <x v="83"/>
    <x v="0"/>
    <n v="314.15999999999997"/>
    <n v="658.49"/>
    <n v="1120"/>
    <n v="0"/>
    <n v="1120"/>
    <n v="0.15"/>
    <n v="168"/>
    <x v="0"/>
  </r>
  <r>
    <x v="322"/>
    <x v="3"/>
    <x v="1"/>
    <s v="Николаева А.Л."/>
    <x v="10"/>
    <x v="5"/>
    <x v="3"/>
    <x v="18"/>
    <x v="0"/>
    <n v="314.15999999999997"/>
    <n v="658.49"/>
    <n v="1120"/>
    <n v="0"/>
    <n v="1120"/>
    <n v="0.15"/>
    <n v="168"/>
    <x v="0"/>
  </r>
  <r>
    <x v="323"/>
    <x v="3"/>
    <x v="1"/>
    <s v="Софронов Е.М."/>
    <x v="8"/>
    <x v="5"/>
    <x v="3"/>
    <x v="84"/>
    <x v="0"/>
    <n v="314.15999999999997"/>
    <n v="658.49"/>
    <n v="1120"/>
    <n v="0"/>
    <n v="1120"/>
    <n v="0.15"/>
    <n v="168"/>
    <x v="0"/>
  </r>
  <r>
    <x v="324"/>
    <x v="3"/>
    <x v="1"/>
    <s v="Фомина А.А."/>
    <x v="7"/>
    <x v="5"/>
    <x v="3"/>
    <x v="43"/>
    <x v="0"/>
    <n v="314.15999999999997"/>
    <n v="658.49"/>
    <n v="1120"/>
    <n v="0"/>
    <n v="1120"/>
    <n v="0.15"/>
    <n v="168"/>
    <x v="0"/>
  </r>
  <r>
    <x v="325"/>
    <x v="4"/>
    <x v="2"/>
    <s v="Воронцов М.К."/>
    <x v="13"/>
    <x v="0"/>
    <x v="0"/>
    <x v="70"/>
    <x v="0"/>
    <n v="163.13"/>
    <n v="507.46"/>
    <n v="762"/>
    <n v="0"/>
    <n v="762"/>
    <n v="0.1"/>
    <n v="76.2"/>
    <x v="0"/>
  </r>
  <r>
    <x v="326"/>
    <x v="4"/>
    <x v="2"/>
    <s v="Давыдова М.О."/>
    <x v="14"/>
    <x v="0"/>
    <x v="0"/>
    <x v="20"/>
    <x v="0"/>
    <n v="163.13"/>
    <n v="507.46"/>
    <n v="762"/>
    <n v="0"/>
    <n v="762"/>
    <n v="0.1"/>
    <n v="76.2"/>
    <x v="0"/>
  </r>
  <r>
    <x v="327"/>
    <x v="4"/>
    <x v="2"/>
    <s v="Дьяконов Г.Б."/>
    <x v="15"/>
    <x v="0"/>
    <x v="0"/>
    <x v="20"/>
    <x v="0"/>
    <n v="163.13"/>
    <n v="507.46"/>
    <n v="762"/>
    <n v="0"/>
    <n v="762"/>
    <n v="0.1"/>
    <n v="76.2"/>
    <x v="0"/>
  </r>
  <r>
    <x v="328"/>
    <x v="4"/>
    <x v="2"/>
    <s v="Золотарев А.Г."/>
    <x v="14"/>
    <x v="0"/>
    <x v="0"/>
    <x v="14"/>
    <x v="0"/>
    <n v="163.13"/>
    <n v="507.46"/>
    <n v="762"/>
    <n v="0"/>
    <n v="762"/>
    <n v="0.1"/>
    <n v="76.2"/>
    <x v="0"/>
  </r>
  <r>
    <x v="329"/>
    <x v="4"/>
    <x v="2"/>
    <s v="Зорина Т.Н."/>
    <x v="13"/>
    <x v="0"/>
    <x v="0"/>
    <x v="28"/>
    <x v="0"/>
    <n v="163.13"/>
    <n v="507.46"/>
    <n v="762"/>
    <n v="0"/>
    <n v="762"/>
    <n v="0.1"/>
    <n v="76.2"/>
    <x v="0"/>
  </r>
  <r>
    <x v="330"/>
    <x v="4"/>
    <x v="2"/>
    <s v="Иванов К.А."/>
    <x v="15"/>
    <x v="0"/>
    <x v="0"/>
    <x v="53"/>
    <x v="0"/>
    <n v="163.13"/>
    <n v="507.46"/>
    <n v="762"/>
    <n v="0"/>
    <n v="762"/>
    <n v="0.1"/>
    <n v="76.2"/>
    <x v="0"/>
  </r>
  <r>
    <x v="331"/>
    <x v="4"/>
    <x v="2"/>
    <s v="Никитин С.А."/>
    <x v="14"/>
    <x v="0"/>
    <x v="0"/>
    <x v="85"/>
    <x v="0"/>
    <n v="163.13"/>
    <n v="507.46"/>
    <n v="762"/>
    <n v="0"/>
    <n v="762"/>
    <n v="0.1"/>
    <n v="76.2"/>
    <x v="0"/>
  </r>
  <r>
    <x v="332"/>
    <x v="4"/>
    <x v="2"/>
    <s v="Озеров П.М."/>
    <x v="14"/>
    <x v="0"/>
    <x v="0"/>
    <x v="38"/>
    <x v="0"/>
    <n v="163.13"/>
    <n v="507.46"/>
    <n v="762"/>
    <n v="0"/>
    <n v="762"/>
    <n v="0.1"/>
    <n v="76.2"/>
    <x v="0"/>
  </r>
  <r>
    <x v="333"/>
    <x v="4"/>
    <x v="2"/>
    <s v="Осипова А. М."/>
    <x v="14"/>
    <x v="0"/>
    <x v="0"/>
    <x v="5"/>
    <x v="0"/>
    <n v="163.13"/>
    <n v="507.46"/>
    <n v="762"/>
    <n v="0"/>
    <n v="762"/>
    <n v="0.1"/>
    <n v="76.2"/>
    <x v="0"/>
  </r>
  <r>
    <x v="334"/>
    <x v="4"/>
    <x v="2"/>
    <s v="Островская В. К."/>
    <x v="13"/>
    <x v="0"/>
    <x v="0"/>
    <x v="53"/>
    <x v="0"/>
    <n v="163.13"/>
    <n v="507.46"/>
    <n v="762"/>
    <n v="0"/>
    <n v="762"/>
    <n v="0.1"/>
    <n v="76.2"/>
    <x v="0"/>
  </r>
  <r>
    <x v="335"/>
    <x v="4"/>
    <x v="2"/>
    <s v="Петров А. А."/>
    <x v="14"/>
    <x v="0"/>
    <x v="0"/>
    <x v="12"/>
    <x v="0"/>
    <n v="163.13"/>
    <n v="507.46"/>
    <n v="762"/>
    <n v="0"/>
    <n v="762"/>
    <n v="0.1"/>
    <n v="76.2"/>
    <x v="0"/>
  </r>
  <r>
    <x v="336"/>
    <x v="4"/>
    <x v="2"/>
    <s v="Прохоров М. Н."/>
    <x v="14"/>
    <x v="0"/>
    <x v="0"/>
    <x v="2"/>
    <x v="0"/>
    <n v="163.13"/>
    <n v="507.46"/>
    <n v="762"/>
    <n v="0"/>
    <n v="762"/>
    <n v="0.1"/>
    <n v="76.2"/>
    <x v="0"/>
  </r>
  <r>
    <x v="337"/>
    <x v="4"/>
    <x v="2"/>
    <s v="Рыбакова А. М."/>
    <x v="14"/>
    <x v="0"/>
    <x v="0"/>
    <x v="84"/>
    <x v="0"/>
    <n v="163.13"/>
    <n v="507.46"/>
    <n v="762"/>
    <n v="0"/>
    <n v="762"/>
    <n v="0.1"/>
    <n v="76.2"/>
    <x v="0"/>
  </r>
  <r>
    <x v="338"/>
    <x v="4"/>
    <x v="2"/>
    <s v="Семенов А.А."/>
    <x v="14"/>
    <x v="0"/>
    <x v="0"/>
    <x v="40"/>
    <x v="0"/>
    <n v="163.13"/>
    <n v="507.46"/>
    <n v="762"/>
    <n v="0"/>
    <n v="762"/>
    <n v="0.1"/>
    <n v="76.2"/>
    <x v="0"/>
  </r>
  <r>
    <x v="339"/>
    <x v="4"/>
    <x v="2"/>
    <s v="Серов Т.М."/>
    <x v="13"/>
    <x v="0"/>
    <x v="0"/>
    <x v="31"/>
    <x v="0"/>
    <n v="163.13"/>
    <n v="507.46"/>
    <n v="762"/>
    <n v="0"/>
    <n v="762"/>
    <n v="0.1"/>
    <n v="76.2"/>
    <x v="0"/>
  </r>
  <r>
    <x v="340"/>
    <x v="4"/>
    <x v="2"/>
    <s v="Синицына С. Ф."/>
    <x v="14"/>
    <x v="0"/>
    <x v="0"/>
    <x v="84"/>
    <x v="0"/>
    <n v="163.13"/>
    <n v="507.46"/>
    <n v="762"/>
    <n v="0"/>
    <n v="762"/>
    <n v="0.1"/>
    <n v="76.2"/>
    <x v="0"/>
  </r>
  <r>
    <x v="341"/>
    <x v="4"/>
    <x v="2"/>
    <s v="Смирнов А. С."/>
    <x v="15"/>
    <x v="0"/>
    <x v="0"/>
    <x v="82"/>
    <x v="0"/>
    <n v="163.13"/>
    <n v="507.46"/>
    <n v="762"/>
    <n v="0"/>
    <n v="762"/>
    <n v="0.1"/>
    <n v="76.2"/>
    <x v="0"/>
  </r>
  <r>
    <x v="342"/>
    <x v="4"/>
    <x v="2"/>
    <s v="Соколова В. Е."/>
    <x v="15"/>
    <x v="0"/>
    <x v="0"/>
    <x v="80"/>
    <x v="0"/>
    <n v="163.13"/>
    <n v="507.46"/>
    <n v="762"/>
    <n v="0"/>
    <n v="762"/>
    <n v="0.1"/>
    <n v="76.2"/>
    <x v="0"/>
  </r>
  <r>
    <x v="343"/>
    <x v="4"/>
    <x v="2"/>
    <s v="Филатова К. П."/>
    <x v="15"/>
    <x v="0"/>
    <x v="0"/>
    <x v="1"/>
    <x v="0"/>
    <n v="163.13"/>
    <n v="507.46"/>
    <n v="762"/>
    <n v="0"/>
    <n v="762"/>
    <n v="0.1"/>
    <n v="76.2"/>
    <x v="0"/>
  </r>
  <r>
    <x v="344"/>
    <x v="4"/>
    <x v="2"/>
    <s v="Фирсова В.Т."/>
    <x v="14"/>
    <x v="0"/>
    <x v="0"/>
    <x v="1"/>
    <x v="0"/>
    <n v="163.13"/>
    <n v="507.46"/>
    <n v="762"/>
    <n v="0"/>
    <n v="762"/>
    <n v="0.1"/>
    <n v="76.2"/>
    <x v="0"/>
  </r>
  <r>
    <x v="345"/>
    <x v="4"/>
    <x v="2"/>
    <s v="Фокина А.М."/>
    <x v="14"/>
    <x v="0"/>
    <x v="0"/>
    <x v="79"/>
    <x v="0"/>
    <n v="163.13"/>
    <n v="507.46"/>
    <n v="762"/>
    <n v="0"/>
    <n v="762"/>
    <n v="0.1"/>
    <n v="76.2"/>
    <x v="0"/>
  </r>
  <r>
    <x v="346"/>
    <x v="4"/>
    <x v="2"/>
    <s v="Шилова Д. Е."/>
    <x v="13"/>
    <x v="0"/>
    <x v="0"/>
    <x v="7"/>
    <x v="0"/>
    <n v="163.13"/>
    <n v="507.46"/>
    <n v="762"/>
    <n v="0"/>
    <n v="762"/>
    <n v="0.1"/>
    <n v="76.2"/>
    <x v="0"/>
  </r>
  <r>
    <x v="347"/>
    <x v="4"/>
    <x v="2"/>
    <s v="Юдина В. Ф."/>
    <x v="14"/>
    <x v="0"/>
    <x v="0"/>
    <x v="69"/>
    <x v="0"/>
    <n v="163.13"/>
    <n v="507.46"/>
    <n v="762"/>
    <n v="0"/>
    <n v="762"/>
    <n v="0.1"/>
    <n v="76.2"/>
    <x v="0"/>
  </r>
  <r>
    <x v="348"/>
    <x v="4"/>
    <x v="2"/>
    <s v="Аникин Г. М."/>
    <x v="14"/>
    <x v="1"/>
    <x v="1"/>
    <x v="45"/>
    <x v="0"/>
    <n v="97.2"/>
    <n v="441.53"/>
    <n v="619"/>
    <n v="0"/>
    <n v="619"/>
    <n v="0.1"/>
    <n v="61.900000000000006"/>
    <x v="0"/>
  </r>
  <r>
    <x v="349"/>
    <x v="4"/>
    <x v="2"/>
    <s v="Анохина А.М."/>
    <x v="15"/>
    <x v="1"/>
    <x v="1"/>
    <x v="36"/>
    <x v="0"/>
    <n v="97.2"/>
    <n v="441.53"/>
    <n v="619"/>
    <n v="0"/>
    <n v="619"/>
    <n v="0.1"/>
    <n v="61.900000000000006"/>
    <x v="0"/>
  </r>
  <r>
    <x v="350"/>
    <x v="4"/>
    <x v="2"/>
    <s v="Барсукова К.П."/>
    <x v="14"/>
    <x v="1"/>
    <x v="1"/>
    <x v="67"/>
    <x v="0"/>
    <n v="97.2"/>
    <n v="441.53"/>
    <n v="619"/>
    <n v="0"/>
    <n v="619"/>
    <n v="0.1"/>
    <n v="61.900000000000006"/>
    <x v="0"/>
  </r>
  <r>
    <x v="351"/>
    <x v="4"/>
    <x v="2"/>
    <s v="Быкова А. Б."/>
    <x v="14"/>
    <x v="1"/>
    <x v="1"/>
    <x v="3"/>
    <x v="0"/>
    <n v="97.2"/>
    <n v="441.53"/>
    <n v="619"/>
    <n v="0"/>
    <n v="619"/>
    <n v="0.1"/>
    <n v="61.900000000000006"/>
    <x v="0"/>
  </r>
  <r>
    <x v="352"/>
    <x v="4"/>
    <x v="2"/>
    <s v="Васильев Р. А."/>
    <x v="15"/>
    <x v="1"/>
    <x v="1"/>
    <x v="17"/>
    <x v="0"/>
    <n v="97.2"/>
    <n v="441.53"/>
    <n v="619"/>
    <n v="0"/>
    <n v="619"/>
    <n v="0.1"/>
    <n v="61.900000000000006"/>
    <x v="0"/>
  </r>
  <r>
    <x v="353"/>
    <x v="4"/>
    <x v="2"/>
    <s v="Воробьева Е.В."/>
    <x v="14"/>
    <x v="1"/>
    <x v="1"/>
    <x v="63"/>
    <x v="0"/>
    <n v="97.2"/>
    <n v="441.53"/>
    <n v="619"/>
    <n v="0"/>
    <n v="619"/>
    <n v="0.1"/>
    <n v="61.900000000000006"/>
    <x v="0"/>
  </r>
  <r>
    <x v="354"/>
    <x v="4"/>
    <x v="2"/>
    <s v="Горбачева М. Н."/>
    <x v="14"/>
    <x v="1"/>
    <x v="1"/>
    <x v="56"/>
    <x v="0"/>
    <n v="97.2"/>
    <n v="441.53"/>
    <n v="619"/>
    <n v="0"/>
    <n v="619"/>
    <n v="0.1"/>
    <n v="61.900000000000006"/>
    <x v="0"/>
  </r>
  <r>
    <x v="355"/>
    <x v="4"/>
    <x v="2"/>
    <s v="Дорофеев Д.А."/>
    <x v="15"/>
    <x v="1"/>
    <x v="1"/>
    <x v="36"/>
    <x v="0"/>
    <n v="97.2"/>
    <n v="441.53"/>
    <n v="619"/>
    <n v="0"/>
    <n v="619"/>
    <n v="0.1"/>
    <n v="61.900000000000006"/>
    <x v="0"/>
  </r>
  <r>
    <x v="356"/>
    <x v="4"/>
    <x v="2"/>
    <s v="Дроздов Т.А."/>
    <x v="15"/>
    <x v="1"/>
    <x v="1"/>
    <x v="37"/>
    <x v="0"/>
    <n v="97.2"/>
    <n v="441.53"/>
    <n v="619"/>
    <n v="0"/>
    <n v="619"/>
    <n v="0.1"/>
    <n v="61.900000000000006"/>
    <x v="0"/>
  </r>
  <r>
    <x v="357"/>
    <x v="4"/>
    <x v="2"/>
    <s v="Лазарев А. Е."/>
    <x v="14"/>
    <x v="1"/>
    <x v="1"/>
    <x v="29"/>
    <x v="0"/>
    <n v="97.2"/>
    <n v="441.53"/>
    <n v="619"/>
    <n v="0"/>
    <n v="619"/>
    <n v="0.1"/>
    <n v="61.900000000000006"/>
    <x v="0"/>
  </r>
  <r>
    <x v="358"/>
    <x v="4"/>
    <x v="2"/>
    <s v="Макарова А.А."/>
    <x v="13"/>
    <x v="1"/>
    <x v="1"/>
    <x v="27"/>
    <x v="0"/>
    <n v="97.2"/>
    <n v="441.53"/>
    <n v="619"/>
    <n v="0"/>
    <n v="619"/>
    <n v="0.1"/>
    <n v="61.900000000000006"/>
    <x v="0"/>
  </r>
  <r>
    <x v="359"/>
    <x v="4"/>
    <x v="2"/>
    <s v="Павловский Д.А."/>
    <x v="14"/>
    <x v="1"/>
    <x v="1"/>
    <x v="23"/>
    <x v="0"/>
    <n v="97.2"/>
    <n v="441.53"/>
    <n v="619"/>
    <n v="0"/>
    <n v="619"/>
    <n v="0.1"/>
    <n v="61.900000000000006"/>
    <x v="0"/>
  </r>
  <r>
    <x v="360"/>
    <x v="4"/>
    <x v="2"/>
    <s v="Потапова М. Г."/>
    <x v="15"/>
    <x v="1"/>
    <x v="1"/>
    <x v="2"/>
    <x v="0"/>
    <n v="97.2"/>
    <n v="441.53"/>
    <n v="619"/>
    <n v="0"/>
    <n v="619"/>
    <n v="0.1"/>
    <n v="61.900000000000006"/>
    <x v="0"/>
  </r>
  <r>
    <x v="361"/>
    <x v="4"/>
    <x v="2"/>
    <s v="Сафонов Е.Я."/>
    <x v="13"/>
    <x v="1"/>
    <x v="1"/>
    <x v="27"/>
    <x v="0"/>
    <n v="97.2"/>
    <n v="441.53"/>
    <n v="619"/>
    <n v="0"/>
    <n v="619"/>
    <n v="0.1"/>
    <n v="61.900000000000006"/>
    <x v="0"/>
  </r>
  <r>
    <x v="362"/>
    <x v="4"/>
    <x v="2"/>
    <s v="Сидоров М.М."/>
    <x v="13"/>
    <x v="1"/>
    <x v="1"/>
    <x v="59"/>
    <x v="0"/>
    <n v="97.2"/>
    <n v="441.53"/>
    <n v="619"/>
    <n v="0"/>
    <n v="619"/>
    <n v="0.1"/>
    <n v="61.900000000000006"/>
    <x v="0"/>
  </r>
  <r>
    <x v="363"/>
    <x v="4"/>
    <x v="2"/>
    <s v="Соловьёв Г.В."/>
    <x v="13"/>
    <x v="1"/>
    <x v="1"/>
    <x v="43"/>
    <x v="0"/>
    <n v="97.2"/>
    <n v="441.53"/>
    <n v="619"/>
    <n v="0"/>
    <n v="619"/>
    <n v="0.1"/>
    <n v="61.900000000000006"/>
    <x v="0"/>
  </r>
  <r>
    <x v="364"/>
    <x v="4"/>
    <x v="2"/>
    <s v="Федорова К. Г."/>
    <x v="14"/>
    <x v="1"/>
    <x v="1"/>
    <x v="46"/>
    <x v="0"/>
    <n v="97.2"/>
    <n v="441.53"/>
    <n v="619"/>
    <n v="0"/>
    <n v="619"/>
    <n v="0.1"/>
    <n v="61.900000000000006"/>
    <x v="0"/>
  </r>
  <r>
    <x v="365"/>
    <x v="4"/>
    <x v="2"/>
    <s v="Васильев С. Г."/>
    <x v="14"/>
    <x v="2"/>
    <x v="2"/>
    <x v="39"/>
    <x v="0"/>
    <n v="119.43"/>
    <n v="463.76"/>
    <n v="696"/>
    <n v="0"/>
    <n v="696"/>
    <n v="0.1"/>
    <n v="69.600000000000009"/>
    <x v="0"/>
  </r>
  <r>
    <x v="366"/>
    <x v="4"/>
    <x v="2"/>
    <s v="Громов М. Н."/>
    <x v="14"/>
    <x v="2"/>
    <x v="2"/>
    <x v="0"/>
    <x v="0"/>
    <n v="119.43"/>
    <n v="463.76"/>
    <n v="696"/>
    <n v="0"/>
    <n v="696"/>
    <n v="0.1"/>
    <n v="69.600000000000009"/>
    <x v="0"/>
  </r>
  <r>
    <x v="367"/>
    <x v="4"/>
    <x v="2"/>
    <s v="Емельянов А. Р."/>
    <x v="14"/>
    <x v="2"/>
    <x v="2"/>
    <x v="2"/>
    <x v="0"/>
    <n v="119.43"/>
    <n v="463.76"/>
    <n v="696"/>
    <n v="0"/>
    <n v="696"/>
    <n v="0.1"/>
    <n v="69.600000000000009"/>
    <x v="0"/>
  </r>
  <r>
    <x v="368"/>
    <x v="4"/>
    <x v="2"/>
    <s v="Ефимова А.Д."/>
    <x v="13"/>
    <x v="2"/>
    <x v="2"/>
    <x v="63"/>
    <x v="0"/>
    <n v="119.43"/>
    <n v="463.76"/>
    <n v="696"/>
    <n v="0"/>
    <n v="696"/>
    <n v="0.1"/>
    <n v="69.600000000000009"/>
    <x v="0"/>
  </r>
  <r>
    <x v="369"/>
    <x v="4"/>
    <x v="2"/>
    <s v="Кузнецова Е. С."/>
    <x v="14"/>
    <x v="2"/>
    <x v="2"/>
    <x v="10"/>
    <x v="0"/>
    <n v="119.43"/>
    <n v="463.76"/>
    <n v="696"/>
    <n v="0"/>
    <n v="696"/>
    <n v="0.1"/>
    <n v="69.600000000000009"/>
    <x v="0"/>
  </r>
  <r>
    <x v="370"/>
    <x v="4"/>
    <x v="2"/>
    <s v="Максимов П.М."/>
    <x v="15"/>
    <x v="2"/>
    <x v="2"/>
    <x v="52"/>
    <x v="0"/>
    <n v="119.43"/>
    <n v="463.76"/>
    <n v="696"/>
    <n v="0"/>
    <n v="696"/>
    <n v="0.1"/>
    <n v="69.600000000000009"/>
    <x v="0"/>
  </r>
  <r>
    <x v="371"/>
    <x v="4"/>
    <x v="2"/>
    <s v="Нестерова М.С."/>
    <x v="14"/>
    <x v="2"/>
    <x v="2"/>
    <x v="79"/>
    <x v="0"/>
    <n v="119.43"/>
    <n v="463.76"/>
    <n v="696"/>
    <n v="0"/>
    <n v="696"/>
    <n v="0.1"/>
    <n v="69.600000000000009"/>
    <x v="0"/>
  </r>
  <r>
    <x v="372"/>
    <x v="4"/>
    <x v="2"/>
    <s v="Панова М. Е."/>
    <x v="15"/>
    <x v="2"/>
    <x v="2"/>
    <x v="53"/>
    <x v="0"/>
    <n v="119.43"/>
    <n v="463.76"/>
    <n v="696"/>
    <n v="0"/>
    <n v="696"/>
    <n v="0.1"/>
    <n v="69.600000000000009"/>
    <x v="0"/>
  </r>
  <r>
    <x v="373"/>
    <x v="4"/>
    <x v="2"/>
    <s v="Калашникова С. М."/>
    <x v="14"/>
    <x v="3"/>
    <x v="2"/>
    <x v="17"/>
    <x v="0"/>
    <n v="109.24000000000001"/>
    <n v="453.57"/>
    <n v="681"/>
    <n v="0"/>
    <n v="681"/>
    <n v="0.1"/>
    <n v="68.100000000000009"/>
    <x v="0"/>
  </r>
  <r>
    <x v="374"/>
    <x v="4"/>
    <x v="2"/>
    <s v="Лебедева В.А."/>
    <x v="14"/>
    <x v="3"/>
    <x v="2"/>
    <x v="22"/>
    <x v="0"/>
    <n v="109.24000000000001"/>
    <n v="453.57"/>
    <n v="681"/>
    <n v="0"/>
    <n v="681"/>
    <n v="0.1"/>
    <n v="68.100000000000009"/>
    <x v="0"/>
  </r>
  <r>
    <x v="375"/>
    <x v="4"/>
    <x v="2"/>
    <s v="Молчанова М. И."/>
    <x v="15"/>
    <x v="3"/>
    <x v="2"/>
    <x v="84"/>
    <x v="0"/>
    <n v="109.24000000000001"/>
    <n v="453.57"/>
    <n v="681"/>
    <n v="0"/>
    <n v="681"/>
    <n v="0.1"/>
    <n v="68.100000000000009"/>
    <x v="0"/>
  </r>
  <r>
    <x v="376"/>
    <x v="4"/>
    <x v="2"/>
    <s v="Смирнов А.М."/>
    <x v="15"/>
    <x v="3"/>
    <x v="2"/>
    <x v="23"/>
    <x v="0"/>
    <n v="109.24000000000001"/>
    <n v="453.57"/>
    <n v="681"/>
    <n v="0"/>
    <n v="681"/>
    <n v="0.1"/>
    <n v="68.100000000000009"/>
    <x v="0"/>
  </r>
  <r>
    <x v="377"/>
    <x v="4"/>
    <x v="2"/>
    <s v="Антонова М.Е."/>
    <x v="15"/>
    <x v="4"/>
    <x v="2"/>
    <x v="48"/>
    <x v="0"/>
    <n v="131.76999999999998"/>
    <n v="476.09999999999997"/>
    <n v="715"/>
    <n v="0"/>
    <n v="715"/>
    <n v="0.1"/>
    <n v="71.5"/>
    <x v="0"/>
  </r>
  <r>
    <x v="378"/>
    <x v="4"/>
    <x v="2"/>
    <s v="Белякова Е.А."/>
    <x v="14"/>
    <x v="4"/>
    <x v="2"/>
    <x v="56"/>
    <x v="0"/>
    <n v="131.76999999999998"/>
    <n v="476.09999999999997"/>
    <n v="715"/>
    <n v="0"/>
    <n v="715"/>
    <n v="0.1"/>
    <n v="71.5"/>
    <x v="0"/>
  </r>
  <r>
    <x v="379"/>
    <x v="4"/>
    <x v="2"/>
    <s v="Иванова Э. Д."/>
    <x v="14"/>
    <x v="4"/>
    <x v="2"/>
    <x v="17"/>
    <x v="0"/>
    <n v="131.76999999999998"/>
    <n v="476.09999999999997"/>
    <n v="715"/>
    <n v="0"/>
    <n v="715"/>
    <n v="0.1"/>
    <n v="71.5"/>
    <x v="0"/>
  </r>
  <r>
    <x v="380"/>
    <x v="4"/>
    <x v="2"/>
    <s v="Карасев И. Н."/>
    <x v="13"/>
    <x v="4"/>
    <x v="2"/>
    <x v="63"/>
    <x v="0"/>
    <n v="131.76999999999998"/>
    <n v="476.09999999999997"/>
    <n v="715"/>
    <n v="0"/>
    <n v="715"/>
    <n v="0.1"/>
    <n v="71.5"/>
    <x v="0"/>
  </r>
  <r>
    <x v="381"/>
    <x v="4"/>
    <x v="2"/>
    <s v="Козырев Г.С."/>
    <x v="14"/>
    <x v="4"/>
    <x v="2"/>
    <x v="25"/>
    <x v="0"/>
    <n v="131.76999999999998"/>
    <n v="476.09999999999997"/>
    <n v="715"/>
    <n v="0"/>
    <n v="715"/>
    <n v="0.1"/>
    <n v="71.5"/>
    <x v="0"/>
  </r>
  <r>
    <x v="382"/>
    <x v="4"/>
    <x v="2"/>
    <s v="Коновалов Т. Е."/>
    <x v="13"/>
    <x v="4"/>
    <x v="2"/>
    <x v="5"/>
    <x v="0"/>
    <n v="131.76999999999998"/>
    <n v="476.09999999999997"/>
    <n v="715"/>
    <n v="0"/>
    <n v="715"/>
    <n v="0.1"/>
    <n v="71.5"/>
    <x v="0"/>
  </r>
  <r>
    <x v="383"/>
    <x v="4"/>
    <x v="2"/>
    <s v="Константинова А.А."/>
    <x v="14"/>
    <x v="4"/>
    <x v="2"/>
    <x v="25"/>
    <x v="0"/>
    <n v="131.76999999999998"/>
    <n v="476.09999999999997"/>
    <n v="715"/>
    <n v="0"/>
    <n v="715"/>
    <n v="0.1"/>
    <n v="71.5"/>
    <x v="0"/>
  </r>
  <r>
    <x v="384"/>
    <x v="4"/>
    <x v="2"/>
    <s v="Костин Г.А."/>
    <x v="14"/>
    <x v="4"/>
    <x v="2"/>
    <x v="62"/>
    <x v="0"/>
    <n v="131.76999999999998"/>
    <n v="476.09999999999997"/>
    <n v="715"/>
    <n v="0"/>
    <n v="715"/>
    <n v="0.1"/>
    <n v="71.5"/>
    <x v="0"/>
  </r>
  <r>
    <x v="385"/>
    <x v="4"/>
    <x v="2"/>
    <s v="Кузнецова А.Е."/>
    <x v="13"/>
    <x v="4"/>
    <x v="2"/>
    <x v="65"/>
    <x v="0"/>
    <n v="131.76999999999998"/>
    <n v="476.09999999999997"/>
    <n v="715"/>
    <n v="0"/>
    <n v="715"/>
    <n v="0.1"/>
    <n v="71.5"/>
    <x v="0"/>
  </r>
  <r>
    <x v="386"/>
    <x v="4"/>
    <x v="2"/>
    <s v="Кузьмин Л. А."/>
    <x v="13"/>
    <x v="4"/>
    <x v="2"/>
    <x v="32"/>
    <x v="0"/>
    <n v="131.76999999999998"/>
    <n v="476.09999999999997"/>
    <n v="715"/>
    <n v="0"/>
    <n v="715"/>
    <n v="0.1"/>
    <n v="71.5"/>
    <x v="0"/>
  </r>
  <r>
    <x v="387"/>
    <x v="4"/>
    <x v="2"/>
    <s v="Лавров М. Г."/>
    <x v="15"/>
    <x v="4"/>
    <x v="2"/>
    <x v="83"/>
    <x v="0"/>
    <n v="131.76999999999998"/>
    <n v="476.09999999999997"/>
    <n v="715"/>
    <n v="0"/>
    <n v="715"/>
    <n v="0.1"/>
    <n v="71.5"/>
    <x v="0"/>
  </r>
  <r>
    <x v="388"/>
    <x v="4"/>
    <x v="2"/>
    <s v="Леонова Е. Д."/>
    <x v="14"/>
    <x v="4"/>
    <x v="2"/>
    <x v="61"/>
    <x v="0"/>
    <n v="131.76999999999998"/>
    <n v="476.09999999999997"/>
    <n v="715"/>
    <n v="0"/>
    <n v="715"/>
    <n v="0.1"/>
    <n v="71.5"/>
    <x v="0"/>
  </r>
  <r>
    <x v="389"/>
    <x v="4"/>
    <x v="2"/>
    <s v="Литвинов П.И."/>
    <x v="14"/>
    <x v="4"/>
    <x v="2"/>
    <x v="22"/>
    <x v="0"/>
    <n v="131.76999999999998"/>
    <n v="476.09999999999997"/>
    <n v="715"/>
    <n v="0"/>
    <n v="715"/>
    <n v="0.1"/>
    <n v="71.5"/>
    <x v="0"/>
  </r>
  <r>
    <x v="390"/>
    <x v="4"/>
    <x v="2"/>
    <s v="Масленников П.И."/>
    <x v="15"/>
    <x v="4"/>
    <x v="2"/>
    <x v="86"/>
    <x v="0"/>
    <n v="131.76999999999998"/>
    <n v="476.09999999999997"/>
    <n v="715"/>
    <n v="0"/>
    <n v="715"/>
    <n v="0.1"/>
    <n v="71.5"/>
    <x v="0"/>
  </r>
  <r>
    <x v="391"/>
    <x v="4"/>
    <x v="2"/>
    <s v="Овсянникова А. И."/>
    <x v="15"/>
    <x v="4"/>
    <x v="2"/>
    <x v="29"/>
    <x v="0"/>
    <n v="131.76999999999998"/>
    <n v="476.09999999999997"/>
    <n v="715"/>
    <n v="0"/>
    <n v="715"/>
    <n v="0.1"/>
    <n v="71.5"/>
    <x v="0"/>
  </r>
  <r>
    <x v="392"/>
    <x v="4"/>
    <x v="2"/>
    <s v="Селезнева В.И."/>
    <x v="15"/>
    <x v="4"/>
    <x v="2"/>
    <x v="51"/>
    <x v="0"/>
    <n v="131.76999999999998"/>
    <n v="476.09999999999997"/>
    <n v="715"/>
    <n v="0"/>
    <n v="715"/>
    <n v="0.1"/>
    <n v="71.5"/>
    <x v="0"/>
  </r>
  <r>
    <x v="393"/>
    <x v="4"/>
    <x v="2"/>
    <s v="Старостин Н.С."/>
    <x v="14"/>
    <x v="4"/>
    <x v="2"/>
    <x v="10"/>
    <x v="0"/>
    <n v="131.76999999999998"/>
    <n v="476.09999999999997"/>
    <n v="715"/>
    <n v="0"/>
    <n v="715"/>
    <n v="0.1"/>
    <n v="71.5"/>
    <x v="0"/>
  </r>
  <r>
    <x v="394"/>
    <x v="4"/>
    <x v="2"/>
    <s v="Васильева Т.Е."/>
    <x v="15"/>
    <x v="5"/>
    <x v="3"/>
    <x v="3"/>
    <x v="0"/>
    <n v="314.15999999999997"/>
    <n v="658.49"/>
    <n v="1120"/>
    <n v="0"/>
    <n v="1120"/>
    <n v="0.1"/>
    <n v="112"/>
    <x v="0"/>
  </r>
  <r>
    <x v="395"/>
    <x v="4"/>
    <x v="2"/>
    <s v="Герасимов Д. И."/>
    <x v="15"/>
    <x v="5"/>
    <x v="3"/>
    <x v="43"/>
    <x v="0"/>
    <n v="314.15999999999997"/>
    <n v="658.49"/>
    <n v="1120"/>
    <n v="0"/>
    <n v="1120"/>
    <n v="0.1"/>
    <n v="112"/>
    <x v="0"/>
  </r>
  <r>
    <x v="396"/>
    <x v="4"/>
    <x v="2"/>
    <s v="Евдокимова А. А."/>
    <x v="15"/>
    <x v="5"/>
    <x v="3"/>
    <x v="67"/>
    <x v="0"/>
    <n v="314.15999999999997"/>
    <n v="658.49"/>
    <n v="1120"/>
    <n v="0"/>
    <n v="1120"/>
    <n v="0.1"/>
    <n v="112"/>
    <x v="0"/>
  </r>
  <r>
    <x v="397"/>
    <x v="4"/>
    <x v="2"/>
    <s v="Крылов С.М."/>
    <x v="15"/>
    <x v="5"/>
    <x v="3"/>
    <x v="5"/>
    <x v="0"/>
    <n v="314.15999999999997"/>
    <n v="658.49"/>
    <n v="1120"/>
    <n v="0"/>
    <n v="1120"/>
    <n v="0.1"/>
    <n v="112"/>
    <x v="0"/>
  </r>
  <r>
    <x v="398"/>
    <x v="4"/>
    <x v="2"/>
    <s v="Семенов Е.Д."/>
    <x v="14"/>
    <x v="5"/>
    <x v="3"/>
    <x v="61"/>
    <x v="0"/>
    <n v="314.15999999999997"/>
    <n v="658.49"/>
    <n v="1120"/>
    <n v="0"/>
    <n v="1120"/>
    <n v="0.1"/>
    <n v="112"/>
    <x v="0"/>
  </r>
  <r>
    <x v="399"/>
    <x v="4"/>
    <x v="2"/>
    <s v="Яковлев С.Д."/>
    <x v="15"/>
    <x v="5"/>
    <x v="3"/>
    <x v="19"/>
    <x v="0"/>
    <n v="314.15999999999997"/>
    <n v="658.49"/>
    <n v="1120"/>
    <n v="0"/>
    <n v="1120"/>
    <n v="0.1"/>
    <n v="112"/>
    <x v="0"/>
  </r>
  <r>
    <x v="400"/>
    <x v="5"/>
    <x v="3"/>
    <m/>
    <x v="16"/>
    <x v="6"/>
    <x v="4"/>
    <x v="87"/>
    <x v="1"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6">
  <r>
    <n v="1"/>
    <x v="0"/>
    <x v="0"/>
    <x v="0"/>
    <n v="163.13"/>
    <n v="507.46"/>
    <n v="762"/>
    <n v="0"/>
    <n v="762"/>
    <n v="114.3"/>
  </r>
  <r>
    <n v="2"/>
    <x v="1"/>
    <x v="0"/>
    <x v="0"/>
    <n v="163.13"/>
    <n v="507.46"/>
    <n v="762"/>
    <n v="0"/>
    <n v="762"/>
    <n v="114.3"/>
  </r>
  <r>
    <n v="3"/>
    <x v="2"/>
    <x v="0"/>
    <x v="0"/>
    <n v="163.13"/>
    <n v="507.46"/>
    <n v="762"/>
    <n v="0"/>
    <n v="762"/>
    <n v="114.3"/>
  </r>
  <r>
    <n v="4"/>
    <x v="2"/>
    <x v="0"/>
    <x v="0"/>
    <n v="163.13"/>
    <n v="507.46"/>
    <n v="762"/>
    <n v="0"/>
    <n v="762"/>
    <n v="114.3"/>
  </r>
  <r>
    <n v="5"/>
    <x v="2"/>
    <x v="0"/>
    <x v="0"/>
    <n v="163.13"/>
    <n v="507.46"/>
    <n v="762"/>
    <n v="0"/>
    <n v="762"/>
    <n v="114.3"/>
  </r>
  <r>
    <n v="6"/>
    <x v="2"/>
    <x v="0"/>
    <x v="0"/>
    <n v="163.13"/>
    <n v="507.46"/>
    <n v="762"/>
    <n v="0"/>
    <n v="762"/>
    <n v="114.3"/>
  </r>
  <r>
    <n v="7"/>
    <x v="2"/>
    <x v="0"/>
    <x v="0"/>
    <n v="163.13"/>
    <n v="507.46"/>
    <n v="762"/>
    <n v="0"/>
    <n v="762"/>
    <n v="114.3"/>
  </r>
  <r>
    <n v="8"/>
    <x v="1"/>
    <x v="0"/>
    <x v="0"/>
    <n v="163.13"/>
    <n v="507.46"/>
    <n v="762"/>
    <n v="0"/>
    <n v="762"/>
    <n v="114.3"/>
  </r>
  <r>
    <n v="9"/>
    <x v="0"/>
    <x v="0"/>
    <x v="0"/>
    <n v="163.13"/>
    <n v="507.46"/>
    <n v="762"/>
    <n v="0"/>
    <n v="762"/>
    <n v="114.3"/>
  </r>
  <r>
    <n v="10"/>
    <x v="2"/>
    <x v="0"/>
    <x v="0"/>
    <n v="163.13"/>
    <n v="507.46"/>
    <n v="762"/>
    <n v="0"/>
    <n v="762"/>
    <n v="114.3"/>
  </r>
  <r>
    <n v="11"/>
    <x v="1"/>
    <x v="0"/>
    <x v="0"/>
    <n v="163.13"/>
    <n v="507.46"/>
    <n v="762"/>
    <n v="0"/>
    <n v="762"/>
    <n v="114.3"/>
  </r>
  <r>
    <n v="12"/>
    <x v="0"/>
    <x v="0"/>
    <x v="1"/>
    <n v="97.2"/>
    <n v="441.53"/>
    <n v="619"/>
    <n v="0"/>
    <n v="619"/>
    <n v="92.85"/>
  </r>
  <r>
    <n v="13"/>
    <x v="2"/>
    <x v="0"/>
    <x v="1"/>
    <n v="97.2"/>
    <n v="441.53"/>
    <n v="619"/>
    <n v="0"/>
    <n v="619"/>
    <n v="92.85"/>
  </r>
  <r>
    <n v="14"/>
    <x v="2"/>
    <x v="0"/>
    <x v="1"/>
    <n v="97.2"/>
    <n v="441.53"/>
    <n v="619"/>
    <n v="0.02"/>
    <n v="607"/>
    <n v="91.05"/>
  </r>
  <r>
    <n v="15"/>
    <x v="1"/>
    <x v="0"/>
    <x v="1"/>
    <n v="97.2"/>
    <n v="441.53"/>
    <n v="619"/>
    <n v="0"/>
    <n v="619"/>
    <n v="92.85"/>
  </r>
  <r>
    <n v="16"/>
    <x v="2"/>
    <x v="0"/>
    <x v="1"/>
    <n v="97.2"/>
    <n v="441.53"/>
    <n v="619"/>
    <n v="0.05"/>
    <n v="589"/>
    <n v="88.35"/>
  </r>
  <r>
    <n v="17"/>
    <x v="2"/>
    <x v="0"/>
    <x v="1"/>
    <n v="97.2"/>
    <n v="441.53"/>
    <n v="619"/>
    <n v="0"/>
    <n v="619"/>
    <n v="92.85"/>
  </r>
  <r>
    <n v="18"/>
    <x v="2"/>
    <x v="0"/>
    <x v="1"/>
    <n v="97.2"/>
    <n v="441.53"/>
    <n v="619"/>
    <n v="0"/>
    <n v="619"/>
    <n v="92.85"/>
  </r>
  <r>
    <n v="19"/>
    <x v="2"/>
    <x v="0"/>
    <x v="1"/>
    <n v="97.2"/>
    <n v="441.53"/>
    <n v="619"/>
    <n v="0"/>
    <n v="619"/>
    <n v="92.85"/>
  </r>
  <r>
    <n v="20"/>
    <x v="1"/>
    <x v="0"/>
    <x v="1"/>
    <n v="97.2"/>
    <n v="441.53"/>
    <n v="619"/>
    <n v="0"/>
    <n v="619"/>
    <n v="92.85"/>
  </r>
  <r>
    <n v="21"/>
    <x v="1"/>
    <x v="0"/>
    <x v="1"/>
    <n v="97.2"/>
    <n v="441.53"/>
    <n v="619"/>
    <n v="0"/>
    <n v="619"/>
    <n v="92.85"/>
  </r>
  <r>
    <n v="22"/>
    <x v="1"/>
    <x v="0"/>
    <x v="1"/>
    <n v="97.2"/>
    <n v="441.53"/>
    <n v="619"/>
    <n v="0"/>
    <n v="619"/>
    <n v="92.85"/>
  </r>
  <r>
    <n v="23"/>
    <x v="0"/>
    <x v="0"/>
    <x v="1"/>
    <n v="97.2"/>
    <n v="441.53"/>
    <n v="619"/>
    <n v="0"/>
    <n v="619"/>
    <n v="92.85"/>
  </r>
  <r>
    <n v="24"/>
    <x v="1"/>
    <x v="0"/>
    <x v="1"/>
    <n v="97.2"/>
    <n v="441.53"/>
    <n v="619"/>
    <n v="0"/>
    <n v="619"/>
    <n v="92.85"/>
  </r>
  <r>
    <n v="25"/>
    <x v="2"/>
    <x v="0"/>
    <x v="1"/>
    <n v="97.2"/>
    <n v="441.53"/>
    <n v="619"/>
    <n v="0"/>
    <n v="619"/>
    <n v="92.85"/>
  </r>
  <r>
    <n v="26"/>
    <x v="2"/>
    <x v="0"/>
    <x v="1"/>
    <n v="97.2"/>
    <n v="441.53"/>
    <n v="619"/>
    <n v="0"/>
    <n v="619"/>
    <n v="92.85"/>
  </r>
  <r>
    <n v="27"/>
    <x v="1"/>
    <x v="0"/>
    <x v="1"/>
    <n v="97.2"/>
    <n v="441.53"/>
    <n v="619"/>
    <n v="0"/>
    <n v="619"/>
    <n v="92.85"/>
  </r>
  <r>
    <n v="28"/>
    <x v="0"/>
    <x v="0"/>
    <x v="1"/>
    <n v="97.2"/>
    <n v="441.53"/>
    <n v="619"/>
    <n v="0"/>
    <n v="619"/>
    <n v="92.85"/>
  </r>
  <r>
    <n v="29"/>
    <x v="1"/>
    <x v="0"/>
    <x v="1"/>
    <n v="97.2"/>
    <n v="441.53"/>
    <n v="619"/>
    <n v="0"/>
    <n v="619"/>
    <n v="92.85"/>
  </r>
  <r>
    <n v="30"/>
    <x v="1"/>
    <x v="0"/>
    <x v="1"/>
    <n v="97.2"/>
    <n v="441.53"/>
    <n v="619"/>
    <n v="0"/>
    <n v="619"/>
    <n v="92.85"/>
  </r>
  <r>
    <n v="31"/>
    <x v="2"/>
    <x v="0"/>
    <x v="1"/>
    <n v="97.2"/>
    <n v="441.53"/>
    <n v="619"/>
    <n v="0"/>
    <n v="619"/>
    <n v="92.85"/>
  </r>
  <r>
    <n v="32"/>
    <x v="1"/>
    <x v="0"/>
    <x v="1"/>
    <n v="97.2"/>
    <n v="441.53"/>
    <n v="619"/>
    <n v="0"/>
    <n v="619"/>
    <n v="92.85"/>
  </r>
  <r>
    <n v="33"/>
    <x v="2"/>
    <x v="0"/>
    <x v="1"/>
    <n v="97.2"/>
    <n v="441.53"/>
    <n v="619"/>
    <n v="0"/>
    <n v="619"/>
    <n v="92.85"/>
  </r>
  <r>
    <n v="34"/>
    <x v="1"/>
    <x v="0"/>
    <x v="1"/>
    <n v="97.2"/>
    <n v="441.53"/>
    <n v="619"/>
    <n v="0"/>
    <n v="619"/>
    <n v="92.85"/>
  </r>
  <r>
    <n v="35"/>
    <x v="0"/>
    <x v="0"/>
    <x v="2"/>
    <n v="119.43"/>
    <n v="463.76"/>
    <n v="696"/>
    <n v="0"/>
    <n v="696"/>
    <n v="104.39999999999999"/>
  </r>
  <r>
    <n v="36"/>
    <x v="1"/>
    <x v="0"/>
    <x v="2"/>
    <n v="119.43"/>
    <n v="463.76"/>
    <n v="696"/>
    <n v="0"/>
    <n v="696"/>
    <n v="104.39999999999999"/>
  </r>
  <r>
    <n v="37"/>
    <x v="0"/>
    <x v="0"/>
    <x v="2"/>
    <n v="119.43"/>
    <n v="463.76"/>
    <n v="696"/>
    <n v="0"/>
    <n v="696"/>
    <n v="104.39999999999999"/>
  </r>
  <r>
    <n v="38"/>
    <x v="1"/>
    <x v="0"/>
    <x v="2"/>
    <n v="119.43"/>
    <n v="463.76"/>
    <n v="696"/>
    <n v="0"/>
    <n v="696"/>
    <n v="104.39999999999999"/>
  </r>
  <r>
    <n v="39"/>
    <x v="1"/>
    <x v="0"/>
    <x v="3"/>
    <n v="109.24000000000001"/>
    <n v="453.57"/>
    <n v="681"/>
    <n v="0"/>
    <n v="681"/>
    <n v="102.14999999999999"/>
  </r>
  <r>
    <n v="40"/>
    <x v="0"/>
    <x v="0"/>
    <x v="3"/>
    <n v="109.24000000000001"/>
    <n v="453.57"/>
    <n v="681"/>
    <n v="0"/>
    <n v="681"/>
    <n v="102.14999999999999"/>
  </r>
  <r>
    <n v="41"/>
    <x v="2"/>
    <x v="0"/>
    <x v="3"/>
    <n v="109.24000000000001"/>
    <n v="453.57"/>
    <n v="681"/>
    <n v="0"/>
    <n v="681"/>
    <n v="102.14999999999999"/>
  </r>
  <r>
    <n v="42"/>
    <x v="0"/>
    <x v="0"/>
    <x v="3"/>
    <n v="109.24000000000001"/>
    <n v="453.57"/>
    <n v="681"/>
    <n v="0"/>
    <n v="681"/>
    <n v="102.14999999999999"/>
  </r>
  <r>
    <n v="43"/>
    <x v="0"/>
    <x v="0"/>
    <x v="3"/>
    <n v="109.24000000000001"/>
    <n v="453.57"/>
    <n v="681"/>
    <n v="0"/>
    <n v="681"/>
    <n v="102.14999999999999"/>
  </r>
  <r>
    <n v="44"/>
    <x v="2"/>
    <x v="0"/>
    <x v="3"/>
    <n v="109.24000000000001"/>
    <n v="453.57"/>
    <n v="681"/>
    <n v="0"/>
    <n v="681"/>
    <n v="102.14999999999999"/>
  </r>
  <r>
    <n v="45"/>
    <x v="1"/>
    <x v="0"/>
    <x v="4"/>
    <n v="131.76999999999998"/>
    <n v="476.09999999999997"/>
    <n v="715"/>
    <n v="0"/>
    <n v="715"/>
    <n v="107.25"/>
  </r>
  <r>
    <n v="46"/>
    <x v="1"/>
    <x v="0"/>
    <x v="4"/>
    <n v="131.76999999999998"/>
    <n v="476.09999999999997"/>
    <n v="715"/>
    <n v="0.05"/>
    <n v="680"/>
    <n v="102"/>
  </r>
  <r>
    <n v="47"/>
    <x v="2"/>
    <x v="0"/>
    <x v="4"/>
    <n v="131.76999999999998"/>
    <n v="476.09999999999997"/>
    <n v="715"/>
    <n v="0"/>
    <n v="715"/>
    <n v="107.25"/>
  </r>
  <r>
    <n v="48"/>
    <x v="2"/>
    <x v="0"/>
    <x v="4"/>
    <n v="131.76999999999998"/>
    <n v="476.09999999999997"/>
    <n v="715"/>
    <n v="0"/>
    <n v="715"/>
    <n v="107.25"/>
  </r>
  <r>
    <n v="49"/>
    <x v="0"/>
    <x v="0"/>
    <x v="4"/>
    <n v="131.76999999999998"/>
    <n v="476.09999999999997"/>
    <n v="715"/>
    <n v="0"/>
    <n v="715"/>
    <n v="107.25"/>
  </r>
  <r>
    <n v="50"/>
    <x v="0"/>
    <x v="0"/>
    <x v="4"/>
    <n v="131.76999999999998"/>
    <n v="476.09999999999997"/>
    <n v="715"/>
    <n v="0"/>
    <n v="715"/>
    <n v="107.25"/>
  </r>
  <r>
    <n v="51"/>
    <x v="2"/>
    <x v="0"/>
    <x v="4"/>
    <n v="131.76999999999998"/>
    <n v="476.09999999999997"/>
    <n v="715"/>
    <n v="0"/>
    <n v="715"/>
    <n v="107.25"/>
  </r>
  <r>
    <n v="52"/>
    <x v="0"/>
    <x v="0"/>
    <x v="4"/>
    <n v="131.76999999999998"/>
    <n v="476.09999999999997"/>
    <n v="715"/>
    <n v="0"/>
    <n v="715"/>
    <n v="107.25"/>
  </r>
  <r>
    <n v="53"/>
    <x v="0"/>
    <x v="0"/>
    <x v="4"/>
    <n v="131.76999999999998"/>
    <n v="476.09999999999997"/>
    <n v="715"/>
    <n v="0"/>
    <n v="715"/>
    <n v="107.25"/>
  </r>
  <r>
    <n v="54"/>
    <x v="2"/>
    <x v="0"/>
    <x v="4"/>
    <n v="131.76999999999998"/>
    <n v="476.09999999999997"/>
    <n v="715"/>
    <n v="0"/>
    <n v="715"/>
    <n v="107.25"/>
  </r>
  <r>
    <n v="55"/>
    <x v="1"/>
    <x v="0"/>
    <x v="4"/>
    <n v="131.76999999999998"/>
    <n v="476.09999999999997"/>
    <n v="715"/>
    <n v="0"/>
    <n v="715"/>
    <n v="107.25"/>
  </r>
  <r>
    <n v="56"/>
    <x v="0"/>
    <x v="0"/>
    <x v="4"/>
    <n v="131.76999999999998"/>
    <n v="476.09999999999997"/>
    <n v="715"/>
    <n v="0"/>
    <n v="715"/>
    <n v="107.25"/>
  </r>
  <r>
    <n v="57"/>
    <x v="1"/>
    <x v="0"/>
    <x v="4"/>
    <n v="131.76999999999998"/>
    <n v="476.09999999999997"/>
    <n v="715"/>
    <n v="0"/>
    <n v="715"/>
    <n v="107.25"/>
  </r>
  <r>
    <n v="58"/>
    <x v="1"/>
    <x v="0"/>
    <x v="4"/>
    <n v="131.76999999999998"/>
    <n v="476.09999999999997"/>
    <n v="715"/>
    <n v="0"/>
    <n v="715"/>
    <n v="107.25"/>
  </r>
  <r>
    <n v="59"/>
    <x v="1"/>
    <x v="0"/>
    <x v="4"/>
    <n v="131.76999999999998"/>
    <n v="476.09999999999997"/>
    <n v="715"/>
    <n v="0"/>
    <n v="715"/>
    <n v="107.25"/>
  </r>
  <r>
    <n v="60"/>
    <x v="1"/>
    <x v="0"/>
    <x v="4"/>
    <n v="131.76999999999998"/>
    <n v="476.09999999999997"/>
    <n v="715"/>
    <n v="0"/>
    <n v="715"/>
    <n v="107.25"/>
  </r>
  <r>
    <n v="61"/>
    <x v="1"/>
    <x v="0"/>
    <x v="4"/>
    <n v="131.76999999999998"/>
    <n v="476.09999999999997"/>
    <n v="715"/>
    <n v="0"/>
    <n v="715"/>
    <n v="107.25"/>
  </r>
  <r>
    <n v="62"/>
    <x v="1"/>
    <x v="0"/>
    <x v="5"/>
    <n v="314.15999999999997"/>
    <n v="658.49"/>
    <n v="1120"/>
    <n v="0"/>
    <n v="1120"/>
    <n v="168"/>
  </r>
  <r>
    <n v="63"/>
    <x v="1"/>
    <x v="0"/>
    <x v="5"/>
    <n v="314.15999999999997"/>
    <n v="658.49"/>
    <n v="1120"/>
    <n v="0"/>
    <n v="1120"/>
    <n v="168"/>
  </r>
  <r>
    <n v="64"/>
    <x v="2"/>
    <x v="0"/>
    <x v="5"/>
    <n v="314.15999999999997"/>
    <n v="658.49"/>
    <n v="1120"/>
    <n v="0"/>
    <n v="1120"/>
    <n v="168"/>
  </r>
  <r>
    <n v="65"/>
    <x v="0"/>
    <x v="0"/>
    <x v="5"/>
    <n v="314.15999999999997"/>
    <n v="658.49"/>
    <n v="1120"/>
    <n v="0"/>
    <n v="1120"/>
    <n v="168"/>
  </r>
  <r>
    <n v="66"/>
    <x v="1"/>
    <x v="0"/>
    <x v="5"/>
    <n v="314.15999999999997"/>
    <n v="658.49"/>
    <n v="1120"/>
    <n v="0"/>
    <n v="1120"/>
    <n v="168"/>
  </r>
  <r>
    <n v="154"/>
    <x v="2"/>
    <x v="1"/>
    <x v="0"/>
    <n v="163.13"/>
    <n v="507.46"/>
    <n v="762"/>
    <n v="0"/>
    <n v="762"/>
    <n v="114.3"/>
  </r>
  <r>
    <n v="155"/>
    <x v="2"/>
    <x v="1"/>
    <x v="0"/>
    <n v="163.13"/>
    <n v="507.46"/>
    <n v="762"/>
    <n v="0"/>
    <n v="762"/>
    <n v="114.3"/>
  </r>
  <r>
    <n v="156"/>
    <x v="2"/>
    <x v="1"/>
    <x v="0"/>
    <n v="163.13"/>
    <n v="507.46"/>
    <n v="762"/>
    <n v="0"/>
    <n v="762"/>
    <n v="114.3"/>
  </r>
  <r>
    <n v="157"/>
    <x v="2"/>
    <x v="1"/>
    <x v="0"/>
    <n v="163.13"/>
    <n v="507.46"/>
    <n v="762"/>
    <n v="0"/>
    <n v="762"/>
    <n v="114.3"/>
  </r>
  <r>
    <n v="158"/>
    <x v="1"/>
    <x v="1"/>
    <x v="0"/>
    <n v="163.13"/>
    <n v="507.46"/>
    <n v="762"/>
    <n v="0"/>
    <n v="762"/>
    <n v="114.3"/>
  </r>
  <r>
    <n v="159"/>
    <x v="1"/>
    <x v="1"/>
    <x v="0"/>
    <n v="163.13"/>
    <n v="507.46"/>
    <n v="762"/>
    <n v="0"/>
    <n v="762"/>
    <n v="114.3"/>
  </r>
  <r>
    <n v="160"/>
    <x v="2"/>
    <x v="1"/>
    <x v="0"/>
    <n v="163.13"/>
    <n v="507.46"/>
    <n v="762"/>
    <n v="0"/>
    <n v="762"/>
    <n v="114.3"/>
  </r>
  <r>
    <n v="161"/>
    <x v="0"/>
    <x v="1"/>
    <x v="0"/>
    <n v="163.13"/>
    <n v="507.46"/>
    <n v="762"/>
    <n v="0"/>
    <n v="762"/>
    <n v="114.3"/>
  </r>
  <r>
    <n v="162"/>
    <x v="0"/>
    <x v="1"/>
    <x v="0"/>
    <n v="163.13"/>
    <n v="507.46"/>
    <n v="762"/>
    <n v="0"/>
    <n v="762"/>
    <n v="114.3"/>
  </r>
  <r>
    <n v="163"/>
    <x v="0"/>
    <x v="1"/>
    <x v="0"/>
    <n v="163.13"/>
    <n v="507.46"/>
    <n v="762"/>
    <n v="0"/>
    <n v="762"/>
    <n v="114.3"/>
  </r>
  <r>
    <n v="164"/>
    <x v="0"/>
    <x v="1"/>
    <x v="0"/>
    <n v="163.13"/>
    <n v="507.46"/>
    <n v="762"/>
    <n v="0"/>
    <n v="762"/>
    <n v="114.3"/>
  </r>
  <r>
    <n v="165"/>
    <x v="0"/>
    <x v="1"/>
    <x v="0"/>
    <n v="163.13"/>
    <n v="507.46"/>
    <n v="762"/>
    <n v="0"/>
    <n v="762"/>
    <n v="114.3"/>
  </r>
  <r>
    <n v="166"/>
    <x v="0"/>
    <x v="1"/>
    <x v="0"/>
    <n v="163.13"/>
    <n v="507.46"/>
    <n v="762"/>
    <n v="0"/>
    <n v="762"/>
    <n v="114.3"/>
  </r>
  <r>
    <n v="167"/>
    <x v="1"/>
    <x v="1"/>
    <x v="0"/>
    <n v="163.13"/>
    <n v="507.46"/>
    <n v="762"/>
    <n v="0"/>
    <n v="762"/>
    <n v="114.3"/>
  </r>
  <r>
    <n v="168"/>
    <x v="1"/>
    <x v="1"/>
    <x v="0"/>
    <n v="163.13"/>
    <n v="507.46"/>
    <n v="762"/>
    <n v="0"/>
    <n v="762"/>
    <n v="114.3"/>
  </r>
  <r>
    <n v="169"/>
    <x v="1"/>
    <x v="1"/>
    <x v="0"/>
    <n v="163.13"/>
    <n v="507.46"/>
    <n v="762"/>
    <n v="0"/>
    <n v="762"/>
    <n v="114.3"/>
  </r>
  <r>
    <n v="170"/>
    <x v="1"/>
    <x v="1"/>
    <x v="1"/>
    <n v="97.2"/>
    <n v="441.53"/>
    <n v="619"/>
    <n v="0"/>
    <n v="619"/>
    <n v="92.85"/>
  </r>
  <r>
    <n v="171"/>
    <x v="1"/>
    <x v="1"/>
    <x v="1"/>
    <n v="97.2"/>
    <n v="441.53"/>
    <n v="619"/>
    <n v="0"/>
    <n v="619"/>
    <n v="92.85"/>
  </r>
  <r>
    <n v="172"/>
    <x v="2"/>
    <x v="1"/>
    <x v="1"/>
    <n v="97.2"/>
    <n v="441.53"/>
    <n v="619"/>
    <n v="0"/>
    <n v="619"/>
    <n v="92.85"/>
  </r>
  <r>
    <n v="173"/>
    <x v="2"/>
    <x v="1"/>
    <x v="1"/>
    <n v="97.2"/>
    <n v="441.53"/>
    <n v="619"/>
    <n v="0"/>
    <n v="619"/>
    <n v="92.85"/>
  </r>
  <r>
    <n v="174"/>
    <x v="1"/>
    <x v="1"/>
    <x v="1"/>
    <n v="97.2"/>
    <n v="441.53"/>
    <n v="619"/>
    <n v="0"/>
    <n v="619"/>
    <n v="92.85"/>
  </r>
  <r>
    <n v="175"/>
    <x v="1"/>
    <x v="1"/>
    <x v="1"/>
    <n v="97.2"/>
    <n v="441.53"/>
    <n v="619"/>
    <n v="0"/>
    <n v="619"/>
    <n v="92.85"/>
  </r>
  <r>
    <n v="176"/>
    <x v="1"/>
    <x v="1"/>
    <x v="1"/>
    <n v="97.2"/>
    <n v="441.53"/>
    <n v="619"/>
    <n v="0"/>
    <n v="619"/>
    <n v="92.85"/>
  </r>
  <r>
    <n v="177"/>
    <x v="2"/>
    <x v="1"/>
    <x v="1"/>
    <n v="97.2"/>
    <n v="441.53"/>
    <n v="619"/>
    <n v="0"/>
    <n v="619"/>
    <n v="92.85"/>
  </r>
  <r>
    <n v="178"/>
    <x v="0"/>
    <x v="1"/>
    <x v="1"/>
    <n v="97.2"/>
    <n v="441.53"/>
    <n v="619"/>
    <n v="0"/>
    <n v="619"/>
    <n v="92.85"/>
  </r>
  <r>
    <n v="179"/>
    <x v="2"/>
    <x v="1"/>
    <x v="1"/>
    <n v="97.2"/>
    <n v="441.53"/>
    <n v="619"/>
    <n v="0"/>
    <n v="619"/>
    <n v="92.85"/>
  </r>
  <r>
    <n v="180"/>
    <x v="2"/>
    <x v="1"/>
    <x v="1"/>
    <n v="97.2"/>
    <n v="441.53"/>
    <n v="619"/>
    <n v="0"/>
    <n v="619"/>
    <n v="92.85"/>
  </r>
  <r>
    <n v="181"/>
    <x v="1"/>
    <x v="1"/>
    <x v="1"/>
    <n v="97.2"/>
    <n v="441.53"/>
    <n v="619"/>
    <n v="0"/>
    <n v="619"/>
    <n v="92.85"/>
  </r>
  <r>
    <n v="182"/>
    <x v="0"/>
    <x v="1"/>
    <x v="1"/>
    <n v="97.2"/>
    <n v="441.53"/>
    <n v="619"/>
    <n v="0"/>
    <n v="619"/>
    <n v="92.85"/>
  </r>
  <r>
    <n v="183"/>
    <x v="2"/>
    <x v="1"/>
    <x v="1"/>
    <n v="97.2"/>
    <n v="441.53"/>
    <n v="619"/>
    <n v="0"/>
    <n v="619"/>
    <n v="92.85"/>
  </r>
  <r>
    <n v="184"/>
    <x v="0"/>
    <x v="1"/>
    <x v="1"/>
    <n v="97.2"/>
    <n v="441.53"/>
    <n v="619"/>
    <n v="0"/>
    <n v="619"/>
    <n v="92.85"/>
  </r>
  <r>
    <n v="185"/>
    <x v="1"/>
    <x v="1"/>
    <x v="1"/>
    <n v="97.2"/>
    <n v="441.53"/>
    <n v="619"/>
    <n v="0"/>
    <n v="619"/>
    <n v="92.85"/>
  </r>
  <r>
    <n v="186"/>
    <x v="1"/>
    <x v="1"/>
    <x v="1"/>
    <n v="97.2"/>
    <n v="441.53"/>
    <n v="619"/>
    <n v="0"/>
    <n v="619"/>
    <n v="92.85"/>
  </r>
  <r>
    <n v="187"/>
    <x v="2"/>
    <x v="1"/>
    <x v="1"/>
    <n v="97.2"/>
    <n v="441.53"/>
    <n v="619"/>
    <n v="0"/>
    <n v="619"/>
    <n v="92.85"/>
  </r>
  <r>
    <n v="188"/>
    <x v="0"/>
    <x v="1"/>
    <x v="1"/>
    <n v="97.2"/>
    <n v="441.53"/>
    <n v="619"/>
    <n v="0"/>
    <n v="619"/>
    <n v="92.85"/>
  </r>
  <r>
    <n v="189"/>
    <x v="0"/>
    <x v="1"/>
    <x v="1"/>
    <n v="97.2"/>
    <n v="441.53"/>
    <n v="619"/>
    <n v="0"/>
    <n v="619"/>
    <n v="92.85"/>
  </r>
  <r>
    <n v="190"/>
    <x v="2"/>
    <x v="1"/>
    <x v="1"/>
    <n v="97.2"/>
    <n v="441.53"/>
    <n v="619"/>
    <n v="0"/>
    <n v="619"/>
    <n v="92.85"/>
  </r>
  <r>
    <n v="191"/>
    <x v="0"/>
    <x v="1"/>
    <x v="1"/>
    <n v="97.2"/>
    <n v="441.53"/>
    <n v="619"/>
    <n v="0"/>
    <n v="619"/>
    <n v="92.85"/>
  </r>
  <r>
    <n v="192"/>
    <x v="1"/>
    <x v="1"/>
    <x v="1"/>
    <n v="97.2"/>
    <n v="441.53"/>
    <n v="619"/>
    <n v="0.03"/>
    <n v="601"/>
    <n v="90.149999999999991"/>
  </r>
  <r>
    <n v="193"/>
    <x v="2"/>
    <x v="1"/>
    <x v="2"/>
    <n v="119.43"/>
    <n v="463.76"/>
    <n v="696"/>
    <n v="0"/>
    <n v="696"/>
    <n v="104.39999999999999"/>
  </r>
  <r>
    <n v="194"/>
    <x v="0"/>
    <x v="1"/>
    <x v="2"/>
    <n v="119.43"/>
    <n v="463.76"/>
    <n v="696"/>
    <n v="0"/>
    <n v="696"/>
    <n v="104.39999999999999"/>
  </r>
  <r>
    <n v="195"/>
    <x v="0"/>
    <x v="1"/>
    <x v="2"/>
    <n v="119.43"/>
    <n v="463.76"/>
    <n v="696"/>
    <n v="0"/>
    <n v="696"/>
    <n v="104.39999999999999"/>
  </r>
  <r>
    <n v="196"/>
    <x v="2"/>
    <x v="1"/>
    <x v="2"/>
    <n v="119.43"/>
    <n v="463.76"/>
    <n v="696"/>
    <n v="0"/>
    <n v="696"/>
    <n v="104.39999999999999"/>
  </r>
  <r>
    <n v="197"/>
    <x v="0"/>
    <x v="1"/>
    <x v="2"/>
    <n v="119.43"/>
    <n v="463.76"/>
    <n v="696"/>
    <n v="0"/>
    <n v="696"/>
    <n v="104.39999999999999"/>
  </r>
  <r>
    <n v="198"/>
    <x v="0"/>
    <x v="1"/>
    <x v="2"/>
    <n v="119.43"/>
    <n v="463.76"/>
    <n v="696"/>
    <n v="0"/>
    <n v="696"/>
    <n v="104.39999999999999"/>
  </r>
  <r>
    <n v="199"/>
    <x v="2"/>
    <x v="1"/>
    <x v="2"/>
    <n v="119.43"/>
    <n v="463.76"/>
    <n v="696"/>
    <n v="0"/>
    <n v="696"/>
    <n v="104.39999999999999"/>
  </r>
  <r>
    <n v="200"/>
    <x v="2"/>
    <x v="1"/>
    <x v="2"/>
    <n v="119.43"/>
    <n v="463.76"/>
    <n v="696"/>
    <n v="0"/>
    <n v="696"/>
    <n v="104.39999999999999"/>
  </r>
  <r>
    <n v="201"/>
    <x v="2"/>
    <x v="1"/>
    <x v="2"/>
    <n v="119.43"/>
    <n v="463.76"/>
    <n v="696"/>
    <n v="0"/>
    <n v="696"/>
    <n v="104.39999999999999"/>
  </r>
  <r>
    <n v="202"/>
    <x v="0"/>
    <x v="1"/>
    <x v="2"/>
    <n v="119.43"/>
    <n v="463.76"/>
    <n v="696"/>
    <n v="0"/>
    <n v="696"/>
    <n v="104.39999999999999"/>
  </r>
  <r>
    <n v="203"/>
    <x v="0"/>
    <x v="1"/>
    <x v="2"/>
    <n v="119.43"/>
    <n v="463.76"/>
    <n v="696"/>
    <n v="0"/>
    <n v="696"/>
    <n v="104.39999999999999"/>
  </r>
  <r>
    <n v="204"/>
    <x v="2"/>
    <x v="1"/>
    <x v="2"/>
    <n v="119.43"/>
    <n v="463.76"/>
    <n v="696"/>
    <n v="0.03"/>
    <n v="676"/>
    <n v="101.39999999999999"/>
  </r>
  <r>
    <n v="205"/>
    <x v="2"/>
    <x v="1"/>
    <x v="2"/>
    <n v="119.43"/>
    <n v="463.76"/>
    <n v="696"/>
    <n v="0"/>
    <n v="696"/>
    <n v="104.39999999999999"/>
  </r>
  <r>
    <n v="206"/>
    <x v="0"/>
    <x v="1"/>
    <x v="3"/>
    <n v="109.24000000000001"/>
    <n v="453.57"/>
    <n v="681"/>
    <n v="0"/>
    <n v="681"/>
    <n v="102.14999999999999"/>
  </r>
  <r>
    <n v="207"/>
    <x v="0"/>
    <x v="1"/>
    <x v="3"/>
    <n v="109.24000000000001"/>
    <n v="453.57"/>
    <n v="681"/>
    <n v="0"/>
    <n v="681"/>
    <n v="102.14999999999999"/>
  </r>
  <r>
    <n v="208"/>
    <x v="1"/>
    <x v="1"/>
    <x v="3"/>
    <n v="109.24000000000001"/>
    <n v="453.57"/>
    <n v="681"/>
    <n v="0"/>
    <n v="681"/>
    <n v="102.14999999999999"/>
  </r>
  <r>
    <n v="209"/>
    <x v="0"/>
    <x v="1"/>
    <x v="3"/>
    <n v="109.24000000000001"/>
    <n v="453.57"/>
    <n v="681"/>
    <n v="0.05"/>
    <n v="647"/>
    <n v="97.05"/>
  </r>
  <r>
    <n v="210"/>
    <x v="2"/>
    <x v="1"/>
    <x v="3"/>
    <n v="109.24000000000001"/>
    <n v="453.57"/>
    <n v="681"/>
    <n v="0"/>
    <n v="681"/>
    <n v="102.14999999999999"/>
  </r>
  <r>
    <n v="211"/>
    <x v="2"/>
    <x v="1"/>
    <x v="3"/>
    <n v="109.24000000000001"/>
    <n v="453.57"/>
    <n v="681"/>
    <n v="0"/>
    <n v="681"/>
    <n v="102.14999999999999"/>
  </r>
  <r>
    <n v="212"/>
    <x v="1"/>
    <x v="1"/>
    <x v="3"/>
    <n v="109.24000000000001"/>
    <n v="453.57"/>
    <n v="681"/>
    <n v="0"/>
    <n v="681"/>
    <n v="102.14999999999999"/>
  </r>
  <r>
    <n v="213"/>
    <x v="2"/>
    <x v="1"/>
    <x v="3"/>
    <n v="109.24000000000001"/>
    <n v="453.57"/>
    <n v="681"/>
    <n v="0"/>
    <n v="681"/>
    <n v="102.14999999999999"/>
  </r>
  <r>
    <n v="214"/>
    <x v="0"/>
    <x v="1"/>
    <x v="3"/>
    <n v="109.24000000000001"/>
    <n v="453.57"/>
    <n v="681"/>
    <n v="0"/>
    <n v="681"/>
    <n v="102.14999999999999"/>
  </r>
  <r>
    <n v="215"/>
    <x v="0"/>
    <x v="1"/>
    <x v="3"/>
    <n v="109.24000000000001"/>
    <n v="453.57"/>
    <n v="681"/>
    <n v="0"/>
    <n v="681"/>
    <n v="102.14999999999999"/>
  </r>
  <r>
    <n v="216"/>
    <x v="1"/>
    <x v="1"/>
    <x v="3"/>
    <n v="109.24000000000001"/>
    <n v="453.57"/>
    <n v="681"/>
    <n v="0"/>
    <n v="681"/>
    <n v="102.14999999999999"/>
  </r>
  <r>
    <n v="217"/>
    <x v="0"/>
    <x v="1"/>
    <x v="3"/>
    <n v="109.24000000000001"/>
    <n v="453.57"/>
    <n v="681"/>
    <n v="0"/>
    <n v="681"/>
    <n v="102.14999999999999"/>
  </r>
  <r>
    <n v="218"/>
    <x v="1"/>
    <x v="1"/>
    <x v="3"/>
    <n v="109.24000000000001"/>
    <n v="453.57"/>
    <n v="681"/>
    <n v="0"/>
    <n v="681"/>
    <n v="102.14999999999999"/>
  </r>
  <r>
    <n v="219"/>
    <x v="1"/>
    <x v="1"/>
    <x v="4"/>
    <n v="131.76999999999998"/>
    <n v="476.09999999999997"/>
    <n v="715"/>
    <n v="0"/>
    <n v="715"/>
    <n v="107.25"/>
  </r>
  <r>
    <n v="220"/>
    <x v="2"/>
    <x v="1"/>
    <x v="4"/>
    <n v="131.76999999999998"/>
    <n v="476.09999999999997"/>
    <n v="715"/>
    <n v="0"/>
    <n v="715"/>
    <n v="107.25"/>
  </r>
  <r>
    <n v="221"/>
    <x v="2"/>
    <x v="1"/>
    <x v="4"/>
    <n v="131.76999999999998"/>
    <n v="476.09999999999997"/>
    <n v="715"/>
    <n v="0"/>
    <n v="715"/>
    <n v="107.25"/>
  </r>
  <r>
    <n v="222"/>
    <x v="2"/>
    <x v="1"/>
    <x v="4"/>
    <n v="131.76999999999998"/>
    <n v="476.09999999999997"/>
    <n v="715"/>
    <n v="0"/>
    <n v="715"/>
    <n v="107.25"/>
  </r>
  <r>
    <n v="223"/>
    <x v="0"/>
    <x v="1"/>
    <x v="4"/>
    <n v="131.76999999999998"/>
    <n v="476.09999999999997"/>
    <n v="715"/>
    <n v="0"/>
    <n v="715"/>
    <n v="107.25"/>
  </r>
  <r>
    <n v="224"/>
    <x v="2"/>
    <x v="1"/>
    <x v="4"/>
    <n v="131.76999999999998"/>
    <n v="476.09999999999997"/>
    <n v="715"/>
    <n v="0"/>
    <n v="715"/>
    <n v="107.25"/>
  </r>
  <r>
    <n v="225"/>
    <x v="2"/>
    <x v="1"/>
    <x v="4"/>
    <n v="131.76999999999998"/>
    <n v="476.09999999999997"/>
    <n v="715"/>
    <n v="0"/>
    <n v="715"/>
    <n v="107.25"/>
  </r>
  <r>
    <n v="226"/>
    <x v="2"/>
    <x v="1"/>
    <x v="4"/>
    <n v="131.76999999999998"/>
    <n v="476.09999999999997"/>
    <n v="715"/>
    <n v="0"/>
    <n v="715"/>
    <n v="107.25"/>
  </r>
  <r>
    <n v="227"/>
    <x v="0"/>
    <x v="1"/>
    <x v="4"/>
    <n v="131.76999999999998"/>
    <n v="476.09999999999997"/>
    <n v="715"/>
    <n v="0"/>
    <n v="715"/>
    <n v="107.25"/>
  </r>
  <r>
    <n v="228"/>
    <x v="1"/>
    <x v="1"/>
    <x v="4"/>
    <n v="131.76999999999998"/>
    <n v="476.09999999999997"/>
    <n v="715"/>
    <n v="0"/>
    <n v="715"/>
    <n v="107.25"/>
  </r>
  <r>
    <n v="229"/>
    <x v="0"/>
    <x v="1"/>
    <x v="4"/>
    <n v="131.76999999999998"/>
    <n v="476.09999999999997"/>
    <n v="715"/>
    <n v="0"/>
    <n v="715"/>
    <n v="107.25"/>
  </r>
  <r>
    <n v="230"/>
    <x v="1"/>
    <x v="1"/>
    <x v="4"/>
    <n v="131.76999999999998"/>
    <n v="476.09999999999997"/>
    <n v="715"/>
    <n v="0"/>
    <n v="715"/>
    <n v="107.25"/>
  </r>
  <r>
    <n v="231"/>
    <x v="2"/>
    <x v="1"/>
    <x v="4"/>
    <n v="131.76999999999998"/>
    <n v="476.09999999999997"/>
    <n v="715"/>
    <n v="0"/>
    <n v="715"/>
    <n v="107.25"/>
  </r>
  <r>
    <n v="232"/>
    <x v="1"/>
    <x v="1"/>
    <x v="5"/>
    <n v="314.15999999999997"/>
    <n v="658.49"/>
    <n v="1120"/>
    <n v="0"/>
    <n v="1120"/>
    <n v="168"/>
  </r>
  <r>
    <n v="233"/>
    <x v="2"/>
    <x v="1"/>
    <x v="5"/>
    <n v="314.15999999999997"/>
    <n v="658.49"/>
    <n v="1120"/>
    <n v="0"/>
    <n v="1120"/>
    <n v="168"/>
  </r>
  <r>
    <n v="234"/>
    <x v="0"/>
    <x v="1"/>
    <x v="5"/>
    <n v="314.15999999999997"/>
    <n v="658.49"/>
    <n v="1120"/>
    <n v="0"/>
    <n v="1120"/>
    <n v="168"/>
  </r>
  <r>
    <n v="235"/>
    <x v="0"/>
    <x v="1"/>
    <x v="5"/>
    <n v="314.15999999999997"/>
    <n v="658.49"/>
    <n v="1120"/>
    <n v="0"/>
    <n v="1120"/>
    <n v="168"/>
  </r>
  <r>
    <n v="236"/>
    <x v="2"/>
    <x v="1"/>
    <x v="5"/>
    <n v="314.15999999999997"/>
    <n v="658.49"/>
    <n v="1120"/>
    <n v="0"/>
    <n v="1120"/>
    <n v="168"/>
  </r>
  <r>
    <n v="237"/>
    <x v="2"/>
    <x v="1"/>
    <x v="5"/>
    <n v="314.15999999999997"/>
    <n v="658.49"/>
    <n v="1120"/>
    <n v="0"/>
    <n v="1120"/>
    <n v="168"/>
  </r>
  <r>
    <n v="238"/>
    <x v="2"/>
    <x v="1"/>
    <x v="5"/>
    <n v="314.15999999999997"/>
    <n v="658.49"/>
    <n v="1120"/>
    <n v="0"/>
    <n v="1120"/>
    <n v="168"/>
  </r>
  <r>
    <n v="239"/>
    <x v="2"/>
    <x v="1"/>
    <x v="5"/>
    <n v="314.15999999999997"/>
    <n v="658.49"/>
    <n v="1120"/>
    <n v="0"/>
    <n v="1120"/>
    <n v="168"/>
  </r>
  <r>
    <n v="240"/>
    <x v="0"/>
    <x v="1"/>
    <x v="5"/>
    <n v="314.15999999999997"/>
    <n v="658.49"/>
    <n v="1120"/>
    <n v="0"/>
    <n v="1120"/>
    <n v="168"/>
  </r>
  <r>
    <n v="241"/>
    <x v="2"/>
    <x v="1"/>
    <x v="5"/>
    <n v="314.15999999999997"/>
    <n v="658.49"/>
    <n v="1120"/>
    <n v="0"/>
    <n v="1120"/>
    <n v="168"/>
  </r>
  <r>
    <n v="242"/>
    <x v="1"/>
    <x v="1"/>
    <x v="5"/>
    <n v="314.15999999999997"/>
    <n v="658.49"/>
    <n v="1120"/>
    <n v="0"/>
    <n v="1120"/>
    <n v="168"/>
  </r>
  <r>
    <n v="243"/>
    <x v="2"/>
    <x v="1"/>
    <x v="5"/>
    <n v="314.15999999999997"/>
    <n v="658.49"/>
    <n v="1120"/>
    <n v="0"/>
    <n v="1120"/>
    <n v="16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9">
  <r>
    <n v="67"/>
    <x v="0"/>
    <x v="0"/>
    <x v="0"/>
    <n v="163.13"/>
    <n v="507.46"/>
    <n v="762"/>
    <n v="0"/>
    <n v="762"/>
    <n v="114.3"/>
  </r>
  <r>
    <n v="68"/>
    <x v="1"/>
    <x v="0"/>
    <x v="0"/>
    <n v="163.13"/>
    <n v="507.46"/>
    <n v="762"/>
    <n v="0"/>
    <n v="762"/>
    <n v="114.3"/>
  </r>
  <r>
    <n v="69"/>
    <x v="0"/>
    <x v="0"/>
    <x v="0"/>
    <n v="163.13"/>
    <n v="507.46"/>
    <n v="762"/>
    <n v="0"/>
    <n v="762"/>
    <n v="114.3"/>
  </r>
  <r>
    <n v="70"/>
    <x v="1"/>
    <x v="0"/>
    <x v="0"/>
    <n v="163.13"/>
    <n v="507.46"/>
    <n v="762"/>
    <n v="0"/>
    <n v="762"/>
    <n v="114.3"/>
  </r>
  <r>
    <n v="71"/>
    <x v="2"/>
    <x v="0"/>
    <x v="0"/>
    <n v="163.13"/>
    <n v="507.46"/>
    <n v="762"/>
    <n v="0"/>
    <n v="762"/>
    <n v="114.3"/>
  </r>
  <r>
    <n v="72"/>
    <x v="2"/>
    <x v="0"/>
    <x v="0"/>
    <n v="163.13"/>
    <n v="507.46"/>
    <n v="762"/>
    <n v="0"/>
    <n v="762"/>
    <n v="114.3"/>
  </r>
  <r>
    <n v="73"/>
    <x v="1"/>
    <x v="0"/>
    <x v="0"/>
    <n v="163.13"/>
    <n v="507.46"/>
    <n v="762"/>
    <n v="0"/>
    <n v="762"/>
    <n v="114.3"/>
  </r>
  <r>
    <n v="74"/>
    <x v="2"/>
    <x v="0"/>
    <x v="0"/>
    <n v="163.13"/>
    <n v="507.46"/>
    <n v="762"/>
    <n v="0"/>
    <n v="762"/>
    <n v="114.3"/>
  </r>
  <r>
    <n v="75"/>
    <x v="1"/>
    <x v="0"/>
    <x v="0"/>
    <n v="163.13"/>
    <n v="507.46"/>
    <n v="762"/>
    <n v="0"/>
    <n v="762"/>
    <n v="114.3"/>
  </r>
  <r>
    <n v="76"/>
    <x v="1"/>
    <x v="0"/>
    <x v="1"/>
    <n v="97.2"/>
    <n v="441.53"/>
    <n v="619"/>
    <n v="0"/>
    <n v="619"/>
    <n v="92.85"/>
  </r>
  <r>
    <n v="77"/>
    <x v="2"/>
    <x v="0"/>
    <x v="1"/>
    <n v="97.2"/>
    <n v="441.53"/>
    <n v="619"/>
    <n v="0"/>
    <n v="619"/>
    <n v="92.85"/>
  </r>
  <r>
    <n v="78"/>
    <x v="0"/>
    <x v="0"/>
    <x v="1"/>
    <n v="97.2"/>
    <n v="441.53"/>
    <n v="619"/>
    <n v="0"/>
    <n v="619"/>
    <n v="92.85"/>
  </r>
  <r>
    <n v="79"/>
    <x v="1"/>
    <x v="0"/>
    <x v="1"/>
    <n v="97.2"/>
    <n v="441.53"/>
    <n v="619"/>
    <n v="0"/>
    <n v="619"/>
    <n v="92.85"/>
  </r>
  <r>
    <n v="80"/>
    <x v="2"/>
    <x v="0"/>
    <x v="1"/>
    <n v="97.2"/>
    <n v="441.53"/>
    <n v="619"/>
    <n v="0.05"/>
    <n v="589"/>
    <n v="88.35"/>
  </r>
  <r>
    <n v="81"/>
    <x v="0"/>
    <x v="0"/>
    <x v="1"/>
    <n v="97.2"/>
    <n v="441.53"/>
    <n v="619"/>
    <n v="0"/>
    <n v="619"/>
    <n v="92.85"/>
  </r>
  <r>
    <n v="82"/>
    <x v="2"/>
    <x v="0"/>
    <x v="1"/>
    <n v="97.2"/>
    <n v="441.53"/>
    <n v="619"/>
    <n v="0"/>
    <n v="619"/>
    <n v="92.85"/>
  </r>
  <r>
    <n v="83"/>
    <x v="1"/>
    <x v="0"/>
    <x v="1"/>
    <n v="97.2"/>
    <n v="441.53"/>
    <n v="619"/>
    <n v="0"/>
    <n v="619"/>
    <n v="92.85"/>
  </r>
  <r>
    <n v="84"/>
    <x v="0"/>
    <x v="0"/>
    <x v="1"/>
    <n v="97.2"/>
    <n v="441.53"/>
    <n v="619"/>
    <n v="0"/>
    <n v="619"/>
    <n v="92.85"/>
  </r>
  <r>
    <n v="85"/>
    <x v="2"/>
    <x v="0"/>
    <x v="1"/>
    <n v="97.2"/>
    <n v="441.53"/>
    <n v="619"/>
    <n v="0"/>
    <n v="619"/>
    <n v="92.85"/>
  </r>
  <r>
    <n v="86"/>
    <x v="1"/>
    <x v="0"/>
    <x v="1"/>
    <n v="97.2"/>
    <n v="441.53"/>
    <n v="619"/>
    <n v="0"/>
    <n v="619"/>
    <n v="92.85"/>
  </r>
  <r>
    <n v="87"/>
    <x v="0"/>
    <x v="0"/>
    <x v="1"/>
    <n v="97.2"/>
    <n v="441.53"/>
    <n v="619"/>
    <n v="0"/>
    <n v="619"/>
    <n v="92.85"/>
  </r>
  <r>
    <n v="88"/>
    <x v="1"/>
    <x v="0"/>
    <x v="1"/>
    <n v="97.2"/>
    <n v="441.53"/>
    <n v="619"/>
    <n v="0"/>
    <n v="619"/>
    <n v="92.85"/>
  </r>
  <r>
    <n v="89"/>
    <x v="0"/>
    <x v="0"/>
    <x v="1"/>
    <n v="97.2"/>
    <n v="441.53"/>
    <n v="619"/>
    <n v="0"/>
    <n v="619"/>
    <n v="92.85"/>
  </r>
  <r>
    <n v="90"/>
    <x v="0"/>
    <x v="0"/>
    <x v="1"/>
    <n v="97.2"/>
    <n v="441.53"/>
    <n v="619"/>
    <n v="0"/>
    <n v="619"/>
    <n v="92.85"/>
  </r>
  <r>
    <n v="91"/>
    <x v="1"/>
    <x v="0"/>
    <x v="1"/>
    <n v="97.2"/>
    <n v="441.53"/>
    <n v="619"/>
    <n v="0"/>
    <n v="619"/>
    <n v="92.85"/>
  </r>
  <r>
    <n v="92"/>
    <x v="2"/>
    <x v="0"/>
    <x v="1"/>
    <n v="97.2"/>
    <n v="441.53"/>
    <n v="619"/>
    <n v="0"/>
    <n v="619"/>
    <n v="92.85"/>
  </r>
  <r>
    <n v="93"/>
    <x v="1"/>
    <x v="0"/>
    <x v="1"/>
    <n v="97.2"/>
    <n v="441.53"/>
    <n v="619"/>
    <n v="0"/>
    <n v="619"/>
    <n v="92.85"/>
  </r>
  <r>
    <n v="94"/>
    <x v="0"/>
    <x v="0"/>
    <x v="1"/>
    <n v="97.2"/>
    <n v="441.53"/>
    <n v="619"/>
    <n v="0"/>
    <n v="619"/>
    <n v="92.85"/>
  </r>
  <r>
    <n v="95"/>
    <x v="0"/>
    <x v="0"/>
    <x v="1"/>
    <n v="97.2"/>
    <n v="441.53"/>
    <n v="619"/>
    <n v="0"/>
    <n v="619"/>
    <n v="92.85"/>
  </r>
  <r>
    <n v="96"/>
    <x v="0"/>
    <x v="0"/>
    <x v="1"/>
    <n v="97.2"/>
    <n v="441.53"/>
    <n v="619"/>
    <n v="0"/>
    <n v="619"/>
    <n v="92.85"/>
  </r>
  <r>
    <n v="97"/>
    <x v="1"/>
    <x v="0"/>
    <x v="1"/>
    <n v="97.2"/>
    <n v="441.53"/>
    <n v="619"/>
    <n v="0"/>
    <n v="619"/>
    <n v="92.85"/>
  </r>
  <r>
    <n v="98"/>
    <x v="1"/>
    <x v="0"/>
    <x v="1"/>
    <n v="97.2"/>
    <n v="441.53"/>
    <n v="619"/>
    <n v="0"/>
    <n v="619"/>
    <n v="92.85"/>
  </r>
  <r>
    <n v="99"/>
    <x v="1"/>
    <x v="0"/>
    <x v="1"/>
    <n v="97.2"/>
    <n v="441.53"/>
    <n v="619"/>
    <n v="0"/>
    <n v="619"/>
    <n v="92.85"/>
  </r>
  <r>
    <n v="100"/>
    <x v="1"/>
    <x v="0"/>
    <x v="1"/>
    <n v="97.2"/>
    <n v="441.53"/>
    <n v="619"/>
    <n v="0"/>
    <n v="619"/>
    <n v="92.85"/>
  </r>
  <r>
    <n v="101"/>
    <x v="2"/>
    <x v="0"/>
    <x v="1"/>
    <n v="97.2"/>
    <n v="441.53"/>
    <n v="619"/>
    <n v="0"/>
    <n v="619"/>
    <n v="92.85"/>
  </r>
  <r>
    <n v="102"/>
    <x v="1"/>
    <x v="0"/>
    <x v="1"/>
    <n v="97.2"/>
    <n v="441.53"/>
    <n v="619"/>
    <n v="0"/>
    <n v="619"/>
    <n v="92.85"/>
  </r>
  <r>
    <n v="103"/>
    <x v="1"/>
    <x v="0"/>
    <x v="2"/>
    <n v="119.43"/>
    <n v="463.76"/>
    <n v="696"/>
    <n v="0"/>
    <n v="696"/>
    <n v="104.39999999999999"/>
  </r>
  <r>
    <n v="104"/>
    <x v="0"/>
    <x v="0"/>
    <x v="2"/>
    <n v="119.43"/>
    <n v="463.76"/>
    <n v="696"/>
    <n v="0"/>
    <n v="696"/>
    <n v="104.39999999999999"/>
  </r>
  <r>
    <n v="105"/>
    <x v="2"/>
    <x v="0"/>
    <x v="2"/>
    <n v="119.43"/>
    <n v="463.76"/>
    <n v="696"/>
    <n v="0"/>
    <n v="696"/>
    <n v="104.39999999999999"/>
  </r>
  <r>
    <n v="106"/>
    <x v="1"/>
    <x v="0"/>
    <x v="2"/>
    <n v="119.43"/>
    <n v="463.76"/>
    <n v="696"/>
    <n v="0"/>
    <n v="696"/>
    <n v="104.39999999999999"/>
  </r>
  <r>
    <n v="107"/>
    <x v="0"/>
    <x v="0"/>
    <x v="2"/>
    <n v="119.43"/>
    <n v="463.76"/>
    <n v="696"/>
    <n v="0"/>
    <n v="696"/>
    <n v="104.39999999999999"/>
  </r>
  <r>
    <n v="108"/>
    <x v="0"/>
    <x v="0"/>
    <x v="2"/>
    <n v="119.43"/>
    <n v="463.76"/>
    <n v="696"/>
    <n v="0"/>
    <n v="696"/>
    <n v="104.39999999999999"/>
  </r>
  <r>
    <n v="109"/>
    <x v="1"/>
    <x v="0"/>
    <x v="2"/>
    <n v="119.43"/>
    <n v="463.76"/>
    <n v="696"/>
    <n v="0"/>
    <n v="696"/>
    <n v="104.39999999999999"/>
  </r>
  <r>
    <n v="110"/>
    <x v="1"/>
    <x v="0"/>
    <x v="2"/>
    <n v="119.43"/>
    <n v="463.76"/>
    <n v="696"/>
    <n v="0.05"/>
    <n v="662"/>
    <n v="99.3"/>
  </r>
  <r>
    <n v="111"/>
    <x v="0"/>
    <x v="0"/>
    <x v="2"/>
    <n v="119.43"/>
    <n v="463.76"/>
    <n v="696"/>
    <n v="0"/>
    <n v="696"/>
    <n v="104.39999999999999"/>
  </r>
  <r>
    <n v="112"/>
    <x v="1"/>
    <x v="0"/>
    <x v="2"/>
    <n v="119.43"/>
    <n v="463.76"/>
    <n v="696"/>
    <n v="0"/>
    <n v="696"/>
    <n v="104.39999999999999"/>
  </r>
  <r>
    <n v="113"/>
    <x v="1"/>
    <x v="0"/>
    <x v="2"/>
    <n v="119.43"/>
    <n v="463.76"/>
    <n v="696"/>
    <n v="0"/>
    <n v="696"/>
    <n v="104.39999999999999"/>
  </r>
  <r>
    <n v="114"/>
    <x v="2"/>
    <x v="0"/>
    <x v="2"/>
    <n v="119.43"/>
    <n v="463.76"/>
    <n v="696"/>
    <n v="0"/>
    <n v="696"/>
    <n v="104.39999999999999"/>
  </r>
  <r>
    <n v="115"/>
    <x v="2"/>
    <x v="0"/>
    <x v="2"/>
    <n v="119.43"/>
    <n v="463.76"/>
    <n v="696"/>
    <n v="0"/>
    <n v="696"/>
    <n v="104.39999999999999"/>
  </r>
  <r>
    <n v="116"/>
    <x v="1"/>
    <x v="0"/>
    <x v="3"/>
    <n v="109.24000000000001"/>
    <n v="453.57"/>
    <n v="681"/>
    <n v="0"/>
    <n v="681"/>
    <n v="102.14999999999999"/>
  </r>
  <r>
    <n v="117"/>
    <x v="2"/>
    <x v="0"/>
    <x v="3"/>
    <n v="109.24000000000001"/>
    <n v="453.57"/>
    <n v="681"/>
    <n v="0"/>
    <n v="681"/>
    <n v="102.14999999999999"/>
  </r>
  <r>
    <n v="118"/>
    <x v="1"/>
    <x v="0"/>
    <x v="3"/>
    <n v="109.24000000000001"/>
    <n v="453.57"/>
    <n v="681"/>
    <n v="0"/>
    <n v="681"/>
    <n v="102.14999999999999"/>
  </r>
  <r>
    <n v="119"/>
    <x v="1"/>
    <x v="0"/>
    <x v="3"/>
    <n v="109.24000000000001"/>
    <n v="453.57"/>
    <n v="681"/>
    <n v="0"/>
    <n v="681"/>
    <n v="102.14999999999999"/>
  </r>
  <r>
    <n v="120"/>
    <x v="2"/>
    <x v="0"/>
    <x v="3"/>
    <n v="109.24000000000001"/>
    <n v="453.57"/>
    <n v="681"/>
    <n v="0"/>
    <n v="681"/>
    <n v="102.14999999999999"/>
  </r>
  <r>
    <n v="121"/>
    <x v="1"/>
    <x v="0"/>
    <x v="3"/>
    <n v="109.24000000000001"/>
    <n v="453.57"/>
    <n v="681"/>
    <n v="0"/>
    <n v="681"/>
    <n v="102.14999999999999"/>
  </r>
  <r>
    <n v="122"/>
    <x v="0"/>
    <x v="0"/>
    <x v="3"/>
    <n v="109.24000000000001"/>
    <n v="453.57"/>
    <n v="681"/>
    <n v="0"/>
    <n v="681"/>
    <n v="102.14999999999999"/>
  </r>
  <r>
    <n v="123"/>
    <x v="1"/>
    <x v="0"/>
    <x v="3"/>
    <n v="109.24000000000001"/>
    <n v="453.57"/>
    <n v="681"/>
    <n v="0"/>
    <n v="681"/>
    <n v="102.14999999999999"/>
  </r>
  <r>
    <n v="124"/>
    <x v="2"/>
    <x v="0"/>
    <x v="4"/>
    <n v="131.76999999999998"/>
    <n v="476.09999999999997"/>
    <n v="715"/>
    <n v="0"/>
    <n v="715"/>
    <n v="107.25"/>
  </r>
  <r>
    <n v="125"/>
    <x v="0"/>
    <x v="0"/>
    <x v="4"/>
    <n v="131.76999999999998"/>
    <n v="476.09999999999997"/>
    <n v="715"/>
    <n v="0"/>
    <n v="715"/>
    <n v="107.25"/>
  </r>
  <r>
    <n v="126"/>
    <x v="2"/>
    <x v="0"/>
    <x v="4"/>
    <n v="131.76999999999998"/>
    <n v="476.09999999999997"/>
    <n v="715"/>
    <n v="0"/>
    <n v="715"/>
    <n v="107.25"/>
  </r>
  <r>
    <n v="127"/>
    <x v="0"/>
    <x v="0"/>
    <x v="4"/>
    <n v="131.76999999999998"/>
    <n v="476.09999999999997"/>
    <n v="715"/>
    <n v="0"/>
    <n v="715"/>
    <n v="107.25"/>
  </r>
  <r>
    <n v="128"/>
    <x v="0"/>
    <x v="0"/>
    <x v="4"/>
    <n v="131.76999999999998"/>
    <n v="476.09999999999997"/>
    <n v="715"/>
    <n v="0"/>
    <n v="715"/>
    <n v="107.25"/>
  </r>
  <r>
    <n v="129"/>
    <x v="2"/>
    <x v="0"/>
    <x v="4"/>
    <n v="131.76999999999998"/>
    <n v="476.09999999999997"/>
    <n v="715"/>
    <n v="0"/>
    <n v="715"/>
    <n v="107.25"/>
  </r>
  <r>
    <n v="130"/>
    <x v="0"/>
    <x v="0"/>
    <x v="4"/>
    <n v="131.76999999999998"/>
    <n v="476.09999999999997"/>
    <n v="715"/>
    <n v="0"/>
    <n v="715"/>
    <n v="107.25"/>
  </r>
  <r>
    <n v="131"/>
    <x v="1"/>
    <x v="0"/>
    <x v="4"/>
    <n v="131.76999999999998"/>
    <n v="476.09999999999997"/>
    <n v="715"/>
    <n v="0"/>
    <n v="715"/>
    <n v="107.25"/>
  </r>
  <r>
    <n v="132"/>
    <x v="0"/>
    <x v="0"/>
    <x v="4"/>
    <n v="131.76999999999998"/>
    <n v="476.09999999999997"/>
    <n v="715"/>
    <n v="0"/>
    <n v="715"/>
    <n v="107.25"/>
  </r>
  <r>
    <n v="133"/>
    <x v="0"/>
    <x v="0"/>
    <x v="4"/>
    <n v="131.76999999999998"/>
    <n v="476.09999999999997"/>
    <n v="715"/>
    <n v="0"/>
    <n v="715"/>
    <n v="107.25"/>
  </r>
  <r>
    <n v="134"/>
    <x v="2"/>
    <x v="0"/>
    <x v="4"/>
    <n v="131.76999999999998"/>
    <n v="476.09999999999997"/>
    <n v="715"/>
    <n v="0"/>
    <n v="715"/>
    <n v="107.25"/>
  </r>
  <r>
    <n v="135"/>
    <x v="1"/>
    <x v="0"/>
    <x v="4"/>
    <n v="131.76999999999998"/>
    <n v="476.09999999999997"/>
    <n v="715"/>
    <n v="0"/>
    <n v="715"/>
    <n v="107.25"/>
  </r>
  <r>
    <n v="136"/>
    <x v="0"/>
    <x v="0"/>
    <x v="4"/>
    <n v="131.76999999999998"/>
    <n v="476.09999999999997"/>
    <n v="715"/>
    <n v="0"/>
    <n v="715"/>
    <n v="107.25"/>
  </r>
  <r>
    <n v="137"/>
    <x v="0"/>
    <x v="0"/>
    <x v="4"/>
    <n v="131.76999999999998"/>
    <n v="476.09999999999997"/>
    <n v="715"/>
    <n v="0"/>
    <n v="715"/>
    <n v="107.25"/>
  </r>
  <r>
    <n v="138"/>
    <x v="1"/>
    <x v="0"/>
    <x v="4"/>
    <n v="131.76999999999998"/>
    <n v="476.09999999999997"/>
    <n v="715"/>
    <n v="0"/>
    <n v="715"/>
    <n v="107.25"/>
  </r>
  <r>
    <n v="139"/>
    <x v="2"/>
    <x v="0"/>
    <x v="4"/>
    <n v="131.76999999999998"/>
    <n v="476.09999999999997"/>
    <n v="715"/>
    <n v="0"/>
    <n v="715"/>
    <n v="107.25"/>
  </r>
  <r>
    <n v="140"/>
    <x v="1"/>
    <x v="0"/>
    <x v="5"/>
    <n v="314.15999999999997"/>
    <n v="658.49"/>
    <n v="1120"/>
    <n v="0"/>
    <n v="1120"/>
    <n v="168"/>
  </r>
  <r>
    <n v="141"/>
    <x v="0"/>
    <x v="0"/>
    <x v="5"/>
    <n v="314.15999999999997"/>
    <n v="658.49"/>
    <n v="1120"/>
    <n v="0"/>
    <n v="1120"/>
    <n v="168"/>
  </r>
  <r>
    <n v="142"/>
    <x v="1"/>
    <x v="0"/>
    <x v="5"/>
    <n v="314.15999999999997"/>
    <n v="658.49"/>
    <n v="1120"/>
    <n v="0"/>
    <n v="1120"/>
    <n v="168"/>
  </r>
  <r>
    <n v="143"/>
    <x v="1"/>
    <x v="0"/>
    <x v="5"/>
    <n v="314.15999999999997"/>
    <n v="658.49"/>
    <n v="1120"/>
    <n v="0"/>
    <n v="1120"/>
    <n v="168"/>
  </r>
  <r>
    <n v="144"/>
    <x v="2"/>
    <x v="0"/>
    <x v="5"/>
    <n v="314.15999999999997"/>
    <n v="658.49"/>
    <n v="1120"/>
    <n v="0"/>
    <n v="1120"/>
    <n v="168"/>
  </r>
  <r>
    <n v="145"/>
    <x v="0"/>
    <x v="0"/>
    <x v="5"/>
    <n v="314.15999999999997"/>
    <n v="658.49"/>
    <n v="1120"/>
    <n v="0"/>
    <n v="1120"/>
    <n v="168"/>
  </r>
  <r>
    <n v="146"/>
    <x v="2"/>
    <x v="0"/>
    <x v="5"/>
    <n v="314.15999999999997"/>
    <n v="658.49"/>
    <n v="1120"/>
    <n v="0"/>
    <n v="1120"/>
    <n v="168"/>
  </r>
  <r>
    <n v="147"/>
    <x v="0"/>
    <x v="0"/>
    <x v="5"/>
    <n v="314.15999999999997"/>
    <n v="658.49"/>
    <n v="1120"/>
    <n v="0"/>
    <n v="1120"/>
    <n v="168"/>
  </r>
  <r>
    <n v="148"/>
    <x v="2"/>
    <x v="0"/>
    <x v="5"/>
    <n v="314.15999999999997"/>
    <n v="658.49"/>
    <n v="1120"/>
    <n v="0"/>
    <n v="1120"/>
    <n v="168"/>
  </r>
  <r>
    <n v="149"/>
    <x v="0"/>
    <x v="0"/>
    <x v="5"/>
    <n v="314.15999999999997"/>
    <n v="658.49"/>
    <n v="1120"/>
    <n v="0"/>
    <n v="1120"/>
    <n v="168"/>
  </r>
  <r>
    <n v="150"/>
    <x v="1"/>
    <x v="0"/>
    <x v="5"/>
    <n v="314.15999999999997"/>
    <n v="658.49"/>
    <n v="1120"/>
    <n v="0"/>
    <n v="1120"/>
    <n v="168"/>
  </r>
  <r>
    <n v="151"/>
    <x v="1"/>
    <x v="0"/>
    <x v="5"/>
    <n v="314.15999999999997"/>
    <n v="658.49"/>
    <n v="1120"/>
    <n v="0"/>
    <n v="1120"/>
    <n v="168"/>
  </r>
  <r>
    <n v="152"/>
    <x v="1"/>
    <x v="0"/>
    <x v="5"/>
    <n v="314.15999999999997"/>
    <n v="658.49"/>
    <n v="1120"/>
    <n v="0"/>
    <n v="1120"/>
    <n v="168"/>
  </r>
  <r>
    <n v="153"/>
    <x v="1"/>
    <x v="0"/>
    <x v="5"/>
    <n v="314.15999999999997"/>
    <n v="658.49"/>
    <n v="1120"/>
    <n v="0"/>
    <n v="1120"/>
    <n v="168"/>
  </r>
  <r>
    <n v="244"/>
    <x v="2"/>
    <x v="1"/>
    <x v="0"/>
    <n v="163.13"/>
    <n v="507.46"/>
    <n v="762"/>
    <n v="0"/>
    <n v="762"/>
    <n v="114.3"/>
  </r>
  <r>
    <n v="245"/>
    <x v="2"/>
    <x v="1"/>
    <x v="0"/>
    <n v="163.13"/>
    <n v="507.46"/>
    <n v="762"/>
    <n v="0"/>
    <n v="762"/>
    <n v="114.3"/>
  </r>
  <r>
    <n v="246"/>
    <x v="1"/>
    <x v="1"/>
    <x v="0"/>
    <n v="163.13"/>
    <n v="507.46"/>
    <n v="762"/>
    <n v="0"/>
    <n v="762"/>
    <n v="114.3"/>
  </r>
  <r>
    <n v="247"/>
    <x v="0"/>
    <x v="1"/>
    <x v="0"/>
    <n v="163.13"/>
    <n v="507.46"/>
    <n v="762"/>
    <n v="0"/>
    <n v="762"/>
    <n v="114.3"/>
  </r>
  <r>
    <n v="248"/>
    <x v="2"/>
    <x v="1"/>
    <x v="0"/>
    <n v="163.13"/>
    <n v="507.46"/>
    <n v="762"/>
    <n v="0"/>
    <n v="762"/>
    <n v="114.3"/>
  </r>
  <r>
    <n v="249"/>
    <x v="0"/>
    <x v="1"/>
    <x v="0"/>
    <n v="163.13"/>
    <n v="507.46"/>
    <n v="762"/>
    <n v="0"/>
    <n v="762"/>
    <n v="114.3"/>
  </r>
  <r>
    <n v="250"/>
    <x v="0"/>
    <x v="1"/>
    <x v="0"/>
    <n v="163.13"/>
    <n v="507.46"/>
    <n v="762"/>
    <n v="0"/>
    <n v="762"/>
    <n v="114.3"/>
  </r>
  <r>
    <n v="251"/>
    <x v="0"/>
    <x v="1"/>
    <x v="0"/>
    <n v="163.13"/>
    <n v="507.46"/>
    <n v="762"/>
    <n v="0"/>
    <n v="762"/>
    <n v="114.3"/>
  </r>
  <r>
    <n v="252"/>
    <x v="0"/>
    <x v="1"/>
    <x v="0"/>
    <n v="163.13"/>
    <n v="507.46"/>
    <n v="762"/>
    <n v="0"/>
    <n v="762"/>
    <n v="114.3"/>
  </r>
  <r>
    <n v="253"/>
    <x v="1"/>
    <x v="1"/>
    <x v="0"/>
    <n v="163.13"/>
    <n v="507.46"/>
    <n v="762"/>
    <n v="0"/>
    <n v="762"/>
    <n v="114.3"/>
  </r>
  <r>
    <n v="254"/>
    <x v="2"/>
    <x v="1"/>
    <x v="0"/>
    <n v="163.13"/>
    <n v="507.46"/>
    <n v="762"/>
    <n v="0"/>
    <n v="762"/>
    <n v="114.3"/>
  </r>
  <r>
    <n v="255"/>
    <x v="1"/>
    <x v="1"/>
    <x v="0"/>
    <n v="163.13"/>
    <n v="507.46"/>
    <n v="762"/>
    <n v="0"/>
    <n v="762"/>
    <n v="114.3"/>
  </r>
  <r>
    <n v="256"/>
    <x v="1"/>
    <x v="1"/>
    <x v="0"/>
    <n v="163.13"/>
    <n v="507.46"/>
    <n v="762"/>
    <n v="0"/>
    <n v="762"/>
    <n v="114.3"/>
  </r>
  <r>
    <n v="257"/>
    <x v="1"/>
    <x v="1"/>
    <x v="0"/>
    <n v="163.13"/>
    <n v="507.46"/>
    <n v="762"/>
    <n v="0"/>
    <n v="762"/>
    <n v="114.3"/>
  </r>
  <r>
    <n v="258"/>
    <x v="1"/>
    <x v="1"/>
    <x v="0"/>
    <n v="163.13"/>
    <n v="507.46"/>
    <n v="762"/>
    <n v="0"/>
    <n v="762"/>
    <n v="114.3"/>
  </r>
  <r>
    <n v="259"/>
    <x v="1"/>
    <x v="1"/>
    <x v="0"/>
    <n v="163.13"/>
    <n v="507.46"/>
    <n v="762"/>
    <n v="0"/>
    <n v="762"/>
    <n v="114.3"/>
  </r>
  <r>
    <n v="260"/>
    <x v="1"/>
    <x v="1"/>
    <x v="1"/>
    <n v="97.2"/>
    <n v="441.53"/>
    <n v="619"/>
    <n v="0"/>
    <n v="619"/>
    <n v="92.85"/>
  </r>
  <r>
    <n v="261"/>
    <x v="1"/>
    <x v="1"/>
    <x v="1"/>
    <n v="97.2"/>
    <n v="441.53"/>
    <n v="619"/>
    <n v="0"/>
    <n v="619"/>
    <n v="92.85"/>
  </r>
  <r>
    <n v="262"/>
    <x v="0"/>
    <x v="1"/>
    <x v="1"/>
    <n v="97.2"/>
    <n v="441.53"/>
    <n v="619"/>
    <n v="0.02"/>
    <n v="607"/>
    <n v="91.05"/>
  </r>
  <r>
    <n v="263"/>
    <x v="2"/>
    <x v="1"/>
    <x v="1"/>
    <n v="97.2"/>
    <n v="441.53"/>
    <n v="619"/>
    <n v="0"/>
    <n v="619"/>
    <n v="92.85"/>
  </r>
  <r>
    <n v="264"/>
    <x v="0"/>
    <x v="1"/>
    <x v="1"/>
    <n v="97.2"/>
    <n v="441.53"/>
    <n v="619"/>
    <n v="0"/>
    <n v="619"/>
    <n v="92.85"/>
  </r>
  <r>
    <n v="265"/>
    <x v="0"/>
    <x v="1"/>
    <x v="1"/>
    <n v="97.2"/>
    <n v="441.53"/>
    <n v="619"/>
    <n v="0"/>
    <n v="619"/>
    <n v="92.85"/>
  </r>
  <r>
    <n v="266"/>
    <x v="1"/>
    <x v="1"/>
    <x v="1"/>
    <n v="97.2"/>
    <n v="441.53"/>
    <n v="619"/>
    <n v="0"/>
    <n v="619"/>
    <n v="92.85"/>
  </r>
  <r>
    <n v="267"/>
    <x v="0"/>
    <x v="1"/>
    <x v="1"/>
    <n v="97.2"/>
    <n v="441.53"/>
    <n v="619"/>
    <n v="0"/>
    <n v="619"/>
    <n v="92.85"/>
  </r>
  <r>
    <n v="268"/>
    <x v="2"/>
    <x v="1"/>
    <x v="1"/>
    <n v="97.2"/>
    <n v="441.53"/>
    <n v="619"/>
    <n v="0.02"/>
    <n v="607"/>
    <n v="91.05"/>
  </r>
  <r>
    <n v="269"/>
    <x v="2"/>
    <x v="1"/>
    <x v="1"/>
    <n v="97.2"/>
    <n v="441.53"/>
    <n v="619"/>
    <n v="0"/>
    <n v="619"/>
    <n v="92.85"/>
  </r>
  <r>
    <n v="270"/>
    <x v="0"/>
    <x v="1"/>
    <x v="1"/>
    <n v="97.2"/>
    <n v="441.53"/>
    <n v="619"/>
    <n v="0"/>
    <n v="619"/>
    <n v="92.85"/>
  </r>
  <r>
    <n v="271"/>
    <x v="2"/>
    <x v="1"/>
    <x v="1"/>
    <n v="97.2"/>
    <n v="441.53"/>
    <n v="619"/>
    <n v="0"/>
    <n v="619"/>
    <n v="92.85"/>
  </r>
  <r>
    <n v="272"/>
    <x v="0"/>
    <x v="1"/>
    <x v="1"/>
    <n v="97.2"/>
    <n v="441.53"/>
    <n v="619"/>
    <n v="0"/>
    <n v="619"/>
    <n v="92.85"/>
  </r>
  <r>
    <n v="273"/>
    <x v="0"/>
    <x v="1"/>
    <x v="1"/>
    <n v="97.2"/>
    <n v="441.53"/>
    <n v="619"/>
    <n v="0"/>
    <n v="619"/>
    <n v="92.85"/>
  </r>
  <r>
    <n v="274"/>
    <x v="0"/>
    <x v="1"/>
    <x v="1"/>
    <n v="97.2"/>
    <n v="441.53"/>
    <n v="619"/>
    <n v="0"/>
    <n v="619"/>
    <n v="92.85"/>
  </r>
  <r>
    <n v="275"/>
    <x v="0"/>
    <x v="1"/>
    <x v="1"/>
    <n v="97.2"/>
    <n v="441.53"/>
    <n v="619"/>
    <n v="0"/>
    <n v="619"/>
    <n v="92.85"/>
  </r>
  <r>
    <n v="276"/>
    <x v="1"/>
    <x v="1"/>
    <x v="1"/>
    <n v="97.2"/>
    <n v="441.53"/>
    <n v="619"/>
    <n v="0"/>
    <n v="619"/>
    <n v="92.85"/>
  </r>
  <r>
    <n v="277"/>
    <x v="2"/>
    <x v="1"/>
    <x v="1"/>
    <n v="97.2"/>
    <n v="441.53"/>
    <n v="619"/>
    <n v="0"/>
    <n v="619"/>
    <n v="92.85"/>
  </r>
  <r>
    <n v="278"/>
    <x v="1"/>
    <x v="1"/>
    <x v="1"/>
    <n v="97.2"/>
    <n v="441.53"/>
    <n v="619"/>
    <n v="0"/>
    <n v="619"/>
    <n v="92.85"/>
  </r>
  <r>
    <n v="279"/>
    <x v="0"/>
    <x v="1"/>
    <x v="2"/>
    <n v="119.43"/>
    <n v="463.76"/>
    <n v="696"/>
    <n v="0"/>
    <n v="696"/>
    <n v="104.39999999999999"/>
  </r>
  <r>
    <n v="280"/>
    <x v="1"/>
    <x v="1"/>
    <x v="2"/>
    <n v="119.43"/>
    <n v="463.76"/>
    <n v="696"/>
    <n v="0"/>
    <n v="696"/>
    <n v="104.39999999999999"/>
  </r>
  <r>
    <n v="281"/>
    <x v="2"/>
    <x v="1"/>
    <x v="2"/>
    <n v="119.43"/>
    <n v="463.76"/>
    <n v="696"/>
    <n v="0"/>
    <n v="696"/>
    <n v="104.39999999999999"/>
  </r>
  <r>
    <n v="282"/>
    <x v="2"/>
    <x v="1"/>
    <x v="2"/>
    <n v="119.43"/>
    <n v="463.76"/>
    <n v="696"/>
    <n v="0"/>
    <n v="696"/>
    <n v="104.39999999999999"/>
  </r>
  <r>
    <n v="283"/>
    <x v="0"/>
    <x v="1"/>
    <x v="2"/>
    <n v="119.43"/>
    <n v="463.76"/>
    <n v="696"/>
    <n v="0"/>
    <n v="696"/>
    <n v="104.39999999999999"/>
  </r>
  <r>
    <n v="284"/>
    <x v="2"/>
    <x v="1"/>
    <x v="2"/>
    <n v="119.43"/>
    <n v="463.76"/>
    <n v="696"/>
    <n v="0"/>
    <n v="696"/>
    <n v="104.39999999999999"/>
  </r>
  <r>
    <n v="285"/>
    <x v="2"/>
    <x v="1"/>
    <x v="2"/>
    <n v="119.43"/>
    <n v="463.76"/>
    <n v="696"/>
    <n v="0"/>
    <n v="696"/>
    <n v="104.39999999999999"/>
  </r>
  <r>
    <n v="286"/>
    <x v="2"/>
    <x v="1"/>
    <x v="2"/>
    <n v="119.43"/>
    <n v="463.76"/>
    <n v="696"/>
    <n v="0"/>
    <n v="696"/>
    <n v="104.39999999999999"/>
  </r>
  <r>
    <n v="287"/>
    <x v="0"/>
    <x v="1"/>
    <x v="2"/>
    <n v="119.43"/>
    <n v="463.76"/>
    <n v="696"/>
    <n v="0"/>
    <n v="696"/>
    <n v="104.39999999999999"/>
  </r>
  <r>
    <n v="288"/>
    <x v="1"/>
    <x v="1"/>
    <x v="2"/>
    <n v="119.43"/>
    <n v="463.76"/>
    <n v="696"/>
    <n v="0"/>
    <n v="696"/>
    <n v="104.39999999999999"/>
  </r>
  <r>
    <n v="289"/>
    <x v="2"/>
    <x v="1"/>
    <x v="2"/>
    <n v="119.43"/>
    <n v="463.76"/>
    <n v="696"/>
    <n v="0"/>
    <n v="696"/>
    <n v="104.39999999999999"/>
  </r>
  <r>
    <n v="290"/>
    <x v="2"/>
    <x v="1"/>
    <x v="2"/>
    <n v="119.43"/>
    <n v="463.76"/>
    <n v="696"/>
    <n v="0"/>
    <n v="696"/>
    <n v="104.39999999999999"/>
  </r>
  <r>
    <n v="291"/>
    <x v="1"/>
    <x v="1"/>
    <x v="2"/>
    <n v="119.43"/>
    <n v="463.76"/>
    <n v="696"/>
    <n v="0.02"/>
    <n v="683"/>
    <n v="102.45"/>
  </r>
  <r>
    <n v="292"/>
    <x v="0"/>
    <x v="1"/>
    <x v="3"/>
    <n v="109.24000000000001"/>
    <n v="453.57"/>
    <n v="681"/>
    <n v="0"/>
    <n v="681"/>
    <n v="102.14999999999999"/>
  </r>
  <r>
    <n v="293"/>
    <x v="2"/>
    <x v="1"/>
    <x v="3"/>
    <n v="109.24000000000001"/>
    <n v="453.57"/>
    <n v="681"/>
    <n v="0"/>
    <n v="681"/>
    <n v="102.14999999999999"/>
  </r>
  <r>
    <n v="294"/>
    <x v="2"/>
    <x v="1"/>
    <x v="3"/>
    <n v="109.24000000000001"/>
    <n v="453.57"/>
    <n v="681"/>
    <n v="0.05"/>
    <n v="647"/>
    <n v="97.05"/>
  </r>
  <r>
    <n v="295"/>
    <x v="2"/>
    <x v="1"/>
    <x v="3"/>
    <n v="109.24000000000001"/>
    <n v="453.57"/>
    <n v="681"/>
    <n v="0"/>
    <n v="681"/>
    <n v="102.14999999999999"/>
  </r>
  <r>
    <n v="296"/>
    <x v="0"/>
    <x v="1"/>
    <x v="3"/>
    <n v="109.24000000000001"/>
    <n v="453.57"/>
    <n v="681"/>
    <n v="0"/>
    <n v="681"/>
    <n v="102.14999999999999"/>
  </r>
  <r>
    <n v="297"/>
    <x v="0"/>
    <x v="1"/>
    <x v="3"/>
    <n v="109.24000000000001"/>
    <n v="453.57"/>
    <n v="681"/>
    <n v="0"/>
    <n v="681"/>
    <n v="102.14999999999999"/>
  </r>
  <r>
    <n v="298"/>
    <x v="1"/>
    <x v="1"/>
    <x v="3"/>
    <n v="109.24000000000001"/>
    <n v="453.57"/>
    <n v="681"/>
    <n v="0"/>
    <n v="681"/>
    <n v="102.14999999999999"/>
  </r>
  <r>
    <n v="299"/>
    <x v="2"/>
    <x v="1"/>
    <x v="3"/>
    <n v="109.24000000000001"/>
    <n v="453.57"/>
    <n v="681"/>
    <n v="0"/>
    <n v="681"/>
    <n v="102.14999999999999"/>
  </r>
  <r>
    <n v="300"/>
    <x v="0"/>
    <x v="1"/>
    <x v="3"/>
    <n v="109.24000000000001"/>
    <n v="453.57"/>
    <n v="681"/>
    <n v="0"/>
    <n v="681"/>
    <n v="102.14999999999999"/>
  </r>
  <r>
    <n v="301"/>
    <x v="2"/>
    <x v="1"/>
    <x v="3"/>
    <n v="109.24000000000001"/>
    <n v="453.57"/>
    <n v="681"/>
    <n v="0"/>
    <n v="681"/>
    <n v="102.14999999999999"/>
  </r>
  <r>
    <n v="302"/>
    <x v="2"/>
    <x v="1"/>
    <x v="4"/>
    <n v="131.76999999999998"/>
    <n v="476.09999999999997"/>
    <n v="715"/>
    <n v="0"/>
    <n v="715"/>
    <n v="107.25"/>
  </r>
  <r>
    <n v="303"/>
    <x v="0"/>
    <x v="1"/>
    <x v="4"/>
    <n v="131.76999999999998"/>
    <n v="476.09999999999997"/>
    <n v="715"/>
    <n v="0"/>
    <n v="715"/>
    <n v="107.25"/>
  </r>
  <r>
    <n v="304"/>
    <x v="2"/>
    <x v="1"/>
    <x v="4"/>
    <n v="131.76999999999998"/>
    <n v="476.09999999999997"/>
    <n v="715"/>
    <n v="0"/>
    <n v="715"/>
    <n v="107.25"/>
  </r>
  <r>
    <n v="305"/>
    <x v="0"/>
    <x v="1"/>
    <x v="4"/>
    <n v="131.76999999999998"/>
    <n v="476.09999999999997"/>
    <n v="715"/>
    <n v="0"/>
    <n v="715"/>
    <n v="107.25"/>
  </r>
  <r>
    <n v="306"/>
    <x v="2"/>
    <x v="1"/>
    <x v="4"/>
    <n v="131.76999999999998"/>
    <n v="476.09999999999997"/>
    <n v="715"/>
    <n v="0"/>
    <n v="715"/>
    <n v="107.25"/>
  </r>
  <r>
    <n v="307"/>
    <x v="1"/>
    <x v="1"/>
    <x v="4"/>
    <n v="131.76999999999998"/>
    <n v="476.09999999999997"/>
    <n v="715"/>
    <n v="0"/>
    <n v="715"/>
    <n v="107.25"/>
  </r>
  <r>
    <n v="308"/>
    <x v="2"/>
    <x v="1"/>
    <x v="4"/>
    <n v="131.76999999999998"/>
    <n v="476.09999999999997"/>
    <n v="715"/>
    <n v="0"/>
    <n v="715"/>
    <n v="107.25"/>
  </r>
  <r>
    <n v="309"/>
    <x v="2"/>
    <x v="1"/>
    <x v="4"/>
    <n v="131.76999999999998"/>
    <n v="476.09999999999997"/>
    <n v="715"/>
    <n v="0"/>
    <n v="715"/>
    <n v="107.25"/>
  </r>
  <r>
    <n v="310"/>
    <x v="1"/>
    <x v="1"/>
    <x v="4"/>
    <n v="131.76999999999998"/>
    <n v="476.09999999999997"/>
    <n v="715"/>
    <n v="0"/>
    <n v="715"/>
    <n v="107.25"/>
  </r>
  <r>
    <n v="311"/>
    <x v="1"/>
    <x v="1"/>
    <x v="4"/>
    <n v="131.76999999999998"/>
    <n v="476.09999999999997"/>
    <n v="715"/>
    <n v="0"/>
    <n v="715"/>
    <n v="107.25"/>
  </r>
  <r>
    <n v="312"/>
    <x v="2"/>
    <x v="1"/>
    <x v="4"/>
    <n v="131.76999999999998"/>
    <n v="476.09999999999997"/>
    <n v="715"/>
    <n v="0"/>
    <n v="715"/>
    <n v="107.25"/>
  </r>
  <r>
    <n v="313"/>
    <x v="1"/>
    <x v="1"/>
    <x v="4"/>
    <n v="131.76999999999998"/>
    <n v="476.09999999999997"/>
    <n v="715"/>
    <n v="0"/>
    <n v="715"/>
    <n v="107.25"/>
  </r>
  <r>
    <n v="314"/>
    <x v="1"/>
    <x v="1"/>
    <x v="4"/>
    <n v="131.76999999999998"/>
    <n v="476.09999999999997"/>
    <n v="715"/>
    <n v="0"/>
    <n v="715"/>
    <n v="107.25"/>
  </r>
  <r>
    <n v="315"/>
    <x v="0"/>
    <x v="1"/>
    <x v="4"/>
    <n v="131.76999999999998"/>
    <n v="476.09999999999997"/>
    <n v="715"/>
    <n v="0"/>
    <n v="715"/>
    <n v="107.25"/>
  </r>
  <r>
    <n v="316"/>
    <x v="1"/>
    <x v="1"/>
    <x v="4"/>
    <n v="131.76999999999998"/>
    <n v="476.09999999999997"/>
    <n v="715"/>
    <n v="0"/>
    <n v="715"/>
    <n v="107.25"/>
  </r>
  <r>
    <n v="317"/>
    <x v="2"/>
    <x v="1"/>
    <x v="4"/>
    <n v="131.76999999999998"/>
    <n v="476.09999999999997"/>
    <n v="715"/>
    <n v="0.05"/>
    <n v="680"/>
    <n v="102"/>
  </r>
  <r>
    <n v="318"/>
    <x v="2"/>
    <x v="1"/>
    <x v="5"/>
    <n v="314.15999999999997"/>
    <n v="658.49"/>
    <n v="1120"/>
    <n v="0"/>
    <n v="1120"/>
    <n v="168"/>
  </r>
  <r>
    <n v="319"/>
    <x v="2"/>
    <x v="1"/>
    <x v="5"/>
    <n v="314.15999999999997"/>
    <n v="658.49"/>
    <n v="1120"/>
    <n v="0"/>
    <n v="1120"/>
    <n v="168"/>
  </r>
  <r>
    <n v="320"/>
    <x v="2"/>
    <x v="1"/>
    <x v="5"/>
    <n v="314.15999999999997"/>
    <n v="658.49"/>
    <n v="1120"/>
    <n v="0"/>
    <n v="1120"/>
    <n v="168"/>
  </r>
  <r>
    <n v="321"/>
    <x v="0"/>
    <x v="1"/>
    <x v="5"/>
    <n v="314.15999999999997"/>
    <n v="658.49"/>
    <n v="1120"/>
    <n v="0"/>
    <n v="1120"/>
    <n v="168"/>
  </r>
  <r>
    <n v="322"/>
    <x v="0"/>
    <x v="1"/>
    <x v="5"/>
    <n v="314.15999999999997"/>
    <n v="658.49"/>
    <n v="1120"/>
    <n v="0"/>
    <n v="1120"/>
    <n v="168"/>
  </r>
  <r>
    <n v="323"/>
    <x v="1"/>
    <x v="1"/>
    <x v="5"/>
    <n v="314.15999999999997"/>
    <n v="658.49"/>
    <n v="1120"/>
    <n v="0"/>
    <n v="1120"/>
    <n v="168"/>
  </r>
  <r>
    <n v="324"/>
    <x v="2"/>
    <x v="1"/>
    <x v="5"/>
    <n v="314.15999999999997"/>
    <n v="658.49"/>
    <n v="1120"/>
    <n v="0"/>
    <n v="1120"/>
    <n v="168"/>
  </r>
  <r>
    <n v="325"/>
    <x v="2"/>
    <x v="1"/>
    <x v="5"/>
    <n v="314.15999999999997"/>
    <n v="658.49"/>
    <n v="1120"/>
    <n v="0"/>
    <n v="1120"/>
    <n v="16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5">
  <r>
    <n v="326"/>
    <x v="0"/>
    <x v="0"/>
    <x v="0"/>
    <n v="163.13"/>
    <n v="507.46"/>
    <n v="762"/>
    <n v="0"/>
    <n v="762"/>
    <n v="76.2"/>
  </r>
  <r>
    <n v="327"/>
    <x v="1"/>
    <x v="0"/>
    <x v="0"/>
    <n v="163.13"/>
    <n v="507.46"/>
    <n v="762"/>
    <n v="0"/>
    <n v="762"/>
    <n v="76.2"/>
  </r>
  <r>
    <n v="328"/>
    <x v="1"/>
    <x v="0"/>
    <x v="0"/>
    <n v="163.13"/>
    <n v="507.46"/>
    <n v="762"/>
    <n v="0"/>
    <n v="762"/>
    <n v="76.2"/>
  </r>
  <r>
    <n v="329"/>
    <x v="0"/>
    <x v="0"/>
    <x v="0"/>
    <n v="163.13"/>
    <n v="507.46"/>
    <n v="762"/>
    <n v="0"/>
    <n v="762"/>
    <n v="76.2"/>
  </r>
  <r>
    <n v="330"/>
    <x v="1"/>
    <x v="0"/>
    <x v="0"/>
    <n v="163.13"/>
    <n v="507.46"/>
    <n v="762"/>
    <n v="0"/>
    <n v="762"/>
    <n v="76.2"/>
  </r>
  <r>
    <n v="331"/>
    <x v="0"/>
    <x v="0"/>
    <x v="0"/>
    <n v="163.13"/>
    <n v="507.46"/>
    <n v="762"/>
    <n v="0"/>
    <n v="762"/>
    <n v="76.2"/>
  </r>
  <r>
    <n v="332"/>
    <x v="1"/>
    <x v="0"/>
    <x v="0"/>
    <n v="163.13"/>
    <n v="507.46"/>
    <n v="762"/>
    <n v="0"/>
    <n v="762"/>
    <n v="76.2"/>
  </r>
  <r>
    <n v="333"/>
    <x v="0"/>
    <x v="0"/>
    <x v="0"/>
    <n v="163.13"/>
    <n v="507.46"/>
    <n v="762"/>
    <n v="0"/>
    <n v="762"/>
    <n v="76.2"/>
  </r>
  <r>
    <n v="334"/>
    <x v="0"/>
    <x v="0"/>
    <x v="0"/>
    <n v="163.13"/>
    <n v="507.46"/>
    <n v="762"/>
    <n v="0"/>
    <n v="762"/>
    <n v="76.2"/>
  </r>
  <r>
    <n v="335"/>
    <x v="0"/>
    <x v="0"/>
    <x v="0"/>
    <n v="163.13"/>
    <n v="507.46"/>
    <n v="762"/>
    <n v="0"/>
    <n v="762"/>
    <n v="76.2"/>
  </r>
  <r>
    <n v="336"/>
    <x v="0"/>
    <x v="0"/>
    <x v="0"/>
    <n v="163.13"/>
    <n v="507.46"/>
    <n v="762"/>
    <n v="0"/>
    <n v="762"/>
    <n v="76.2"/>
  </r>
  <r>
    <n v="337"/>
    <x v="0"/>
    <x v="0"/>
    <x v="0"/>
    <n v="163.13"/>
    <n v="507.46"/>
    <n v="762"/>
    <n v="0"/>
    <n v="762"/>
    <n v="76.2"/>
  </r>
  <r>
    <n v="338"/>
    <x v="2"/>
    <x v="0"/>
    <x v="0"/>
    <n v="163.13"/>
    <n v="507.46"/>
    <n v="762"/>
    <n v="0"/>
    <n v="762"/>
    <n v="76.2"/>
  </r>
  <r>
    <n v="339"/>
    <x v="0"/>
    <x v="0"/>
    <x v="0"/>
    <n v="163.13"/>
    <n v="507.46"/>
    <n v="762"/>
    <n v="0"/>
    <n v="762"/>
    <n v="76.2"/>
  </r>
  <r>
    <n v="340"/>
    <x v="1"/>
    <x v="0"/>
    <x v="0"/>
    <n v="163.13"/>
    <n v="507.46"/>
    <n v="762"/>
    <n v="0"/>
    <n v="762"/>
    <n v="76.2"/>
  </r>
  <r>
    <n v="341"/>
    <x v="2"/>
    <x v="0"/>
    <x v="0"/>
    <n v="163.13"/>
    <n v="507.46"/>
    <n v="762"/>
    <n v="0"/>
    <n v="762"/>
    <n v="76.2"/>
  </r>
  <r>
    <n v="342"/>
    <x v="2"/>
    <x v="0"/>
    <x v="0"/>
    <n v="163.13"/>
    <n v="507.46"/>
    <n v="762"/>
    <n v="0"/>
    <n v="762"/>
    <n v="76.2"/>
  </r>
  <r>
    <n v="343"/>
    <x v="2"/>
    <x v="0"/>
    <x v="0"/>
    <n v="163.13"/>
    <n v="507.46"/>
    <n v="762"/>
    <n v="0"/>
    <n v="762"/>
    <n v="76.2"/>
  </r>
  <r>
    <n v="344"/>
    <x v="1"/>
    <x v="0"/>
    <x v="0"/>
    <n v="163.13"/>
    <n v="507.46"/>
    <n v="762"/>
    <n v="0"/>
    <n v="762"/>
    <n v="76.2"/>
  </r>
  <r>
    <n v="345"/>
    <x v="1"/>
    <x v="0"/>
    <x v="0"/>
    <n v="163.13"/>
    <n v="507.46"/>
    <n v="762"/>
    <n v="0"/>
    <n v="762"/>
    <n v="76.2"/>
  </r>
  <r>
    <n v="346"/>
    <x v="0"/>
    <x v="0"/>
    <x v="0"/>
    <n v="163.13"/>
    <n v="507.46"/>
    <n v="762"/>
    <n v="0"/>
    <n v="762"/>
    <n v="76.2"/>
  </r>
  <r>
    <n v="347"/>
    <x v="1"/>
    <x v="0"/>
    <x v="0"/>
    <n v="163.13"/>
    <n v="507.46"/>
    <n v="762"/>
    <n v="0"/>
    <n v="762"/>
    <n v="76.2"/>
  </r>
  <r>
    <n v="348"/>
    <x v="1"/>
    <x v="0"/>
    <x v="0"/>
    <n v="163.13"/>
    <n v="507.46"/>
    <n v="762"/>
    <n v="0"/>
    <n v="762"/>
    <n v="76.2"/>
  </r>
  <r>
    <n v="349"/>
    <x v="1"/>
    <x v="0"/>
    <x v="1"/>
    <n v="97.2"/>
    <n v="441.53"/>
    <n v="619"/>
    <n v="0"/>
    <n v="619"/>
    <n v="61.900000000000006"/>
  </r>
  <r>
    <n v="350"/>
    <x v="0"/>
    <x v="0"/>
    <x v="1"/>
    <n v="97.2"/>
    <n v="441.53"/>
    <n v="619"/>
    <n v="0"/>
    <n v="619"/>
    <n v="61.900000000000006"/>
  </r>
  <r>
    <n v="351"/>
    <x v="0"/>
    <x v="0"/>
    <x v="1"/>
    <n v="97.2"/>
    <n v="441.53"/>
    <n v="619"/>
    <n v="0"/>
    <n v="619"/>
    <n v="61.900000000000006"/>
  </r>
  <r>
    <n v="352"/>
    <x v="0"/>
    <x v="0"/>
    <x v="1"/>
    <n v="97.2"/>
    <n v="441.53"/>
    <n v="619"/>
    <n v="0"/>
    <n v="619"/>
    <n v="61.900000000000006"/>
  </r>
  <r>
    <n v="353"/>
    <x v="0"/>
    <x v="0"/>
    <x v="1"/>
    <n v="97.2"/>
    <n v="441.53"/>
    <n v="619"/>
    <n v="0"/>
    <n v="619"/>
    <n v="61.900000000000006"/>
  </r>
  <r>
    <n v="354"/>
    <x v="2"/>
    <x v="0"/>
    <x v="1"/>
    <n v="97.2"/>
    <n v="441.53"/>
    <n v="619"/>
    <n v="0"/>
    <n v="619"/>
    <n v="61.900000000000006"/>
  </r>
  <r>
    <n v="355"/>
    <x v="1"/>
    <x v="0"/>
    <x v="1"/>
    <n v="97.2"/>
    <n v="441.53"/>
    <n v="619"/>
    <n v="0"/>
    <n v="619"/>
    <n v="61.900000000000006"/>
  </r>
  <r>
    <n v="356"/>
    <x v="0"/>
    <x v="0"/>
    <x v="1"/>
    <n v="97.2"/>
    <n v="441.53"/>
    <n v="619"/>
    <n v="0"/>
    <n v="619"/>
    <n v="61.900000000000006"/>
  </r>
  <r>
    <n v="357"/>
    <x v="2"/>
    <x v="0"/>
    <x v="1"/>
    <n v="97.2"/>
    <n v="441.53"/>
    <n v="619"/>
    <n v="0"/>
    <n v="619"/>
    <n v="61.900000000000006"/>
  </r>
  <r>
    <n v="358"/>
    <x v="1"/>
    <x v="0"/>
    <x v="1"/>
    <n v="97.2"/>
    <n v="441.53"/>
    <n v="619"/>
    <n v="0"/>
    <n v="619"/>
    <n v="61.900000000000006"/>
  </r>
  <r>
    <n v="359"/>
    <x v="0"/>
    <x v="0"/>
    <x v="1"/>
    <n v="97.2"/>
    <n v="441.53"/>
    <n v="619"/>
    <n v="0"/>
    <n v="619"/>
    <n v="61.900000000000006"/>
  </r>
  <r>
    <n v="360"/>
    <x v="0"/>
    <x v="0"/>
    <x v="1"/>
    <n v="97.2"/>
    <n v="441.53"/>
    <n v="619"/>
    <n v="0"/>
    <n v="619"/>
    <n v="61.900000000000006"/>
  </r>
  <r>
    <n v="361"/>
    <x v="0"/>
    <x v="0"/>
    <x v="1"/>
    <n v="97.2"/>
    <n v="441.53"/>
    <n v="619"/>
    <n v="0"/>
    <n v="619"/>
    <n v="61.900000000000006"/>
  </r>
  <r>
    <n v="362"/>
    <x v="0"/>
    <x v="0"/>
    <x v="1"/>
    <n v="97.2"/>
    <n v="441.53"/>
    <n v="619"/>
    <n v="0"/>
    <n v="619"/>
    <n v="61.900000000000006"/>
  </r>
  <r>
    <n v="363"/>
    <x v="1"/>
    <x v="0"/>
    <x v="1"/>
    <n v="97.2"/>
    <n v="441.53"/>
    <n v="619"/>
    <n v="0"/>
    <n v="619"/>
    <n v="61.900000000000006"/>
  </r>
  <r>
    <n v="364"/>
    <x v="2"/>
    <x v="0"/>
    <x v="1"/>
    <n v="97.2"/>
    <n v="441.53"/>
    <n v="619"/>
    <n v="0"/>
    <n v="619"/>
    <n v="61.900000000000006"/>
  </r>
  <r>
    <n v="365"/>
    <x v="1"/>
    <x v="0"/>
    <x v="1"/>
    <n v="97.2"/>
    <n v="441.53"/>
    <n v="619"/>
    <n v="0"/>
    <n v="619"/>
    <n v="61.900000000000006"/>
  </r>
  <r>
    <n v="366"/>
    <x v="0"/>
    <x v="0"/>
    <x v="2"/>
    <n v="119.43"/>
    <n v="463.76"/>
    <n v="696"/>
    <n v="0"/>
    <n v="696"/>
    <n v="69.600000000000009"/>
  </r>
  <r>
    <n v="367"/>
    <x v="2"/>
    <x v="0"/>
    <x v="2"/>
    <n v="119.43"/>
    <n v="463.76"/>
    <n v="696"/>
    <n v="0"/>
    <n v="696"/>
    <n v="69.600000000000009"/>
  </r>
  <r>
    <n v="368"/>
    <x v="0"/>
    <x v="0"/>
    <x v="2"/>
    <n v="119.43"/>
    <n v="463.76"/>
    <n v="696"/>
    <n v="0"/>
    <n v="696"/>
    <n v="69.600000000000009"/>
  </r>
  <r>
    <n v="369"/>
    <x v="2"/>
    <x v="0"/>
    <x v="2"/>
    <n v="119.43"/>
    <n v="463.76"/>
    <n v="696"/>
    <n v="0"/>
    <n v="696"/>
    <n v="69.600000000000009"/>
  </r>
  <r>
    <n v="370"/>
    <x v="1"/>
    <x v="0"/>
    <x v="2"/>
    <n v="119.43"/>
    <n v="463.76"/>
    <n v="696"/>
    <n v="0"/>
    <n v="696"/>
    <n v="69.600000000000009"/>
  </r>
  <r>
    <n v="371"/>
    <x v="1"/>
    <x v="0"/>
    <x v="2"/>
    <n v="119.43"/>
    <n v="463.76"/>
    <n v="696"/>
    <n v="0"/>
    <n v="696"/>
    <n v="69.600000000000009"/>
  </r>
  <r>
    <n v="372"/>
    <x v="0"/>
    <x v="0"/>
    <x v="2"/>
    <n v="119.43"/>
    <n v="463.76"/>
    <n v="696"/>
    <n v="0"/>
    <n v="696"/>
    <n v="69.600000000000009"/>
  </r>
  <r>
    <n v="373"/>
    <x v="0"/>
    <x v="0"/>
    <x v="2"/>
    <n v="119.43"/>
    <n v="463.76"/>
    <n v="696"/>
    <n v="0"/>
    <n v="696"/>
    <n v="69.600000000000009"/>
  </r>
  <r>
    <n v="374"/>
    <x v="0"/>
    <x v="0"/>
    <x v="3"/>
    <n v="109.24000000000001"/>
    <n v="453.57"/>
    <n v="681"/>
    <n v="0"/>
    <n v="681"/>
    <n v="68.100000000000009"/>
  </r>
  <r>
    <n v="375"/>
    <x v="0"/>
    <x v="0"/>
    <x v="3"/>
    <n v="109.24000000000001"/>
    <n v="453.57"/>
    <n v="681"/>
    <n v="0"/>
    <n v="681"/>
    <n v="68.100000000000009"/>
  </r>
  <r>
    <n v="376"/>
    <x v="2"/>
    <x v="0"/>
    <x v="3"/>
    <n v="109.24000000000001"/>
    <n v="453.57"/>
    <n v="681"/>
    <n v="0"/>
    <n v="681"/>
    <n v="68.100000000000009"/>
  </r>
  <r>
    <n v="377"/>
    <x v="0"/>
    <x v="0"/>
    <x v="3"/>
    <n v="109.24000000000001"/>
    <n v="453.57"/>
    <n v="681"/>
    <n v="0"/>
    <n v="681"/>
    <n v="68.100000000000009"/>
  </r>
  <r>
    <n v="378"/>
    <x v="2"/>
    <x v="0"/>
    <x v="4"/>
    <n v="131.76999999999998"/>
    <n v="476.09999999999997"/>
    <n v="715"/>
    <n v="0"/>
    <n v="715"/>
    <n v="71.5"/>
  </r>
  <r>
    <n v="379"/>
    <x v="1"/>
    <x v="0"/>
    <x v="4"/>
    <n v="131.76999999999998"/>
    <n v="476.09999999999997"/>
    <n v="715"/>
    <n v="0"/>
    <n v="715"/>
    <n v="71.5"/>
  </r>
  <r>
    <n v="380"/>
    <x v="0"/>
    <x v="0"/>
    <x v="4"/>
    <n v="131.76999999999998"/>
    <n v="476.09999999999997"/>
    <n v="715"/>
    <n v="0"/>
    <n v="715"/>
    <n v="71.5"/>
  </r>
  <r>
    <n v="381"/>
    <x v="2"/>
    <x v="0"/>
    <x v="4"/>
    <n v="131.76999999999998"/>
    <n v="476.09999999999997"/>
    <n v="715"/>
    <n v="0"/>
    <n v="715"/>
    <n v="71.5"/>
  </r>
  <r>
    <n v="382"/>
    <x v="2"/>
    <x v="0"/>
    <x v="4"/>
    <n v="131.76999999999998"/>
    <n v="476.09999999999997"/>
    <n v="715"/>
    <n v="0"/>
    <n v="715"/>
    <n v="71.5"/>
  </r>
  <r>
    <n v="383"/>
    <x v="0"/>
    <x v="0"/>
    <x v="4"/>
    <n v="131.76999999999998"/>
    <n v="476.09999999999997"/>
    <n v="715"/>
    <n v="0"/>
    <n v="715"/>
    <n v="71.5"/>
  </r>
  <r>
    <n v="384"/>
    <x v="2"/>
    <x v="0"/>
    <x v="4"/>
    <n v="131.76999999999998"/>
    <n v="476.09999999999997"/>
    <n v="715"/>
    <n v="0"/>
    <n v="715"/>
    <n v="71.5"/>
  </r>
  <r>
    <n v="385"/>
    <x v="2"/>
    <x v="0"/>
    <x v="4"/>
    <n v="131.76999999999998"/>
    <n v="476.09999999999997"/>
    <n v="715"/>
    <n v="0"/>
    <n v="715"/>
    <n v="71.5"/>
  </r>
  <r>
    <n v="386"/>
    <x v="0"/>
    <x v="0"/>
    <x v="4"/>
    <n v="131.76999999999998"/>
    <n v="476.09999999999997"/>
    <n v="715"/>
    <n v="0"/>
    <n v="715"/>
    <n v="71.5"/>
  </r>
  <r>
    <n v="387"/>
    <x v="2"/>
    <x v="0"/>
    <x v="4"/>
    <n v="131.76999999999998"/>
    <n v="476.09999999999997"/>
    <n v="715"/>
    <n v="0"/>
    <n v="715"/>
    <n v="71.5"/>
  </r>
  <r>
    <n v="388"/>
    <x v="0"/>
    <x v="0"/>
    <x v="4"/>
    <n v="131.76999999999998"/>
    <n v="476.09999999999997"/>
    <n v="715"/>
    <n v="0"/>
    <n v="715"/>
    <n v="71.5"/>
  </r>
  <r>
    <n v="389"/>
    <x v="1"/>
    <x v="0"/>
    <x v="4"/>
    <n v="131.76999999999998"/>
    <n v="476.09999999999997"/>
    <n v="715"/>
    <n v="0"/>
    <n v="715"/>
    <n v="71.5"/>
  </r>
  <r>
    <n v="390"/>
    <x v="0"/>
    <x v="0"/>
    <x v="4"/>
    <n v="131.76999999999998"/>
    <n v="476.09999999999997"/>
    <n v="715"/>
    <n v="0"/>
    <n v="715"/>
    <n v="71.5"/>
  </r>
  <r>
    <n v="391"/>
    <x v="2"/>
    <x v="0"/>
    <x v="4"/>
    <n v="131.76999999999998"/>
    <n v="476.09999999999997"/>
    <n v="715"/>
    <n v="0"/>
    <n v="715"/>
    <n v="71.5"/>
  </r>
  <r>
    <n v="392"/>
    <x v="1"/>
    <x v="0"/>
    <x v="4"/>
    <n v="131.76999999999998"/>
    <n v="476.09999999999997"/>
    <n v="715"/>
    <n v="0"/>
    <n v="715"/>
    <n v="71.5"/>
  </r>
  <r>
    <n v="393"/>
    <x v="0"/>
    <x v="0"/>
    <x v="4"/>
    <n v="131.76999999999998"/>
    <n v="476.09999999999997"/>
    <n v="715"/>
    <n v="0"/>
    <n v="715"/>
    <n v="71.5"/>
  </r>
  <r>
    <n v="394"/>
    <x v="1"/>
    <x v="0"/>
    <x v="4"/>
    <n v="131.76999999999998"/>
    <n v="476.09999999999997"/>
    <n v="715"/>
    <n v="0"/>
    <n v="715"/>
    <n v="71.5"/>
  </r>
  <r>
    <n v="395"/>
    <x v="0"/>
    <x v="0"/>
    <x v="5"/>
    <n v="314.15999999999997"/>
    <n v="658.49"/>
    <n v="1120"/>
    <n v="0"/>
    <n v="1120"/>
    <n v="112"/>
  </r>
  <r>
    <n v="396"/>
    <x v="2"/>
    <x v="0"/>
    <x v="5"/>
    <n v="314.15999999999997"/>
    <n v="658.49"/>
    <n v="1120"/>
    <n v="0"/>
    <n v="1120"/>
    <n v="112"/>
  </r>
  <r>
    <n v="397"/>
    <x v="0"/>
    <x v="0"/>
    <x v="5"/>
    <n v="314.15999999999997"/>
    <n v="658.49"/>
    <n v="1120"/>
    <n v="0"/>
    <n v="1120"/>
    <n v="112"/>
  </r>
  <r>
    <n v="398"/>
    <x v="0"/>
    <x v="0"/>
    <x v="5"/>
    <n v="314.15999999999997"/>
    <n v="658.49"/>
    <n v="1120"/>
    <n v="0"/>
    <n v="1120"/>
    <n v="112"/>
  </r>
  <r>
    <n v="399"/>
    <x v="1"/>
    <x v="0"/>
    <x v="5"/>
    <n v="314.15999999999997"/>
    <n v="658.49"/>
    <n v="1120"/>
    <n v="0"/>
    <n v="1120"/>
    <n v="112"/>
  </r>
  <r>
    <n v="400"/>
    <x v="1"/>
    <x v="0"/>
    <x v="5"/>
    <n v="314.15999999999997"/>
    <n v="658.49"/>
    <n v="1120"/>
    <n v="0"/>
    <n v="1120"/>
    <n v="1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Сводная таблица3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W3:AC24" firstHeaderRow="0" firstDataRow="1" firstDataCol="1" rowPageCount="1" colPageCount="1"/>
  <pivotFields count="14">
    <pivotField dataField="1" numFmtId="164" showAll="0"/>
    <pivotField axis="axisRow" showAll="0">
      <items count="4">
        <item x="1"/>
        <item x="0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 defaultSubtotal="0"/>
    <pivotField showAll="0"/>
    <pivotField showAll="0"/>
    <pivotField dataField="1" showAll="0"/>
    <pivotField dataField="1"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" item="0" hier="-1"/>
  </pageFields>
  <dataFields count="6">
    <dataField name="Количество по полю № договора" fld="0" subtotal="count" baseField="1" baseItem="0"/>
    <dataField name="ВЫРУЧКА" fld="8" baseField="1" baseItem="0"/>
    <dataField name="Полная себестоимость  продукции, руб." fld="5" baseField="1" baseItem="0"/>
    <dataField name="Комиссия менеджера, руб." fld="9" baseField="1" baseItem="0"/>
    <dataField name=" Страховые взносы на нач.комиссию" fld="11" baseField="1" baseItem="0"/>
    <dataField name=" Операционная прибыль" fld="1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Сводная таблица1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L3:T25" firstHeaderRow="0" firstDataRow="1" firstDataCol="1"/>
  <pivotFields count="14">
    <pivotField dataField="1" numFmtId="164" showAll="0"/>
    <pivotField axis="axisRow" showAll="0">
      <items count="4">
        <item x="1"/>
        <item x="0"/>
        <item x="2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 defaultSubtotal="0"/>
    <pivotField showAll="0"/>
    <pivotField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Количество по полю № договора" fld="0" subtotal="count" baseField="1" baseItem="0"/>
    <dataField name="ВЫРУЧКА" fld="8" baseField="1" baseItem="0"/>
    <dataField name="Валовая себестоимость пр. продукции" fld="4" baseField="1" baseItem="0"/>
    <dataField name="Валовая прибыль проданной продукции, руб." fld="10" baseField="1" baseItem="0"/>
    <dataField name="Полная себестоимость  продукции, руб." fld="5" baseField="1" baseItem="0"/>
    <dataField name="Комиссия менеджера, руб." fld="9" baseField="1" baseItem="0"/>
    <dataField name=" Страховые взносы на нач.комиссию" fld="11" baseField="1" baseItem="0"/>
    <dataField name=" Операционная прибыль" fld="1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Сводная таблица2" cacheId="8" applyNumberFormats="0" applyBorderFormats="0" applyFontFormats="0" applyPatternFormats="0" applyAlignmentFormats="0" applyWidthHeightFormats="1" dataCaption="Значения" tag="874d577b-5022-4a21-a987-41239dc64bac" updatedVersion="6" minRefreshableVersion="3" useAutoFormatting="1" subtotalHiddenItems="1" rowGrandTotals="0" itemPrintTitles="1" createdVersion="7" indent="0" outline="1" outlineData="1" multipleFieldFilters="0" rowHeaderCaption="№ договора">
  <location ref="A3:J159" firstHeaderRow="0" firstDataRow="1" firstDataCol="4" rowPageCount="1" colPageCount="1"/>
  <pivotFields count="11">
    <pivotField axis="axisRow" allDrilled="1" outline="0" subtotalTop="0" showAll="0" dataSourceSort="1" defaultSubtotal="0" defaultAttributeDrillState="1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</pivotField>
    <pivotField axis="axisRow" allDrilled="1" outline="0" subtotalTop="0" showAll="0" sortType="descending" defaultSubtotal="0">
      <items count="3">
        <item x="2"/>
        <item x="0"/>
        <item x="1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outline="0" subtotalTop="0" showAll="0" dataSourceSort="1" defaultSubtotal="0" defaultAttributeDrillState="1">
      <items count="2">
        <item x="0"/>
        <item x="1"/>
      </items>
    </pivotField>
    <pivotField dataField="1" showAll="0"/>
  </pivotFields>
  <rowFields count="4">
    <field x="0"/>
    <field x="1"/>
    <field x="9"/>
    <field x="3"/>
  </rowFields>
  <rowItems count="156">
    <i>
      <x/>
      <x v="1"/>
      <x/>
      <x/>
    </i>
    <i>
      <x v="1"/>
      <x v="2"/>
      <x/>
      <x/>
    </i>
    <i>
      <x v="2"/>
      <x/>
      <x/>
      <x/>
    </i>
    <i>
      <x v="3"/>
      <x/>
      <x/>
      <x/>
    </i>
    <i>
      <x v="4"/>
      <x/>
      <x/>
      <x/>
    </i>
    <i>
      <x v="5"/>
      <x/>
      <x/>
      <x/>
    </i>
    <i>
      <x v="6"/>
      <x/>
      <x/>
      <x/>
    </i>
    <i>
      <x v="7"/>
      <x v="2"/>
      <x/>
      <x/>
    </i>
    <i>
      <x v="8"/>
      <x v="1"/>
      <x/>
      <x/>
    </i>
    <i>
      <x v="9"/>
      <x/>
      <x/>
      <x/>
    </i>
    <i>
      <x v="10"/>
      <x v="2"/>
      <x/>
      <x/>
    </i>
    <i>
      <x v="11"/>
      <x v="1"/>
      <x/>
      <x v="1"/>
    </i>
    <i>
      <x v="12"/>
      <x/>
      <x/>
      <x v="1"/>
    </i>
    <i>
      <x v="13"/>
      <x/>
      <x/>
      <x v="1"/>
    </i>
    <i>
      <x v="14"/>
      <x v="2"/>
      <x/>
      <x v="1"/>
    </i>
    <i>
      <x v="15"/>
      <x/>
      <x/>
      <x v="1"/>
    </i>
    <i>
      <x v="16"/>
      <x/>
      <x/>
      <x v="1"/>
    </i>
    <i>
      <x v="17"/>
      <x/>
      <x/>
      <x v="1"/>
    </i>
    <i>
      <x v="18"/>
      <x/>
      <x/>
      <x v="1"/>
    </i>
    <i>
      <x v="19"/>
      <x v="2"/>
      <x/>
      <x v="1"/>
    </i>
    <i>
      <x v="20"/>
      <x v="2"/>
      <x/>
      <x v="1"/>
    </i>
    <i>
      <x v="21"/>
      <x v="2"/>
      <x/>
      <x v="1"/>
    </i>
    <i>
      <x v="22"/>
      <x v="1"/>
      <x/>
      <x v="1"/>
    </i>
    <i>
      <x v="23"/>
      <x v="2"/>
      <x/>
      <x v="1"/>
    </i>
    <i>
      <x v="24"/>
      <x/>
      <x/>
      <x v="1"/>
    </i>
    <i>
      <x v="25"/>
      <x/>
      <x/>
      <x v="1"/>
    </i>
    <i>
      <x v="26"/>
      <x v="2"/>
      <x/>
      <x v="1"/>
    </i>
    <i>
      <x v="27"/>
      <x v="1"/>
      <x/>
      <x v="1"/>
    </i>
    <i>
      <x v="28"/>
      <x v="2"/>
      <x/>
      <x v="1"/>
    </i>
    <i>
      <x v="29"/>
      <x v="2"/>
      <x/>
      <x v="1"/>
    </i>
    <i>
      <x v="30"/>
      <x/>
      <x/>
      <x v="1"/>
    </i>
    <i>
      <x v="31"/>
      <x v="2"/>
      <x/>
      <x v="1"/>
    </i>
    <i>
      <x v="32"/>
      <x/>
      <x/>
      <x v="1"/>
    </i>
    <i>
      <x v="33"/>
      <x v="2"/>
      <x/>
      <x v="1"/>
    </i>
    <i>
      <x v="34"/>
      <x v="1"/>
      <x/>
      <x v="2"/>
    </i>
    <i>
      <x v="35"/>
      <x v="2"/>
      <x/>
      <x v="2"/>
    </i>
    <i>
      <x v="36"/>
      <x v="1"/>
      <x/>
      <x v="2"/>
    </i>
    <i>
      <x v="37"/>
      <x v="2"/>
      <x/>
      <x v="2"/>
    </i>
    <i>
      <x v="38"/>
      <x v="2"/>
      <x/>
      <x v="3"/>
    </i>
    <i>
      <x v="39"/>
      <x v="1"/>
      <x/>
      <x v="3"/>
    </i>
    <i>
      <x v="40"/>
      <x/>
      <x/>
      <x v="3"/>
    </i>
    <i>
      <x v="41"/>
      <x v="1"/>
      <x/>
      <x v="3"/>
    </i>
    <i>
      <x v="42"/>
      <x v="1"/>
      <x/>
      <x v="3"/>
    </i>
    <i>
      <x v="43"/>
      <x/>
      <x/>
      <x v="3"/>
    </i>
    <i>
      <x v="44"/>
      <x v="2"/>
      <x/>
      <x v="4"/>
    </i>
    <i>
      <x v="45"/>
      <x v="2"/>
      <x/>
      <x v="4"/>
    </i>
    <i>
      <x v="46"/>
      <x/>
      <x/>
      <x v="4"/>
    </i>
    <i>
      <x v="47"/>
      <x/>
      <x/>
      <x v="4"/>
    </i>
    <i>
      <x v="48"/>
      <x v="1"/>
      <x/>
      <x v="4"/>
    </i>
    <i>
      <x v="49"/>
      <x v="1"/>
      <x/>
      <x v="4"/>
    </i>
    <i>
      <x v="50"/>
      <x/>
      <x/>
      <x v="4"/>
    </i>
    <i>
      <x v="51"/>
      <x v="1"/>
      <x/>
      <x v="4"/>
    </i>
    <i>
      <x v="52"/>
      <x v="1"/>
      <x/>
      <x v="4"/>
    </i>
    <i>
      <x v="53"/>
      <x/>
      <x/>
      <x v="4"/>
    </i>
    <i>
      <x v="54"/>
      <x v="2"/>
      <x/>
      <x v="4"/>
    </i>
    <i>
      <x v="55"/>
      <x v="1"/>
      <x/>
      <x v="4"/>
    </i>
    <i>
      <x v="56"/>
      <x v="2"/>
      <x/>
      <x v="4"/>
    </i>
    <i>
      <x v="57"/>
      <x v="2"/>
      <x/>
      <x v="4"/>
    </i>
    <i>
      <x v="58"/>
      <x v="2"/>
      <x/>
      <x v="4"/>
    </i>
    <i>
      <x v="59"/>
      <x v="2"/>
      <x/>
      <x v="4"/>
    </i>
    <i>
      <x v="60"/>
      <x v="2"/>
      <x/>
      <x v="4"/>
    </i>
    <i>
      <x v="61"/>
      <x v="2"/>
      <x/>
      <x v="5"/>
    </i>
    <i>
      <x v="62"/>
      <x v="2"/>
      <x/>
      <x v="5"/>
    </i>
    <i>
      <x v="63"/>
      <x/>
      <x/>
      <x v="5"/>
    </i>
    <i>
      <x v="64"/>
      <x v="1"/>
      <x/>
      <x v="5"/>
    </i>
    <i>
      <x v="65"/>
      <x v="2"/>
      <x/>
      <x v="5"/>
    </i>
    <i>
      <x v="66"/>
      <x/>
      <x v="1"/>
      <x/>
    </i>
    <i>
      <x v="67"/>
      <x/>
      <x v="1"/>
      <x/>
    </i>
    <i>
      <x v="68"/>
      <x/>
      <x v="1"/>
      <x/>
    </i>
    <i>
      <x v="69"/>
      <x/>
      <x v="1"/>
      <x/>
    </i>
    <i>
      <x v="70"/>
      <x v="2"/>
      <x v="1"/>
      <x/>
    </i>
    <i>
      <x v="71"/>
      <x v="2"/>
      <x v="1"/>
      <x/>
    </i>
    <i>
      <x v="72"/>
      <x/>
      <x v="1"/>
      <x/>
    </i>
    <i>
      <x v="73"/>
      <x v="1"/>
      <x v="1"/>
      <x/>
    </i>
    <i>
      <x v="74"/>
      <x v="1"/>
      <x v="1"/>
      <x/>
    </i>
    <i>
      <x v="75"/>
      <x v="1"/>
      <x v="1"/>
      <x/>
    </i>
    <i>
      <x v="76"/>
      <x v="1"/>
      <x v="1"/>
      <x/>
    </i>
    <i>
      <x v="77"/>
      <x v="1"/>
      <x v="1"/>
      <x/>
    </i>
    <i>
      <x v="78"/>
      <x v="1"/>
      <x v="1"/>
      <x/>
    </i>
    <i>
      <x v="79"/>
      <x v="2"/>
      <x v="1"/>
      <x/>
    </i>
    <i>
      <x v="80"/>
      <x v="2"/>
      <x v="1"/>
      <x/>
    </i>
    <i>
      <x v="81"/>
      <x v="2"/>
      <x v="1"/>
      <x/>
    </i>
    <i>
      <x v="82"/>
      <x v="2"/>
      <x v="1"/>
      <x v="1"/>
    </i>
    <i>
      <x v="83"/>
      <x v="2"/>
      <x v="1"/>
      <x v="1"/>
    </i>
    <i>
      <x v="84"/>
      <x/>
      <x v="1"/>
      <x v="1"/>
    </i>
    <i>
      <x v="85"/>
      <x/>
      <x v="1"/>
      <x v="1"/>
    </i>
    <i>
      <x v="86"/>
      <x v="2"/>
      <x v="1"/>
      <x v="1"/>
    </i>
    <i>
      <x v="87"/>
      <x v="2"/>
      <x v="1"/>
      <x v="1"/>
    </i>
    <i>
      <x v="88"/>
      <x v="2"/>
      <x v="1"/>
      <x v="1"/>
    </i>
    <i>
      <x v="89"/>
      <x/>
      <x v="1"/>
      <x v="1"/>
    </i>
    <i>
      <x v="90"/>
      <x v="1"/>
      <x v="1"/>
      <x v="1"/>
    </i>
    <i>
      <x v="91"/>
      <x/>
      <x v="1"/>
      <x v="1"/>
    </i>
    <i>
      <x v="92"/>
      <x/>
      <x v="1"/>
      <x v="1"/>
    </i>
    <i>
      <x v="93"/>
      <x v="2"/>
      <x v="1"/>
      <x v="1"/>
    </i>
    <i>
      <x v="94"/>
      <x v="1"/>
      <x v="1"/>
      <x v="1"/>
    </i>
    <i>
      <x v="95"/>
      <x/>
      <x v="1"/>
      <x v="1"/>
    </i>
    <i>
      <x v="96"/>
      <x v="1"/>
      <x v="1"/>
      <x v="1"/>
    </i>
    <i>
      <x v="97"/>
      <x v="2"/>
      <x v="1"/>
      <x v="1"/>
    </i>
    <i>
      <x v="98"/>
      <x v="2"/>
      <x v="1"/>
      <x v="1"/>
    </i>
    <i>
      <x v="99"/>
      <x/>
      <x v="1"/>
      <x v="1"/>
    </i>
    <i>
      <x v="100"/>
      <x v="1"/>
      <x v="1"/>
      <x v="1"/>
    </i>
    <i>
      <x v="101"/>
      <x v="1"/>
      <x v="1"/>
      <x v="1"/>
    </i>
    <i>
      <x v="102"/>
      <x/>
      <x v="1"/>
      <x v="1"/>
    </i>
    <i>
      <x v="103"/>
      <x v="1"/>
      <x v="1"/>
      <x v="1"/>
    </i>
    <i>
      <x v="104"/>
      <x v="2"/>
      <x v="1"/>
      <x v="1"/>
    </i>
    <i>
      <x v="105"/>
      <x/>
      <x v="1"/>
      <x v="2"/>
    </i>
    <i>
      <x v="106"/>
      <x v="1"/>
      <x v="1"/>
      <x v="2"/>
    </i>
    <i>
      <x v="107"/>
      <x v="1"/>
      <x v="1"/>
      <x v="2"/>
    </i>
    <i>
      <x v="108"/>
      <x/>
      <x v="1"/>
      <x v="2"/>
    </i>
    <i>
      <x v="109"/>
      <x v="1"/>
      <x v="1"/>
      <x v="2"/>
    </i>
    <i>
      <x v="110"/>
      <x v="1"/>
      <x v="1"/>
      <x v="2"/>
    </i>
    <i>
      <x v="111"/>
      <x/>
      <x v="1"/>
      <x v="2"/>
    </i>
    <i>
      <x v="112"/>
      <x/>
      <x v="1"/>
      <x v="2"/>
    </i>
    <i>
      <x v="113"/>
      <x/>
      <x v="1"/>
      <x v="2"/>
    </i>
    <i>
      <x v="114"/>
      <x v="1"/>
      <x v="1"/>
      <x v="2"/>
    </i>
    <i>
      <x v="115"/>
      <x v="1"/>
      <x v="1"/>
      <x v="2"/>
    </i>
    <i>
      <x v="116"/>
      <x/>
      <x v="1"/>
      <x v="2"/>
    </i>
    <i>
      <x v="117"/>
      <x/>
      <x v="1"/>
      <x v="2"/>
    </i>
    <i>
      <x v="118"/>
      <x v="1"/>
      <x v="1"/>
      <x v="3"/>
    </i>
    <i>
      <x v="119"/>
      <x v="1"/>
      <x v="1"/>
      <x v="3"/>
    </i>
    <i>
      <x v="120"/>
      <x v="2"/>
      <x v="1"/>
      <x v="3"/>
    </i>
    <i>
      <x v="121"/>
      <x v="1"/>
      <x v="1"/>
      <x v="3"/>
    </i>
    <i>
      <x v="122"/>
      <x/>
      <x v="1"/>
      <x v="3"/>
    </i>
    <i>
      <x v="123"/>
      <x/>
      <x v="1"/>
      <x v="3"/>
    </i>
    <i>
      <x v="124"/>
      <x v="2"/>
      <x v="1"/>
      <x v="3"/>
    </i>
    <i>
      <x v="125"/>
      <x/>
      <x v="1"/>
      <x v="3"/>
    </i>
    <i>
      <x v="126"/>
      <x v="1"/>
      <x v="1"/>
      <x v="3"/>
    </i>
    <i>
      <x v="127"/>
      <x v="1"/>
      <x v="1"/>
      <x v="3"/>
    </i>
    <i>
      <x v="128"/>
      <x v="2"/>
      <x v="1"/>
      <x v="3"/>
    </i>
    <i>
      <x v="129"/>
      <x v="1"/>
      <x v="1"/>
      <x v="3"/>
    </i>
    <i>
      <x v="130"/>
      <x v="2"/>
      <x v="1"/>
      <x v="3"/>
    </i>
    <i>
      <x v="131"/>
      <x v="2"/>
      <x v="1"/>
      <x v="4"/>
    </i>
    <i>
      <x v="132"/>
      <x/>
      <x v="1"/>
      <x v="4"/>
    </i>
    <i>
      <x v="133"/>
      <x/>
      <x v="1"/>
      <x v="4"/>
    </i>
    <i>
      <x v="134"/>
      <x/>
      <x v="1"/>
      <x v="4"/>
    </i>
    <i>
      <x v="135"/>
      <x v="1"/>
      <x v="1"/>
      <x v="4"/>
    </i>
    <i>
      <x v="136"/>
      <x/>
      <x v="1"/>
      <x v="4"/>
    </i>
    <i>
      <x v="137"/>
      <x/>
      <x v="1"/>
      <x v="4"/>
    </i>
    <i>
      <x v="138"/>
      <x/>
      <x v="1"/>
      <x v="4"/>
    </i>
    <i>
      <x v="139"/>
      <x v="1"/>
      <x v="1"/>
      <x v="4"/>
    </i>
    <i>
      <x v="140"/>
      <x v="2"/>
      <x v="1"/>
      <x v="4"/>
    </i>
    <i>
      <x v="141"/>
      <x v="1"/>
      <x v="1"/>
      <x v="4"/>
    </i>
    <i>
      <x v="142"/>
      <x v="2"/>
      <x v="1"/>
      <x v="4"/>
    </i>
    <i>
      <x v="143"/>
      <x/>
      <x v="1"/>
      <x v="4"/>
    </i>
    <i>
      <x v="144"/>
      <x v="2"/>
      <x v="1"/>
      <x v="5"/>
    </i>
    <i>
      <x v="145"/>
      <x/>
      <x v="1"/>
      <x v="5"/>
    </i>
    <i>
      <x v="146"/>
      <x v="1"/>
      <x v="1"/>
      <x v="5"/>
    </i>
    <i>
      <x v="147"/>
      <x v="1"/>
      <x v="1"/>
      <x v="5"/>
    </i>
    <i>
      <x v="148"/>
      <x/>
      <x v="1"/>
      <x v="5"/>
    </i>
    <i>
      <x v="149"/>
      <x/>
      <x v="1"/>
      <x v="5"/>
    </i>
    <i>
      <x v="150"/>
      <x/>
      <x v="1"/>
      <x v="5"/>
    </i>
    <i>
      <x v="151"/>
      <x/>
      <x v="1"/>
      <x v="5"/>
    </i>
    <i>
      <x v="152"/>
      <x v="1"/>
      <x v="1"/>
      <x v="5"/>
    </i>
    <i>
      <x v="153"/>
      <x/>
      <x v="1"/>
      <x v="5"/>
    </i>
    <i>
      <x v="154"/>
      <x v="2"/>
      <x v="1"/>
      <x v="5"/>
    </i>
    <i>
      <x v="155"/>
      <x/>
      <x v="1"/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8" hier="4" name="[Таблица3].[id департамента].&amp;[1]" cap="1"/>
  </pageFields>
  <dataFields count="6">
    <dataField name="Валовая себестоимость, тс. единицы, руб" fld="2" baseField="0" baseItem="0"/>
    <dataField name="Полная себестоимость единицы, руб." fld="10" baseField="3" baseItem="0"/>
    <dataField name="Цена за единицу (с учетом наценки продавца), руб." fld="4" baseField="0" baseItem="0"/>
    <dataField name="Персональная скидка менеджера" fld="5" baseField="0" baseItem="0"/>
    <dataField name="Цена продажи с учетом персональной скидки, руб." fld="6" baseField="0" baseItem="0"/>
    <dataField name=" Комиссия продавца, руб." fld="7" baseField="0" baseItem="0"/>
  </dataFields>
  <formats count="7">
    <format dxfId="66">
      <pivotArea dataOnly="0" labelOnly="1" outline="0" axis="axisValues" fieldPosition="0"/>
    </format>
    <format dxfId="65">
      <pivotArea field="8" type="button" dataOnly="0" labelOnly="1" outline="0" axis="axisPage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2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1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0">
      <pivotArea dataOnly="0" labelOnly="1" fieldPosition="0">
        <references count="1">
          <reference field="0" count="6">
            <x v="150"/>
            <x v="151"/>
            <x v="152"/>
            <x v="153"/>
            <x v="154"/>
            <x v="155"/>
          </reference>
        </references>
      </pivotArea>
    </format>
  </formats>
  <pivotHierarchies count="40">
    <pivotHierarchy dragToData="1"/>
    <pivotHierarchy dragToData="1"/>
    <pivotHierarchy dragToData="1"/>
    <pivotHierarchy dragToData="1"/>
    <pivotHierarchy multipleItemSelectionAllowed="1" dragToData="1">
      <members count="1" level="1">
        <member name="[Таблица3].[id департамента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Дата продажи"/>
    <pivotHierarchy dragToData="1" caption="Валовая себестоимость, тс. единицы, руб"/>
    <pivotHierarchy dragToData="1"/>
    <pivotHierarchy dragToData="1" caption="Цена за единицу (с учетом наценки продавца), руб."/>
    <pivotHierarchy dragToData="1" caption="Персональная скидка менеджера"/>
    <pivotHierarchy dragToData="1" caption="Цена продажи с учетом персональной скидки, руб."/>
    <pivotHierarchy dragToData="1" caption=" Комиссия продавца, руб."/>
    <pivotHierarchy dragToData="1"/>
    <pivotHierarchy dragToData="1"/>
    <pivotHierarchy dragToData="1" caption="Полная себестоимость единицы, руб.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18"/>
    <rowHierarchyUsage hierarchyUsage="3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полуэктова(1) (2).xlsm!Таблица3">
        <x15:activeTabTopLevelEntity name="[Таблица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Сводная таблица4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G3:AM24" firstHeaderRow="0" firstDataRow="1" firstDataCol="1" rowPageCount="1" colPageCount="1"/>
  <pivotFields count="14">
    <pivotField dataField="1" numFmtId="164" showAll="0"/>
    <pivotField axis="axisRow" showAll="0">
      <items count="4">
        <item x="1"/>
        <item x="0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 defaultSubtotal="0"/>
    <pivotField showAll="0"/>
    <pivotField showAll="0"/>
    <pivotField dataField="1" showAll="0"/>
    <pivotField dataField="1"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1">
    <i>
      <x/>
    </i>
    <i r="1">
      <x/>
    </i>
    <i r="1">
      <x v="1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" item="1" hier="-1"/>
  </pageFields>
  <dataFields count="6">
    <dataField name="Количество по полю № договора" fld="0" subtotal="count" baseField="1" baseItem="0"/>
    <dataField name="ВЫРУЧКА" fld="8" baseField="1" baseItem="0"/>
    <dataField name="Полная себестоимость  продукции, руб." fld="5" baseField="1" baseItem="0"/>
    <dataField name="Комиссия менеджера, руб." fld="9" baseField="1" baseItem="0"/>
    <dataField name=" Страховые взносы на нач.комиссию" fld="11" baseField="1" baseItem="0"/>
    <dataField name=" Операционная прибыль" fld="1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Сводная таблица4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7" indent="0" outline="1" outlineData="1" multipleFieldFilters="0">
  <location ref="V3:AB25" firstHeaderRow="0" firstDataRow="1" firstDataCol="1" rowPageCount="1" colPageCount="1"/>
  <pivotFields count="15">
    <pivotField dataField="1" numFmtId="164" showAll="0"/>
    <pivotField axis="axisRow" showAll="0">
      <items count="4">
        <item x="1"/>
        <item x="2"/>
        <item x="0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showAll="0"/>
    <pivotField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" hier="-1"/>
  </pageFields>
  <dataFields count="6">
    <dataField name="Количество по полю № договора" fld="0" subtotal="count" baseField="1" baseItem="0"/>
    <dataField name="ВЫРУЧКА" fld="8" baseField="0" baseItem="0"/>
    <dataField name="Полная себестоимость  продукции, руб." fld="5" baseField="0" baseItem="0"/>
    <dataField name="Комиссия менеджера, руб." fld="9" baseField="0" baseItem="0"/>
    <dataField name=" Страховые взносы на нач.комиссию" fld="13" baseField="0" baseItem="0"/>
    <dataField name=" Операционная прибыль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Сводная таблица2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7" indent="0" outline="1" outlineData="1" multipleFieldFilters="0" rowHeaderCaption="Месяцы">
  <location ref="L3:T25" firstHeaderRow="0" firstDataRow="1" firstDataCol="1"/>
  <pivotFields count="15">
    <pivotField dataField="1" numFmtId="164" showAll="0"/>
    <pivotField axis="axisRow" showAll="0">
      <items count="4">
        <item x="1"/>
        <item x="2"/>
        <item x="0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showAll="0"/>
    <pivotField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3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Количество по полю № договора" fld="0" subtotal="count" baseField="0" baseItem="9"/>
    <dataField name="ВЫРУЧКА" fld="8" baseField="0" baseItem="0"/>
    <dataField name="Валовая себестоимость пр. продукции" fld="4" baseField="0" baseItem="0"/>
    <dataField name="Валовая прибыль проданной продукции, руб." fld="10" baseField="0" baseItem="0"/>
    <dataField name="Полная себестоимость  продукции, руб." fld="5" baseField="0" baseItem="0"/>
    <dataField name="Комиссия менеджера, руб." fld="9" baseField="0" baseItem="0"/>
    <dataField name=" Страховые взносы на нач.комиссию" fld="11" baseField="0" baseItem="0"/>
    <dataField name=" Операционная прибыль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Сводная таблица3" cacheId="1" applyNumberFormats="0" applyBorderFormats="0" applyFontFormats="0" applyPatternFormats="0" applyAlignmentFormats="0" applyWidthHeightFormats="1" dataCaption="Значения" tag="625f87eb-fd3a-4c6a-8730-44c0dc9d4b4f" updatedVersion="6" minRefreshableVersion="3" useAutoFormatting="1" subtotalHiddenItems="1" rowGrandTotals="0" itemPrintTitles="1" createdVersion="7" indent="0" outline="1" outlineData="1" multipleFieldFilters="0" rowHeaderCaption="№ договора">
  <location ref="A3:J172" firstHeaderRow="0" firstDataRow="1" firstDataCol="4" rowPageCount="1" colPageCount="1"/>
  <pivotFields count="12">
    <pivotField axis="axisRow" allDrilled="1" outline="0" subtotalTop="0" showAll="0" dataSourceSort="1" defaultSubtotal="0" defaultAttributeDrillState="1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</items>
    </pivotField>
    <pivotField name="Дата продажи (месяц)" allDrilled="1" subtotalTop="0" showAll="0" dataSourceSort="1" defaultSubtotal="0" defaultAttributeDrillState="1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axis="axisRow" allDrilled="1" outline="0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Row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</pivotFields>
  <rowFields count="4">
    <field x="0"/>
    <field x="5"/>
    <field x="2"/>
    <field x="4"/>
  </rowFields>
  <rowItems count="169">
    <i>
      <x/>
      <x/>
      <x/>
      <x/>
    </i>
    <i>
      <x v="1"/>
      <x v="1"/>
      <x/>
      <x/>
    </i>
    <i>
      <x v="2"/>
      <x/>
      <x/>
      <x/>
    </i>
    <i>
      <x v="3"/>
      <x v="1"/>
      <x/>
      <x/>
    </i>
    <i>
      <x v="4"/>
      <x v="2"/>
      <x/>
      <x/>
    </i>
    <i>
      <x v="5"/>
      <x v="2"/>
      <x/>
      <x/>
    </i>
    <i>
      <x v="6"/>
      <x v="1"/>
      <x/>
      <x/>
    </i>
    <i>
      <x v="7"/>
      <x v="2"/>
      <x/>
      <x/>
    </i>
    <i>
      <x v="8"/>
      <x v="1"/>
      <x/>
      <x/>
    </i>
    <i>
      <x v="9"/>
      <x v="1"/>
      <x/>
      <x v="1"/>
    </i>
    <i>
      <x v="10"/>
      <x v="2"/>
      <x/>
      <x v="1"/>
    </i>
    <i>
      <x v="11"/>
      <x/>
      <x/>
      <x v="1"/>
    </i>
    <i>
      <x v="12"/>
      <x v="1"/>
      <x/>
      <x v="1"/>
    </i>
    <i>
      <x v="13"/>
      <x v="2"/>
      <x/>
      <x v="1"/>
    </i>
    <i>
      <x v="14"/>
      <x/>
      <x/>
      <x v="1"/>
    </i>
    <i>
      <x v="15"/>
      <x v="2"/>
      <x/>
      <x v="1"/>
    </i>
    <i>
      <x v="16"/>
      <x v="1"/>
      <x/>
      <x v="1"/>
    </i>
    <i>
      <x v="17"/>
      <x/>
      <x/>
      <x v="1"/>
    </i>
    <i>
      <x v="18"/>
      <x v="2"/>
      <x/>
      <x v="1"/>
    </i>
    <i>
      <x v="19"/>
      <x v="1"/>
      <x/>
      <x v="1"/>
    </i>
    <i>
      <x v="20"/>
      <x/>
      <x/>
      <x v="1"/>
    </i>
    <i>
      <x v="21"/>
      <x v="1"/>
      <x/>
      <x v="1"/>
    </i>
    <i>
      <x v="22"/>
      <x/>
      <x/>
      <x v="1"/>
    </i>
    <i>
      <x v="23"/>
      <x/>
      <x/>
      <x v="1"/>
    </i>
    <i>
      <x v="24"/>
      <x v="1"/>
      <x/>
      <x v="1"/>
    </i>
    <i>
      <x v="25"/>
      <x v="2"/>
      <x/>
      <x v="1"/>
    </i>
    <i>
      <x v="26"/>
      <x v="1"/>
      <x/>
      <x v="1"/>
    </i>
    <i>
      <x v="27"/>
      <x/>
      <x/>
      <x v="1"/>
    </i>
    <i>
      <x v="28"/>
      <x/>
      <x/>
      <x v="1"/>
    </i>
    <i>
      <x v="29"/>
      <x/>
      <x/>
      <x v="1"/>
    </i>
    <i>
      <x v="30"/>
      <x v="1"/>
      <x/>
      <x v="1"/>
    </i>
    <i>
      <x v="31"/>
      <x v="1"/>
      <x/>
      <x v="1"/>
    </i>
    <i>
      <x v="32"/>
      <x v="1"/>
      <x/>
      <x v="1"/>
    </i>
    <i>
      <x v="33"/>
      <x v="1"/>
      <x/>
      <x v="1"/>
    </i>
    <i>
      <x v="34"/>
      <x v="2"/>
      <x/>
      <x v="1"/>
    </i>
    <i>
      <x v="35"/>
      <x v="1"/>
      <x/>
      <x v="1"/>
    </i>
    <i>
      <x v="36"/>
      <x v="1"/>
      <x/>
      <x v="2"/>
    </i>
    <i>
      <x v="37"/>
      <x/>
      <x/>
      <x v="2"/>
    </i>
    <i>
      <x v="38"/>
      <x v="2"/>
      <x/>
      <x v="2"/>
    </i>
    <i>
      <x v="39"/>
      <x v="1"/>
      <x/>
      <x v="2"/>
    </i>
    <i>
      <x v="40"/>
      <x/>
      <x/>
      <x v="2"/>
    </i>
    <i>
      <x v="41"/>
      <x/>
      <x/>
      <x v="2"/>
    </i>
    <i>
      <x v="42"/>
      <x v="1"/>
      <x/>
      <x v="2"/>
    </i>
    <i>
      <x v="43"/>
      <x v="1"/>
      <x/>
      <x v="2"/>
    </i>
    <i>
      <x v="44"/>
      <x/>
      <x/>
      <x v="2"/>
    </i>
    <i>
      <x v="45"/>
      <x v="1"/>
      <x/>
      <x v="2"/>
    </i>
    <i>
      <x v="46"/>
      <x v="1"/>
      <x/>
      <x v="2"/>
    </i>
    <i>
      <x v="47"/>
      <x v="2"/>
      <x/>
      <x v="2"/>
    </i>
    <i>
      <x v="48"/>
      <x v="2"/>
      <x/>
      <x v="2"/>
    </i>
    <i>
      <x v="49"/>
      <x v="1"/>
      <x/>
      <x v="3"/>
    </i>
    <i>
      <x v="50"/>
      <x v="2"/>
      <x/>
      <x v="3"/>
    </i>
    <i>
      <x v="51"/>
      <x v="1"/>
      <x/>
      <x v="3"/>
    </i>
    <i>
      <x v="52"/>
      <x v="1"/>
      <x/>
      <x v="3"/>
    </i>
    <i>
      <x v="53"/>
      <x v="2"/>
      <x/>
      <x v="3"/>
    </i>
    <i>
      <x v="54"/>
      <x v="1"/>
      <x/>
      <x v="3"/>
    </i>
    <i>
      <x v="55"/>
      <x/>
      <x/>
      <x v="3"/>
    </i>
    <i>
      <x v="56"/>
      <x v="1"/>
      <x/>
      <x v="3"/>
    </i>
    <i>
      <x v="57"/>
      <x v="2"/>
      <x/>
      <x v="4"/>
    </i>
    <i>
      <x v="58"/>
      <x/>
      <x/>
      <x v="4"/>
    </i>
    <i>
      <x v="59"/>
      <x v="2"/>
      <x/>
      <x v="4"/>
    </i>
    <i>
      <x v="60"/>
      <x/>
      <x/>
      <x v="4"/>
    </i>
    <i>
      <x v="61"/>
      <x/>
      <x/>
      <x v="4"/>
    </i>
    <i>
      <x v="62"/>
      <x v="2"/>
      <x/>
      <x v="4"/>
    </i>
    <i>
      <x v="63"/>
      <x/>
      <x/>
      <x v="4"/>
    </i>
    <i>
      <x v="64"/>
      <x v="1"/>
      <x/>
      <x v="4"/>
    </i>
    <i>
      <x v="65"/>
      <x/>
      <x/>
      <x v="4"/>
    </i>
    <i>
      <x v="66"/>
      <x/>
      <x/>
      <x v="4"/>
    </i>
    <i>
      <x v="67"/>
      <x v="2"/>
      <x/>
      <x v="4"/>
    </i>
    <i>
      <x v="68"/>
      <x v="1"/>
      <x/>
      <x v="4"/>
    </i>
    <i>
      <x v="69"/>
      <x/>
      <x/>
      <x v="4"/>
    </i>
    <i>
      <x v="70"/>
      <x/>
      <x/>
      <x v="4"/>
    </i>
    <i>
      <x v="71"/>
      <x v="1"/>
      <x/>
      <x v="4"/>
    </i>
    <i>
      <x v="72"/>
      <x v="2"/>
      <x/>
      <x v="4"/>
    </i>
    <i>
      <x v="73"/>
      <x v="1"/>
      <x/>
      <x v="5"/>
    </i>
    <i>
      <x v="74"/>
      <x/>
      <x/>
      <x v="5"/>
    </i>
    <i>
      <x v="75"/>
      <x v="1"/>
      <x/>
      <x v="5"/>
    </i>
    <i>
      <x v="76"/>
      <x v="1"/>
      <x/>
      <x v="5"/>
    </i>
    <i>
      <x v="77"/>
      <x v="2"/>
      <x/>
      <x v="5"/>
    </i>
    <i>
      <x v="78"/>
      <x/>
      <x/>
      <x v="5"/>
    </i>
    <i>
      <x v="79"/>
      <x v="2"/>
      <x/>
      <x v="5"/>
    </i>
    <i>
      <x v="80"/>
      <x/>
      <x/>
      <x v="5"/>
    </i>
    <i>
      <x v="81"/>
      <x v="2"/>
      <x/>
      <x v="5"/>
    </i>
    <i>
      <x v="82"/>
      <x/>
      <x/>
      <x v="5"/>
    </i>
    <i>
      <x v="83"/>
      <x v="1"/>
      <x/>
      <x v="5"/>
    </i>
    <i>
      <x v="84"/>
      <x v="1"/>
      <x/>
      <x v="5"/>
    </i>
    <i>
      <x v="85"/>
      <x v="1"/>
      <x/>
      <x v="5"/>
    </i>
    <i>
      <x v="86"/>
      <x v="1"/>
      <x/>
      <x v="5"/>
    </i>
    <i>
      <x v="87"/>
      <x v="2"/>
      <x v="1"/>
      <x/>
    </i>
    <i>
      <x v="88"/>
      <x v="2"/>
      <x v="1"/>
      <x/>
    </i>
    <i>
      <x v="89"/>
      <x v="1"/>
      <x v="1"/>
      <x/>
    </i>
    <i>
      <x v="90"/>
      <x/>
      <x v="1"/>
      <x/>
    </i>
    <i>
      <x v="91"/>
      <x v="2"/>
      <x v="1"/>
      <x/>
    </i>
    <i>
      <x v="92"/>
      <x/>
      <x v="1"/>
      <x/>
    </i>
    <i>
      <x v="93"/>
      <x/>
      <x v="1"/>
      <x/>
    </i>
    <i>
      <x v="94"/>
      <x/>
      <x v="1"/>
      <x/>
    </i>
    <i>
      <x v="95"/>
      <x/>
      <x v="1"/>
      <x/>
    </i>
    <i>
      <x v="96"/>
      <x v="1"/>
      <x v="1"/>
      <x/>
    </i>
    <i>
      <x v="97"/>
      <x v="2"/>
      <x v="1"/>
      <x/>
    </i>
    <i>
      <x v="98"/>
      <x v="1"/>
      <x v="1"/>
      <x/>
    </i>
    <i>
      <x v="99"/>
      <x v="1"/>
      <x v="1"/>
      <x/>
    </i>
    <i>
      <x v="100"/>
      <x v="1"/>
      <x v="1"/>
      <x/>
    </i>
    <i>
      <x v="101"/>
      <x v="1"/>
      <x v="1"/>
      <x/>
    </i>
    <i>
      <x v="102"/>
      <x v="1"/>
      <x v="1"/>
      <x/>
    </i>
    <i>
      <x v="103"/>
      <x v="1"/>
      <x v="1"/>
      <x v="1"/>
    </i>
    <i>
      <x v="104"/>
      <x v="1"/>
      <x v="1"/>
      <x v="1"/>
    </i>
    <i>
      <x v="105"/>
      <x/>
      <x v="1"/>
      <x v="1"/>
    </i>
    <i>
      <x v="106"/>
      <x v="2"/>
      <x v="1"/>
      <x v="1"/>
    </i>
    <i>
      <x v="107"/>
      <x/>
      <x v="1"/>
      <x v="1"/>
    </i>
    <i>
      <x v="108"/>
      <x/>
      <x v="1"/>
      <x v="1"/>
    </i>
    <i>
      <x v="109"/>
      <x v="1"/>
      <x v="1"/>
      <x v="1"/>
    </i>
    <i>
      <x v="110"/>
      <x/>
      <x v="1"/>
      <x v="1"/>
    </i>
    <i>
      <x v="111"/>
      <x v="2"/>
      <x v="1"/>
      <x v="1"/>
    </i>
    <i>
      <x v="112"/>
      <x v="2"/>
      <x v="1"/>
      <x v="1"/>
    </i>
    <i>
      <x v="113"/>
      <x/>
      <x v="1"/>
      <x v="1"/>
    </i>
    <i>
      <x v="114"/>
      <x v="2"/>
      <x v="1"/>
      <x v="1"/>
    </i>
    <i>
      <x v="115"/>
      <x/>
      <x v="1"/>
      <x v="1"/>
    </i>
    <i>
      <x v="116"/>
      <x/>
      <x v="1"/>
      <x v="1"/>
    </i>
    <i>
      <x v="117"/>
      <x/>
      <x v="1"/>
      <x v="1"/>
    </i>
    <i>
      <x v="118"/>
      <x/>
      <x v="1"/>
      <x v="1"/>
    </i>
    <i>
      <x v="119"/>
      <x v="1"/>
      <x v="1"/>
      <x v="1"/>
    </i>
    <i>
      <x v="120"/>
      <x v="2"/>
      <x v="1"/>
      <x v="1"/>
    </i>
    <i>
      <x v="121"/>
      <x v="1"/>
      <x v="1"/>
      <x v="1"/>
    </i>
    <i>
      <x v="122"/>
      <x/>
      <x v="1"/>
      <x v="2"/>
    </i>
    <i>
      <x v="123"/>
      <x v="1"/>
      <x v="1"/>
      <x v="2"/>
    </i>
    <i>
      <x v="124"/>
      <x v="2"/>
      <x v="1"/>
      <x v="2"/>
    </i>
    <i>
      <x v="125"/>
      <x v="2"/>
      <x v="1"/>
      <x v="2"/>
    </i>
    <i>
      <x v="126"/>
      <x/>
      <x v="1"/>
      <x v="2"/>
    </i>
    <i>
      <x v="127"/>
      <x v="2"/>
      <x v="1"/>
      <x v="2"/>
    </i>
    <i>
      <x v="128"/>
      <x v="2"/>
      <x v="1"/>
      <x v="2"/>
    </i>
    <i>
      <x v="129"/>
      <x v="2"/>
      <x v="1"/>
      <x v="2"/>
    </i>
    <i>
      <x v="130"/>
      <x/>
      <x v="1"/>
      <x v="2"/>
    </i>
    <i>
      <x v="131"/>
      <x v="1"/>
      <x v="1"/>
      <x v="2"/>
    </i>
    <i>
      <x v="132"/>
      <x v="2"/>
      <x v="1"/>
      <x v="2"/>
    </i>
    <i>
      <x v="133"/>
      <x v="2"/>
      <x v="1"/>
      <x v="2"/>
    </i>
    <i>
      <x v="134"/>
      <x v="1"/>
      <x v="1"/>
      <x v="2"/>
    </i>
    <i>
      <x v="135"/>
      <x/>
      <x v="1"/>
      <x v="3"/>
    </i>
    <i>
      <x v="136"/>
      <x v="2"/>
      <x v="1"/>
      <x v="3"/>
    </i>
    <i>
      <x v="137"/>
      <x v="2"/>
      <x v="1"/>
      <x v="3"/>
    </i>
    <i>
      <x v="138"/>
      <x v="2"/>
      <x v="1"/>
      <x v="3"/>
    </i>
    <i>
      <x v="139"/>
      <x/>
      <x v="1"/>
      <x v="3"/>
    </i>
    <i>
      <x v="140"/>
      <x/>
      <x v="1"/>
      <x v="3"/>
    </i>
    <i>
      <x v="141"/>
      <x v="1"/>
      <x v="1"/>
      <x v="3"/>
    </i>
    <i>
      <x v="142"/>
      <x v="2"/>
      <x v="1"/>
      <x v="3"/>
    </i>
    <i>
      <x v="143"/>
      <x/>
      <x v="1"/>
      <x v="3"/>
    </i>
    <i>
      <x v="144"/>
      <x v="2"/>
      <x v="1"/>
      <x v="3"/>
    </i>
    <i>
      <x v="145"/>
      <x v="2"/>
      <x v="1"/>
      <x v="4"/>
    </i>
    <i>
      <x v="146"/>
      <x/>
      <x v="1"/>
      <x v="4"/>
    </i>
    <i>
      <x v="147"/>
      <x v="2"/>
      <x v="1"/>
      <x v="4"/>
    </i>
    <i>
      <x v="148"/>
      <x/>
      <x v="1"/>
      <x v="4"/>
    </i>
    <i>
      <x v="149"/>
      <x v="2"/>
      <x v="1"/>
      <x v="4"/>
    </i>
    <i>
      <x v="150"/>
      <x v="1"/>
      <x v="1"/>
      <x v="4"/>
    </i>
    <i>
      <x v="151"/>
      <x v="2"/>
      <x v="1"/>
      <x v="4"/>
    </i>
    <i>
      <x v="152"/>
      <x v="2"/>
      <x v="1"/>
      <x v="4"/>
    </i>
    <i>
      <x v="153"/>
      <x v="1"/>
      <x v="1"/>
      <x v="4"/>
    </i>
    <i>
      <x v="154"/>
      <x v="1"/>
      <x v="1"/>
      <x v="4"/>
    </i>
    <i>
      <x v="155"/>
      <x v="2"/>
      <x v="1"/>
      <x v="4"/>
    </i>
    <i>
      <x v="156"/>
      <x v="1"/>
      <x v="1"/>
      <x v="4"/>
    </i>
    <i>
      <x v="157"/>
      <x v="1"/>
      <x v="1"/>
      <x v="4"/>
    </i>
    <i>
      <x v="158"/>
      <x/>
      <x v="1"/>
      <x v="4"/>
    </i>
    <i>
      <x v="159"/>
      <x v="1"/>
      <x v="1"/>
      <x v="4"/>
    </i>
    <i>
      <x v="160"/>
      <x v="2"/>
      <x v="1"/>
      <x v="4"/>
    </i>
    <i>
      <x v="161"/>
      <x v="2"/>
      <x v="1"/>
      <x v="5"/>
    </i>
    <i>
      <x v="162"/>
      <x v="2"/>
      <x v="1"/>
      <x v="5"/>
    </i>
    <i>
      <x v="163"/>
      <x v="2"/>
      <x v="1"/>
      <x v="5"/>
    </i>
    <i>
      <x v="164"/>
      <x/>
      <x v="1"/>
      <x v="5"/>
    </i>
    <i>
      <x v="165"/>
      <x/>
      <x v="1"/>
      <x v="5"/>
    </i>
    <i>
      <x v="166"/>
      <x v="1"/>
      <x v="1"/>
      <x v="5"/>
    </i>
    <i>
      <x v="167"/>
      <x v="2"/>
      <x v="1"/>
      <x v="5"/>
    </i>
    <i>
      <x v="168"/>
      <x v="2"/>
      <x v="1"/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3" hier="4" name="[Таблица3].[id департамента].&amp;[2]" cap="2"/>
  </pageFields>
  <dataFields count="6">
    <dataField name="Валовая себестоимость, тс. единицы, руб" fld="6" baseField="0" baseItem="0"/>
    <dataField name="Полная себестоимость единицы, руб." fld="11" baseField="4" baseItem="0"/>
    <dataField name="Цена за единицу (с учетом наценки продавца), руб." fld="7" baseField="0" baseItem="0"/>
    <dataField name="Персональная скидка менеджера" fld="8" baseField="0" baseItem="0"/>
    <dataField name="Цена продажи с учетом персональной скидки, руб." fld="9" baseField="0" baseItem="0"/>
    <dataField name="Комиссия продавца, руб." fld="10" baseField="0" baseItem="0"/>
  </dataFields>
  <formats count="6">
    <format dxfId="59">
      <pivotArea field="3" type="button" dataOnly="0" labelOnly="1" outline="0" axis="axisPage" fieldPosition="0"/>
    </format>
    <format dxfId="58">
      <pivotArea field="0" type="button" dataOnly="0" labelOnly="1" outline="0" axis="axisRow" fieldPosition="0"/>
    </format>
    <format dxfId="57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6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5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4">
      <pivotArea dataOnly="0" labelOnly="1" fieldPosition="0">
        <references count="1">
          <reference field="0" count="19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</reference>
        </references>
      </pivotArea>
    </format>
  </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Валовая себестоимость, тс. единицы, руб"/>
    <pivotHierarchy dragToData="1"/>
    <pivotHierarchy dragToData="1" caption="Цена за единицу (с учетом наценки продавца), руб."/>
    <pivotHierarchy dragToData="1" caption="Персональная скидка менеджера"/>
    <pivotHierarchy dragToData="1" caption="Цена продажи с учетом персональной скидки, руб."/>
    <pivotHierarchy dragToData="1" caption="Комиссия продавца, руб."/>
    <pivotHierarchy dragToData="1"/>
    <pivotHierarchy dragToData="1"/>
    <pivotHierarchy dragToData="1" caption="Полная себестоимость единицы, руб.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18"/>
    <rowHierarchyUsage hierarchyUsage="3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полуэктова(1) (2).xlsm!Таблица3">
        <x15:activeTabTopLevelEntity name="[Таблица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Сводная таблица5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7" indent="0" outline="1" outlineData="1" multipleFieldFilters="0">
  <location ref="AD3:AJ25" firstHeaderRow="0" firstDataRow="1" firstDataCol="1" rowPageCount="1" colPageCount="1"/>
  <pivotFields count="15">
    <pivotField dataField="1" numFmtId="164" showAll="0"/>
    <pivotField axis="axisRow" showAll="0">
      <items count="4">
        <item x="1"/>
        <item x="2"/>
        <item x="0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showAll="0"/>
    <pivotField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" hier="-1"/>
  </pageFields>
  <dataFields count="6">
    <dataField name="Количество по полю № договора" fld="0" subtotal="count" baseField="1" baseItem="0"/>
    <dataField name="ВЫРУЧКА" fld="8" baseField="0" baseItem="0"/>
    <dataField name="Полная себестоимость  продукции, руб." fld="5" baseField="0" baseItem="0"/>
    <dataField name="Комиссия менеджера, руб." fld="9" baseField="0" baseItem="0"/>
    <dataField name=" Страховые взносы на нач.комиссию" fld="13" baseField="0" baseItem="0"/>
    <dataField name=" Операционная прибыль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Сводная таблица4" cacheId="0" applyNumberFormats="0" applyBorderFormats="0" applyFontFormats="0" applyPatternFormats="0" applyAlignmentFormats="0" applyWidthHeightFormats="1" dataCaption="Значения" updatedVersion="6" minRefreshableVersion="3" useAutoFormatting="1" subtotalHiddenItems="1" rowGrandTotals="0" itemPrintTitles="1" createdVersion="7" indent="0" outline="1" outlineData="1" multipleFieldFilters="0" rowHeaderCaption="№ договора">
  <location ref="A3:J78" firstHeaderRow="0" firstDataRow="1" firstDataCol="4" rowPageCount="1" colPageCount="1"/>
  <pivotFields count="11">
    <pivotField axis="axisPage" allDrilled="1" subtotalTop="0" showAll="0" dataSourceSort="1" defaultSubtotal="0" defaultAttributeDrillState="1"/>
    <pivotField axis="axisRow" allDrilled="1" outline="0" subtotalTop="0" showAll="0" dataSourceSort="1" defaultSubtotal="0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</items>
    </pivotField>
    <pivotField axis="axisRow" allDrilled="1" outline="0" subtotalTop="0" showAll="0" dataSourceSort="1" defaultSubtotal="0" defaultAttributeDrillState="1">
      <items count="1">
        <item x="0"/>
      </items>
    </pivotField>
    <pivotField axis="axisRow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4">
    <field x="1"/>
    <field x="3"/>
    <field x="2"/>
    <field x="4"/>
  </rowFields>
  <rowItems count="75">
    <i>
      <x/>
      <x/>
      <x/>
      <x/>
    </i>
    <i>
      <x v="1"/>
      <x v="1"/>
      <x/>
      <x/>
    </i>
    <i>
      <x v="2"/>
      <x v="1"/>
      <x/>
      <x/>
    </i>
    <i>
      <x v="3"/>
      <x/>
      <x/>
      <x/>
    </i>
    <i>
      <x v="4"/>
      <x v="1"/>
      <x/>
      <x/>
    </i>
    <i>
      <x v="5"/>
      <x/>
      <x/>
      <x/>
    </i>
    <i>
      <x v="6"/>
      <x v="1"/>
      <x/>
      <x/>
    </i>
    <i>
      <x v="7"/>
      <x/>
      <x/>
      <x/>
    </i>
    <i>
      <x v="8"/>
      <x/>
      <x/>
      <x/>
    </i>
    <i>
      <x v="9"/>
      <x/>
      <x/>
      <x/>
    </i>
    <i>
      <x v="10"/>
      <x/>
      <x/>
      <x/>
    </i>
    <i>
      <x v="11"/>
      <x/>
      <x/>
      <x/>
    </i>
    <i>
      <x v="12"/>
      <x v="2"/>
      <x/>
      <x/>
    </i>
    <i>
      <x v="13"/>
      <x/>
      <x/>
      <x/>
    </i>
    <i>
      <x v="14"/>
      <x v="1"/>
      <x/>
      <x/>
    </i>
    <i>
      <x v="15"/>
      <x v="2"/>
      <x/>
      <x/>
    </i>
    <i>
      <x v="16"/>
      <x v="2"/>
      <x/>
      <x/>
    </i>
    <i>
      <x v="17"/>
      <x v="2"/>
      <x/>
      <x/>
    </i>
    <i>
      <x v="18"/>
      <x v="1"/>
      <x/>
      <x/>
    </i>
    <i>
      <x v="19"/>
      <x v="1"/>
      <x/>
      <x/>
    </i>
    <i>
      <x v="20"/>
      <x/>
      <x/>
      <x/>
    </i>
    <i>
      <x v="21"/>
      <x v="1"/>
      <x/>
      <x/>
    </i>
    <i>
      <x v="22"/>
      <x v="1"/>
      <x/>
      <x/>
    </i>
    <i>
      <x v="23"/>
      <x v="1"/>
      <x/>
      <x v="1"/>
    </i>
    <i>
      <x v="24"/>
      <x/>
      <x/>
      <x v="1"/>
    </i>
    <i>
      <x v="25"/>
      <x/>
      <x/>
      <x v="1"/>
    </i>
    <i>
      <x v="26"/>
      <x/>
      <x/>
      <x v="1"/>
    </i>
    <i>
      <x v="27"/>
      <x/>
      <x/>
      <x v="1"/>
    </i>
    <i>
      <x v="28"/>
      <x v="2"/>
      <x/>
      <x v="1"/>
    </i>
    <i>
      <x v="29"/>
      <x v="1"/>
      <x/>
      <x v="1"/>
    </i>
    <i>
      <x v="30"/>
      <x/>
      <x/>
      <x v="1"/>
    </i>
    <i>
      <x v="31"/>
      <x v="2"/>
      <x/>
      <x v="1"/>
    </i>
    <i>
      <x v="32"/>
      <x v="1"/>
      <x/>
      <x v="1"/>
    </i>
    <i>
      <x v="33"/>
      <x/>
      <x/>
      <x v="1"/>
    </i>
    <i>
      <x v="34"/>
      <x/>
      <x/>
      <x v="1"/>
    </i>
    <i>
      <x v="35"/>
      <x/>
      <x/>
      <x v="1"/>
    </i>
    <i>
      <x v="36"/>
      <x/>
      <x/>
      <x v="1"/>
    </i>
    <i>
      <x v="37"/>
      <x v="1"/>
      <x/>
      <x v="1"/>
    </i>
    <i>
      <x v="38"/>
      <x v="2"/>
      <x/>
      <x v="1"/>
    </i>
    <i>
      <x v="39"/>
      <x v="1"/>
      <x/>
      <x v="1"/>
    </i>
    <i>
      <x v="40"/>
      <x/>
      <x/>
      <x v="2"/>
    </i>
    <i>
      <x v="41"/>
      <x v="2"/>
      <x/>
      <x v="2"/>
    </i>
    <i>
      <x v="42"/>
      <x/>
      <x/>
      <x v="2"/>
    </i>
    <i>
      <x v="43"/>
      <x v="2"/>
      <x/>
      <x v="2"/>
    </i>
    <i>
      <x v="44"/>
      <x v="1"/>
      <x/>
      <x v="2"/>
    </i>
    <i>
      <x v="45"/>
      <x v="1"/>
      <x/>
      <x v="2"/>
    </i>
    <i>
      <x v="46"/>
      <x/>
      <x/>
      <x v="2"/>
    </i>
    <i>
      <x v="47"/>
      <x/>
      <x/>
      <x v="2"/>
    </i>
    <i>
      <x v="48"/>
      <x/>
      <x/>
      <x v="3"/>
    </i>
    <i>
      <x v="49"/>
      <x/>
      <x/>
      <x v="3"/>
    </i>
    <i>
      <x v="50"/>
      <x v="2"/>
      <x/>
      <x v="3"/>
    </i>
    <i>
      <x v="51"/>
      <x/>
      <x/>
      <x v="3"/>
    </i>
    <i>
      <x v="52"/>
      <x v="2"/>
      <x/>
      <x v="4"/>
    </i>
    <i>
      <x v="53"/>
      <x v="1"/>
      <x/>
      <x v="4"/>
    </i>
    <i>
      <x v="54"/>
      <x/>
      <x/>
      <x v="4"/>
    </i>
    <i>
      <x v="55"/>
      <x v="2"/>
      <x/>
      <x v="4"/>
    </i>
    <i>
      <x v="56"/>
      <x v="2"/>
      <x/>
      <x v="4"/>
    </i>
    <i>
      <x v="57"/>
      <x/>
      <x/>
      <x v="4"/>
    </i>
    <i>
      <x v="58"/>
      <x v="2"/>
      <x/>
      <x v="4"/>
    </i>
    <i>
      <x v="59"/>
      <x v="2"/>
      <x/>
      <x v="4"/>
    </i>
    <i>
      <x v="60"/>
      <x/>
      <x/>
      <x v="4"/>
    </i>
    <i>
      <x v="61"/>
      <x v="2"/>
      <x/>
      <x v="4"/>
    </i>
    <i>
      <x v="62"/>
      <x/>
      <x/>
      <x v="4"/>
    </i>
    <i>
      <x v="63"/>
      <x v="1"/>
      <x/>
      <x v="4"/>
    </i>
    <i>
      <x v="64"/>
      <x/>
      <x/>
      <x v="4"/>
    </i>
    <i>
      <x v="65"/>
      <x v="2"/>
      <x/>
      <x v="4"/>
    </i>
    <i>
      <x v="66"/>
      <x v="1"/>
      <x/>
      <x v="4"/>
    </i>
    <i>
      <x v="67"/>
      <x/>
      <x/>
      <x v="4"/>
    </i>
    <i>
      <x v="68"/>
      <x v="1"/>
      <x/>
      <x v="4"/>
    </i>
    <i>
      <x v="69"/>
      <x/>
      <x/>
      <x v="5"/>
    </i>
    <i>
      <x v="70"/>
      <x v="2"/>
      <x/>
      <x v="5"/>
    </i>
    <i>
      <x v="71"/>
      <x/>
      <x/>
      <x v="5"/>
    </i>
    <i>
      <x v="72"/>
      <x/>
      <x/>
      <x v="5"/>
    </i>
    <i>
      <x v="73"/>
      <x v="1"/>
      <x/>
      <x v="5"/>
    </i>
    <i>
      <x v="74"/>
      <x v="1"/>
      <x/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hier="4" name="[Таблица3].[id департамента].&amp;[3]" cap="3"/>
  </pageFields>
  <dataFields count="6">
    <dataField name="Валовая себестоимость, тс. единицы, руб" fld="9" baseField="0" baseItem="0"/>
    <dataField name="Полная себестоимость единицы, руб." fld="10" baseField="4" baseItem="0"/>
    <dataField name="Цена за единицу (с учетом наценки продавца), руб." fld="6" baseField="0" baseItem="0"/>
    <dataField name="Персональная скидка менеджера" fld="7" baseField="0" baseItem="0"/>
    <dataField name="Цена продажи с учетом персональной скидки, руб." fld="8" baseField="0" baseItem="0"/>
    <dataField name="Комиссия продавца, руб." fld="5" baseField="0" baseItem="0"/>
  </dataFields>
  <formats count="4">
    <format dxfId="53">
      <pivotArea field="0" type="button" dataOnly="0" labelOnly="1" outline="0" axis="axisPage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">
      <pivotArea dataOnly="0" labelOnly="1" fieldPosition="0">
        <references count="1">
          <reference field="1" count="2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</reference>
        </references>
      </pivotArea>
    </format>
  </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Валовая себестоимость, тс. единицы, руб"/>
    <pivotHierarchy dragToData="1"/>
    <pivotHierarchy dragToData="1" caption="Цена за единицу (с учетом наценки продавца), руб."/>
    <pivotHierarchy dragToData="1" caption="Персональная скидка менеджера"/>
    <pivotHierarchy dragToData="1" caption="Цена продажи с учетом персональной скидки, руб."/>
    <pivotHierarchy dragToData="1" caption="Комиссия продавца, руб."/>
    <pivotHierarchy dragToData="1"/>
    <pivotHierarchy dragToData="1"/>
    <pivotHierarchy dragToData="1" caption="Полная себестоимость единицы, руб."/>
    <pivotHierarchy dragToData="1" caption="Комиссия продавца, %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18"/>
    <rowHierarchyUsage hierarchyUsage="3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полуэктова(1) (2).xlsm!Таблица3">
        <x15:activeTabTopLevelEntity name="[Таблица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Сводная таблица7" cacheId="7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7" indent="0" outline="1" outlineData="1" multipleFieldFilters="0">
  <location ref="V3:AB24" firstHeaderRow="0" firstDataRow="1" firstDataCol="1" rowPageCount="1" colPageCount="1"/>
  <pivotFields count="13">
    <pivotField dataField="1" numFmtId="164" showAll="0"/>
    <pivotField axis="axisRow" showAll="0">
      <items count="4">
        <item x="1"/>
        <item x="2"/>
        <item x="0"/>
        <item t="default"/>
      </items>
    </pivotField>
    <pivotField axis="axisPage" multipleItemSelectionAllowed="1" showAll="0">
      <items count="2">
        <item x="0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showAll="0"/>
    <pivotField showAll="0"/>
    <pivotField dataField="1" showAll="0"/>
    <pivotField dataField="1"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1">
    <i>
      <x/>
    </i>
    <i r="1">
      <x/>
    </i>
    <i r="1">
      <x v="1"/>
    </i>
    <i r="1">
      <x v="2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" hier="-1"/>
  </pageFields>
  <dataFields count="6">
    <dataField name="Количество по полю № договора" fld="0" subtotal="count" baseField="1" baseItem="0"/>
    <dataField name="ВЫРУЧКА" fld="8" baseField="0" baseItem="0"/>
    <dataField name="Полная себестоимость  продукции, руб." fld="5" baseField="0" baseItem="0"/>
    <dataField name="Комиссия менеджера, руб." fld="9" baseField="0" baseItem="0"/>
    <dataField name=" Страховые взносы на нач.комиссию" fld="11" baseField="0" baseItem="0"/>
    <dataField name=" Операционная прибыль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Сводная таблица6" cacheId="7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7" indent="0" outline="1" outlineData="1" multipleFieldFilters="0">
  <location ref="L3:T24" firstHeaderRow="0" firstDataRow="1" firstDataCol="1"/>
  <pivotFields count="13">
    <pivotField dataField="1" numFmtId="164" showAll="0"/>
    <pivotField axis="axisRow" showAll="0">
      <items count="4">
        <item x="1"/>
        <item x="2"/>
        <item x="0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showAll="0"/>
    <pivotField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3"/>
  </rowFields>
  <rowItems count="21">
    <i>
      <x/>
    </i>
    <i r="1">
      <x/>
    </i>
    <i r="1">
      <x v="1"/>
    </i>
    <i r="1">
      <x v="2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Количество по полю № договора" fld="0" subtotal="count" baseField="1" baseItem="0"/>
    <dataField name="ВЫРУЧКА" fld="8" baseField="0" baseItem="0"/>
    <dataField name="Валовая себестоимость пр. продукции" fld="4" baseField="0" baseItem="0"/>
    <dataField name="Валовая прибыль проданной продукции, руб." fld="10" baseField="0" baseItem="0"/>
    <dataField name="Полная себестоимость  продукции, руб." fld="5" baseField="0" baseItem="0"/>
    <dataField name="Комиссия менеджера, руб." fld="9" baseField="0" baseItem="0"/>
    <dataField name=" Страховые взносы на нач.комиссию" fld="11" baseField="0" baseItem="0"/>
    <dataField name=" Операционная прибыль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Сводная таблица1" cacheId="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8">
  <location ref="A3:D8" firstHeaderRow="0" firstDataRow="1" firstDataCol="1" rowPageCount="1" colPageCount="1"/>
  <pivotFields count="22">
    <pivotField numFmtId="164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numFmtId="49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dataField="1" showAll="0"/>
    <pivotField numFmtId="9" showAl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ВЫРУЧКА" fld="13" baseField="0" baseItem="0"/>
    <dataField name="Полная себестоимость единицы, руб.   " fld="10" baseField="0" baseItem="0"/>
    <dataField name="  Операционная прибыль, руб. " fld="17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Сводная таблица8" cacheId="3" applyNumberFormats="0" applyBorderFormats="0" applyFontFormats="0" applyPatternFormats="0" applyAlignmentFormats="0" applyWidthHeightFormats="1" dataCaption="Значения" tag="e814c28d-f2ec-4b2d-999a-490eac6f4c11" updatedVersion="7" minRefreshableVersion="5" useAutoFormatting="1" itemPrintTitles="1" createdVersion="6" indent="0" outline="1" outlineData="1" multipleFieldFilters="0" chartFormat="8">
  <location ref="D13:E18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llDrilled="1" showAll="0" dataSourceSort="1" defaultAttributeDrillState="1">
      <items count="1"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Сумма по столбцу Валовая себестоимость, тс. единицы, руб" fld="1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dateBetween" evalOrder="-1" id="10" name="[Таблица3].[Дата продажи]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брендыы]"/>
        <x15:activeTabTopLevelEntity name="[Таблица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Сводная таблица4" cacheId="4" applyNumberFormats="0" applyBorderFormats="0" applyFontFormats="0" applyPatternFormats="0" applyAlignmentFormats="0" applyWidthHeightFormats="1" dataCaption="Значения" updatedVersion="8" minRefreshableVersion="5" useAutoFormatting="1" itemPrintTitles="1" createdVersion="6" indent="0" outline="1" outlineData="1" multipleFieldFilters="0" chartFormat="31">
  <location ref="A38:B42" firstHeaderRow="1" firstDataRow="1" firstDataCol="1" rowPageCount="1" colPageCount="1"/>
  <pivotFields count="22">
    <pivotField dataField="1" numFmtId="164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numFmtId="49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8" hier="-1"/>
  </pageFields>
  <dataFields count="1">
    <dataField name="Количество по полю № договора" fld="0" subtotal="count" baseField="2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Сводная таблица3" cacheId="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4">
  <location ref="A25:B32" firstHeaderRow="1" firstDataRow="1" firstDataCol="1" rowPageCount="1" colPageCount="1"/>
  <pivotFields count="22">
    <pivotField dataField="1" numFmtId="16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numFmtId="49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8" hier="-1"/>
  </pageFields>
  <dataFields count="1">
    <dataField name="Количество по полю № договора" fld="0" subtotal="count" baseField="1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Сводная таблица2" cacheId="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29" rowHeaderCaption="Виды товаров">
  <location ref="A13:B21" firstHeaderRow="1" firstDataRow="1" firstDataCol="1" rowPageCount="1" colPageCount="1"/>
  <pivotFields count="22">
    <pivotField dataField="1" numFmtId="164" showAll="0"/>
    <pivotField showAll="0"/>
    <pivotField showAll="0"/>
    <pivotField showAll="0"/>
    <pivotField showAll="0"/>
    <pivotField axis="axisRow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numFmtId="49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8" hier="-1"/>
  </pageFields>
  <dataFields count="1">
    <dataField name="Количество по полю № договора" fld="0" subtotal="count" baseField="5" baseItem="4"/>
  </dataField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Сводная таблица1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23">
  <location ref="N120:O137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axis="axisRow" showAll="0" sortType="ascending">
      <items count="18">
        <item x="11"/>
        <item x="5"/>
        <item x="15"/>
        <item x="10"/>
        <item x="0"/>
        <item x="4"/>
        <item x="1"/>
        <item x="8"/>
        <item x="7"/>
        <item x="12"/>
        <item x="14"/>
        <item x="9"/>
        <item x="13"/>
        <item x="6"/>
        <item x="3"/>
        <item x="2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6">
        <item x="1"/>
        <item x="3"/>
        <item x="0"/>
        <item x="2"/>
        <item x="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17">
    <i>
      <x v="4"/>
    </i>
    <i>
      <x v="5"/>
    </i>
    <i>
      <x v="9"/>
    </i>
    <i>
      <x v="14"/>
    </i>
    <i>
      <x v="15"/>
    </i>
    <i>
      <x v="1"/>
    </i>
    <i>
      <x v="11"/>
    </i>
    <i>
      <x v="3"/>
    </i>
    <i>
      <x v="6"/>
    </i>
    <i>
      <x v="8"/>
    </i>
    <i>
      <x/>
    </i>
    <i>
      <x v="7"/>
    </i>
    <i>
      <x v="13"/>
    </i>
    <i>
      <x v="12"/>
    </i>
    <i>
      <x v="10"/>
    </i>
    <i>
      <x v="2"/>
    </i>
    <i t="grand">
      <x/>
    </i>
  </rowItems>
  <colItems count="1">
    <i/>
  </colItems>
  <dataFields count="1">
    <dataField name="Сумма по полю Рентабельность2" fld="18" baseField="0" baseItem="0"/>
  </dataFields>
  <formats count="2">
    <format dxfId="29">
      <pivotArea collapsedLevelsAreSubtotals="1" fieldPosition="0">
        <references count="1">
          <reference field="4" count="1">
            <x v="0"/>
          </reference>
        </references>
      </pivotArea>
    </format>
    <format dxfId="28">
      <pivotArea collapsedLevelsAreSubtotals="1" fieldPosition="0">
        <references count="1">
          <reference field="4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</formats>
  <chartFormats count="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фин резы рент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8">
  <location ref="W132:X133" firstHeaderRow="0" firstDataRow="1" firstDataCol="0"/>
  <pivotFields count="22">
    <pivotField numFmtId="164" showAll="0"/>
    <pivotField showAll="0"/>
    <pivotField showAll="0"/>
    <pivotField showAll="0"/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Сумма по полю Рентабельность2" fld="18" baseField="0" baseItem="0"/>
    <dataField name="Сумма по полю рент80" fld="20" baseField="0" baseItem="0"/>
  </dataFields>
  <pivotTableStyleInfo name="PivotStyleLight16" showRowHeaders="1" showColHeaders="1" showRowStripes="0" showColStripes="0" showLastColumn="1"/>
  <filters count="1">
    <filter fld="7" type="dateBetween" evalOrder="-1" id="509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Сводная таблица2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8">
  <location ref="W43:Y49" firstHeaderRow="0" firstDataRow="1" firstDataCol="1"/>
  <pivotFields count="22">
    <pivotField numFmtId="16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dataField="1"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Валовая себестоимость, тс. единицы, руб" fld="9" baseField="0" baseItem="0"/>
    <dataField name="Сумма по полю Цена продажи с учетом персональной скидки, руб." fld="13" baseField="0" baseItem="0"/>
  </dataField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Рентабельность по городам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9">
  <location ref="W19:Y36" firstHeaderRow="1" firstDataRow="1" firstDataCol="0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>
      <items count="18">
        <item x="11"/>
        <item x="5"/>
        <item x="15"/>
        <item x="10"/>
        <item x="0"/>
        <item x="4"/>
        <item x="1"/>
        <item x="8"/>
        <item x="7"/>
        <item x="12"/>
        <item x="14"/>
        <item x="9"/>
        <item x="13"/>
        <item x="6"/>
        <item x="3"/>
        <item x="2"/>
        <item x="16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Рентабельность по названию товаров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0">
  <location ref="W54:W61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Сводная таблица8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24">
  <location ref="Q120:R127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 sortType="ascending">
      <items count="18">
        <item x="11"/>
        <item x="5"/>
        <item x="15"/>
        <item x="10"/>
        <item x="0"/>
        <item x="4"/>
        <item x="1"/>
        <item x="8"/>
        <item x="7"/>
        <item x="12"/>
        <item x="14"/>
        <item x="9"/>
        <item x="13"/>
        <item x="6"/>
        <item x="3"/>
        <item x="2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8">
        <item x="0"/>
        <item x="1"/>
        <item x="2"/>
        <item x="3"/>
        <item x="4"/>
        <item x="5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1"/>
        <item x="3"/>
        <item x="0"/>
        <item x="2"/>
        <item x="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 v="5"/>
    </i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Сумма по полю Рентабельность2" fld="18" baseField="0" baseItem="0"/>
  </dataFields>
  <formats count="1">
    <format dxfId="30">
      <pivotArea collapsedLevelsAreSubtotals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</formats>
  <chartFormats count="3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Сводная таблица3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2">
  <location ref="W65:W66" firstHeaderRow="1" firstDataRow="1" firstDataCol="0"/>
  <pivotFields count="22">
    <pivotField dataField="1"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Items count="1">
    <i/>
  </rowItems>
  <colItems count="1">
    <i/>
  </colItems>
  <dataFields count="1">
    <dataField name="Количество по полю № договора" fld="0" subtotal="count" baseField="16" baseItem="1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фин резы0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5">
  <location ref="W100:X101" firstHeaderRow="0" firstDataRow="1" firstDataCol="0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Выручка" fld="13" baseField="0" baseItem="1"/>
    <dataField name="Сумма по полю Операционная прибыль, руб." fld="17" baseField="0" baseItem="0"/>
  </dataField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Сводная таблица5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5">
  <location ref="W80:X87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 sortType="ascending">
      <items count="8">
        <item x="0"/>
        <item x="1"/>
        <item x="2"/>
        <item x="3"/>
        <item x="4"/>
        <item x="5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 v="3"/>
    </i>
    <i>
      <x v="2"/>
    </i>
    <i>
      <x v="5"/>
    </i>
    <i>
      <x v="4"/>
    </i>
    <i>
      <x/>
    </i>
    <i>
      <x v="1"/>
    </i>
    <i t="grand">
      <x/>
    </i>
  </rowItems>
  <colItems count="1">
    <i/>
  </colItems>
  <dataFields count="1">
    <dataField name="Сумма по полю Цена продажи с учетом персональной скидки, руб." fld="13" baseField="0" baseItem="0"/>
  </dataFields>
  <chartFormats count="2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Сводная таблица6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8">
  <location ref="W90:X97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Количество по полю Цена продажи с учетом персональной скидки, руб." fld="13" subtotal="count" baseField="5" baseItem="1" numFmtId="2"/>
  </dataFields>
  <chartFormats count="7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4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4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4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4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name="Сводная таблица10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6">
  <location ref="E127:F131" firstHeaderRow="1" firstDataRow="1" firstDataCol="1"/>
  <pivotFields count="22">
    <pivotField dataField="1"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21"/>
    <field x="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Количество по полю № договора" fld="0" subtotal="count" baseField="16" baseItem="1"/>
  </dataField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1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name="Сводная таблица7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23">
  <location ref="W108:X113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axis="axisRow" showAll="0">
      <items count="6">
        <item x="1"/>
        <item x="3"/>
        <item x="0"/>
        <item x="2"/>
        <item x="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по полю Цена продажи с учетом персональной скидки, руб." fld="13" subtotal="count" baseField="5" baseItem="1" numFmtId="2"/>
  </dataFields>
  <chartFormats count="6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name="фин резы2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22">
  <location ref="W123:Z129" firstHeaderRow="0" firstDataRow="1" firstDataCol="1"/>
  <pivotFields count="22">
    <pivotField numFmtId="16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dataField="1" showAll="0"/>
    <pivotField showAll="0"/>
    <pivotField showAll="0"/>
    <pivotField dataField="1" showAll="0"/>
    <pivotField numFmtId="9" showAl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Сумма по полю Полная себестоимость единицы, руб." fld="10" baseField="0" baseItem="0"/>
    <dataField name="Сумма по полю Операционная прибыль, руб." fld="17" baseField="0" baseItem="0"/>
    <dataField name="Сумма по полю Цена продажи с учетом персональной скидки, руб." fld="13" baseField="0" baseItem="0"/>
  </dataFields>
  <chartFormats count="6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09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name="Сводная таблица4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16">
  <location ref="W72:X77" firstHeaderRow="1" firstDataRow="1" firstDataCol="1"/>
  <pivotFields count="22">
    <pivotField numFmtId="16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axis="axisRow" showAll="0" sortType="ascending">
      <items count="6">
        <item x="1"/>
        <item x="3"/>
        <item x="0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Сумма по полю Цена продажи с учетом персональной скидки, руб." fld="13" baseField="0" baseItem="0"/>
  </dataFields>
  <chartFormats count="1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31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name="фин резы1" cacheId="4" applyNumberFormats="0" applyBorderFormats="0" applyFontFormats="0" applyPatternFormats="0" applyAlignmentFormats="0" applyWidthHeightFormats="1" dataCaption="Значения" updatedVersion="6" minRefreshableVersion="5" useAutoFormatting="1" itemPrintTitles="1" createdVersion="6" indent="0" outline="1" outlineData="1" multipleFieldFilters="0" chartFormat="26">
  <location ref="W116:Z120" firstHeaderRow="0" firstDataRow="1" firstDataCol="1"/>
  <pivotFields count="22">
    <pivotField numFmtId="164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9" showAll="0"/>
    <pivotField showAll="0"/>
    <pivotField dataField="1" showAll="0"/>
    <pivotField showAll="0"/>
    <pivotField showAll="0"/>
    <pivotField dataField="1" showAll="0"/>
    <pivotField numFmtId="9" showAl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Сумма по полю Полная себестоимость единицы, руб." fld="10" baseField="0" baseItem="0"/>
    <dataField name="Сумма по полю Операционная прибыль, руб." fld="17" baseField="0" baseItem="0"/>
    <dataField name="Сумма по полю Цена продажи с учетом персональной скидки, руб." fld="13" baseField="0" baseItem="0"/>
  </dataFields>
  <chartFormats count="1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7" format="1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7" format="1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509" name="Дата продажи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name="Сводная таблица7" cacheId="2" applyNumberFormats="0" applyBorderFormats="0" applyFontFormats="0" applyPatternFormats="0" applyAlignmentFormats="0" applyWidthHeightFormats="1" dataCaption="Значения" tag="702d50dd-a80f-4d63-a836-b66dcec000bd" updatedVersion="6" minRefreshableVersion="3" useAutoFormatting="1" itemPrintTitles="1" createdVersion="6" indent="0" outline="1" outlineData="1" multipleFieldFilters="0">
  <location ref="Q37:R46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1"/>
  </rowFields>
  <rowItems count="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t="grand">
      <x/>
    </i>
  </rowItems>
  <colItems count="1">
    <i/>
  </colItems>
  <dataFields count="1">
    <dataField name="Сумма по столбцу Валовая себестоимость, тс. единицы, руб" fld="2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брендыы]"/>
        <x15:activeTabTopLevelEntity name="[Таблица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5">
    <queryTableFields count="4">
      <queryTableField id="1" name="Дата продажи" tableColumnId="1"/>
      <queryTableField id="2" name="ФИО покупателя" tableColumnId="2"/>
      <queryTableField id="3" name="Наименование товара" tableColumnId="3"/>
      <queryTableField id="4" name="Город отправки 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неджер_по_продажам" sourceName="Менеджер по продажам">
  <pivotTables>
    <pivotTable tabId="19" name="Рентабельность по городам"/>
    <pivotTable tabId="19" name="Рентабельность по названию товаров"/>
    <pivotTable tabId="19" name="Сводная таблица2"/>
    <pivotTable tabId="19" name="Сводная таблица3"/>
    <pivotTable tabId="19" name="Сводная таблица4"/>
    <pivotTable tabId="19" name="Сводная таблица5"/>
    <pivotTable tabId="19" name="Сводная таблица6"/>
    <pivotTable tabId="19" name="фин резы0"/>
    <pivotTable tabId="19" name="Сводная таблица7"/>
    <pivotTable tabId="19" name="Сводная таблица1"/>
    <pivotTable tabId="19" name="Сводная таблица8"/>
    <pivotTable tabId="19" name="Сводная таблица10"/>
  </pivotTables>
  <data>
    <tabular pivotCacheId="1580331740">
      <items count="6">
        <i x="0" s="1"/>
        <i x="1" s="1"/>
        <i x="2" s="1"/>
        <i x="3" s="1"/>
        <i x="4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id_департамента" sourceName="id департамента ">
  <pivotTables>
    <pivotTable tabId="19" name="Рентабельность по городам"/>
    <pivotTable tabId="19" name="Рентабельность по названию товаров"/>
    <pivotTable tabId="19" name="Сводная таблица2"/>
    <pivotTable tabId="19" name="Сводная таблица3"/>
    <pivotTable tabId="19" name="Сводная таблица4"/>
    <pivotTable tabId="19" name="Сводная таблица5"/>
    <pivotTable tabId="19" name="Сводная таблица6"/>
    <pivotTable tabId="19" name="фин резы0"/>
    <pivotTable tabId="19" name="Сводная таблица7"/>
    <pivotTable tabId="19" name="Сводная таблица1"/>
    <pivotTable tabId="19" name="Сводная таблица8"/>
    <pivotTable tabId="19" name="Сводная таблица10"/>
  </pivotTables>
  <data>
    <tabular pivotCacheId="1580331740">
      <items count="4">
        <i x="0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Наименование_товара" sourceName="Наименование товара">
  <pivotTables>
    <pivotTable tabId="19" name="фин резы1"/>
    <pivotTable tabId="19" name="фин резы2"/>
    <pivotTable tabId="19" name="фин резы0"/>
    <pivotTable tabId="19" name="фин резы рент"/>
  </pivotTables>
  <data>
    <tabular pivotCacheId="1580331740">
      <items count="7">
        <i x="0" s="1"/>
        <i x="1" s="1"/>
        <i x="2" s="1"/>
        <i x="3" s="1"/>
        <i x="4" s="1"/>
        <i x="5" s="1"/>
        <i x="6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Менеджер по продажам" cache="Срез_Менеджер_по_продажам" caption="Менеджер по продажам" style="SlicerStyleDark6" rowHeight="241300"/>
  <slicer name="id департамента " cache="Срез_id_департамента" caption="id департамента " style="SlicerStyleDark6" rowHeight="241300"/>
  <slicer name="Наименование товара" cache="Срез_Наименование_товара" caption="Наименование товара" style="SlicerStyleDark6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Исходные_данные_2__2" displayName="Исходные_данные_2__2" ref="A1:D401" tableType="queryTable" totalsRowShown="0">
  <autoFilter ref="A1:D401"/>
  <tableColumns count="4">
    <tableColumn id="1" uniqueName="1" name="Дата продажи" queryTableFieldId="1" dataDxfId="73"/>
    <tableColumn id="2" uniqueName="2" name="ФИО покупателя" queryTableFieldId="2" dataDxfId="72"/>
    <tableColumn id="3" uniqueName="3" name="Наименование товара" queryTableFieldId="3" dataDxfId="71"/>
    <tableColumn id="4" uniqueName="4" name="Город отправки " queryTableFieldId="4" dataDxfId="7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Таблица1" displayName="Таблица1" ref="A1:F401" totalsRowShown="0">
  <autoFilter ref="A1:F401"/>
  <tableColumns count="6">
    <tableColumn id="1" name="Менеджер по продажам" dataDxfId="69"/>
    <tableColumn id="2" name="ФИО покупателя"/>
    <tableColumn id="3" name="Наименование товара"/>
    <tableColumn id="4" name="Персональная скидка менеджмера"/>
    <tableColumn id="5" name="Дата" dataDxfId="68">
      <calculatedColumnFormula array="1">INDEX(Исходные_данные_2__2[Дата продажи],MATCH('Исходные данные 2'!B2&amp;'Исходные данные 2'!C2,Исходные_данные_2__2[ФИО покупателя]&amp;Исходные_данные_2__2[Наименование товара],0))</calculatedColumnFormula>
    </tableColumn>
    <tableColumn id="6" name="Город отправления" dataDxfId="67">
      <calculatedColumnFormula array="1">INDEX(Исходные_данные_2__2[[Город отправки ]],MATCH('Исходные данные 2'!B2&amp;'Исходные данные 2'!C2,Исходные_данные_2__2[ФИО покупателя]&amp;Исходные_данные_2__2[Наименование товара],0))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1:Q402" totalsRowShown="0" headerRowDxfId="49" dataDxfId="48">
  <autoFilter ref="A1:Q402"/>
  <sortState ref="A2:P401">
    <sortCondition ref="B1:B401"/>
  </sortState>
  <tableColumns count="17">
    <tableColumn id="1" name="№ договора" dataDxfId="47">
      <calculatedColumnFormula>ROW(A2)-1</calculatedColumnFormula>
    </tableColumn>
    <tableColumn id="2" name="Менеджер по продажам" dataDxfId="46"/>
    <tableColumn id="3" name="id департамента " dataDxfId="45">
      <calculatedColumnFormula>IF(OR(B2="Гаврилов Н.А.",Таблица3[[#This Row],[Менеджер по продажам]]="Никифорова В.М."),1,IF(Таблица3[[#This Row],[Менеджер по продажам]]="Соколов Г.П.",3,2))</calculatedColumnFormula>
    </tableColumn>
    <tableColumn id="4" name="ФИО покупателя" dataDxfId="44"/>
    <tableColumn id="5" name="Город отправления" dataDxfId="43"/>
    <tableColumn id="6" name="Наименование товара" dataDxfId="42"/>
    <tableColumn id="7" name="Бренд" dataDxfId="41">
      <calculatedColumnFormula>VLOOKUP(Таблица3[[#This Row],[Наименование товара]],Склад!$A$3:$B$8,2,1)</calculatedColumnFormula>
    </tableColumn>
    <tableColumn id="8" name="Дата продажи" dataDxfId="40"/>
    <tableColumn id="9" name="Квартал" dataDxfId="39">
      <calculatedColumnFormula>INT((MONTH(Таблица3[[#This Row],[Дата продажи]])+2)/3)</calculatedColumnFormula>
    </tableColumn>
    <tableColumn id="10" name="Валовая себестоимость, тс. единицы, руб" dataDxfId="38">
      <calculatedColumnFormula>VLOOKUP(Таблица3[[#This Row],[Наименование товара]],Склад!$A$3:$M$8,9,0)</calculatedColumnFormula>
    </tableColumn>
    <tableColumn id="11" name="Полная себестоимость единицы, руб." dataDxfId="37">
      <calculatedColumnFormula>Таблица3[[#This Row],[Валовая себестоимость, тс. единицы, руб]]+VLOOKUP(Таблица3[[#This Row],[Наименование товара]],'Справочная информация'!A$12:E$17,5,0)</calculatedColumnFormula>
    </tableColumn>
    <tableColumn id="12" name="Цена за единицу (с учетом наценки продавца), руб." dataDxfId="36">
      <calculatedColumnFormula>CEILING(VLOOKUP(Таблица3[[#This Row],[Наименование товара]],'Справочная информация'!A$21:B$26,2,0)*Таблица3[[#This Row],[Полная себестоимость единицы, руб.]],1)</calculatedColumnFormula>
    </tableColumn>
    <tableColumn id="13" name="Персональная скидка менеджера" dataDxfId="35"/>
    <tableColumn id="14" name="Цена продажи с учетом персональной скидки, руб." dataDxfId="34">
      <calculatedColumnFormula>CEILING((Таблица3[[#This Row],[Цена за единицу (с учетом наценки продавца), руб.]] - Таблица3[[#This Row],[Цена за единицу (с учетом наценки продавца), руб.]]*M2),1)</calculatedColumnFormula>
    </tableColumn>
    <tableColumn id="15" name="Комиссия продавца, %" dataDxfId="33">
      <calculatedColumnFormula>VLOOKUP(Таблица3[[#This Row],[Менеджер по продажам]],'Справочная информация'!B$2:C$6,2,0)</calculatedColumnFormula>
    </tableColumn>
    <tableColumn id="16" name="Комиссия продавца, руб." dataDxfId="32">
      <calculatedColumnFormula>Таблица3[[#This Row],[Цена продажи с учетом персональной скидки, руб.]]*O2</calculatedColumnFormula>
    </tableColumn>
    <tableColumn id="17" name="рентабельность" dataDxfId="3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7" name="брендыы" displayName="брендыы" ref="T13:U17" totalsRowShown="0">
  <autoFilter ref="T13:U17"/>
  <tableColumns count="2">
    <tableColumn id="1" name="Бренд"/>
    <tableColumn id="2" name="Страна поставщика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ВстроеннаяВременнаяШкала_Дата_продажи" sourceName="Дата продажи">
  <pivotTables>
    <pivotTable tabId="16" name="Сводная таблица4"/>
    <pivotTable tabId="19" name="Рентабельность по городам"/>
    <pivotTable tabId="19" name="Сводная таблица2"/>
    <pivotTable tabId="19" name="Рентабельность по названию товаров"/>
    <pivotTable tabId="19" name="Сводная таблица3"/>
    <pivotTable tabId="19" name="Сводная таблица4"/>
    <pivotTable tabId="19" name="Сводная таблица5"/>
    <pivotTable tabId="19" name="Сводная таблица6"/>
    <pivotTable tabId="19" name="фин резы0"/>
    <pivotTable tabId="19" name="Сводная таблица7"/>
    <pivotTable tabId="19" name="фин резы1"/>
    <pivotTable tabId="19" name="фин резы2"/>
    <pivotTable tabId="19" name="фин резы рент"/>
    <pivotTable tabId="19" name="Сводная таблица1"/>
    <pivotTable tabId="19" name="Сводная таблица8"/>
    <pivotTable tabId="19" name="Сводная таблица10"/>
  </pivotTables>
  <state minimalRefreshVersion="6" lastRefreshVersion="6" pivotCacheId="1580331740" filterType="dateBetween">
    <selection startDate="2023-01-01T00:00:00" endDate="2023-03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Дата продажи" cache="ВстроеннаяВременнаяШкала_Дата_продажи" caption="Дата продажи" level="1" selectionLevel="1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Дата продажи 1" cache="ВстроеннаяВременнаяШкала_Дата_продажи" caption="Дата продажи" level="1" selectionLevel="1" scrollPosition="2023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14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18" Type="http://schemas.microsoft.com/office/2007/relationships/slicer" Target="../slicers/slicer1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17" Type="http://schemas.openxmlformats.org/officeDocument/2006/relationships/drawing" Target="../drawings/drawing3.xml"/><Relationship Id="rId2" Type="http://schemas.openxmlformats.org/officeDocument/2006/relationships/pivotTable" Target="../pivotTables/pivotTable18.xml"/><Relationship Id="rId16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19" Type="http://schemas.microsoft.com/office/2011/relationships/timeline" Target="../timelines/timeline2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401"/>
  <sheetViews>
    <sheetView workbookViewId="0">
      <selection activeCell="C124" sqref="C124"/>
    </sheetView>
  </sheetViews>
  <sheetFormatPr defaultRowHeight="15" x14ac:dyDescent="0.25"/>
  <cols>
    <col min="1" max="1" width="16.5703125" bestFit="1" customWidth="1"/>
    <col min="2" max="2" width="19.140625" bestFit="1" customWidth="1"/>
    <col min="3" max="3" width="24.140625" bestFit="1" customWidth="1"/>
    <col min="4" max="4" width="18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44927</v>
      </c>
      <c r="B2" t="s">
        <v>4</v>
      </c>
      <c r="C2" t="s">
        <v>5</v>
      </c>
      <c r="D2" t="s">
        <v>6</v>
      </c>
    </row>
    <row r="3" spans="1:4" x14ac:dyDescent="0.25">
      <c r="A3" s="1">
        <v>44927</v>
      </c>
      <c r="B3" t="s">
        <v>7</v>
      </c>
      <c r="C3" t="s">
        <v>8</v>
      </c>
      <c r="D3" t="s">
        <v>9</v>
      </c>
    </row>
    <row r="4" spans="1:4" x14ac:dyDescent="0.25">
      <c r="A4" s="1">
        <v>44927</v>
      </c>
      <c r="B4" t="s">
        <v>10</v>
      </c>
      <c r="C4" t="s">
        <v>8</v>
      </c>
      <c r="D4" t="s">
        <v>11</v>
      </c>
    </row>
    <row r="5" spans="1:4" x14ac:dyDescent="0.25">
      <c r="A5" s="1">
        <v>44927</v>
      </c>
      <c r="B5" t="s">
        <v>12</v>
      </c>
      <c r="C5" t="s">
        <v>5</v>
      </c>
      <c r="D5" t="s">
        <v>13</v>
      </c>
    </row>
    <row r="6" spans="1:4" x14ac:dyDescent="0.25">
      <c r="A6" s="1">
        <v>44927</v>
      </c>
      <c r="B6" t="s">
        <v>12</v>
      </c>
      <c r="C6" t="s">
        <v>8</v>
      </c>
      <c r="D6" t="s">
        <v>13</v>
      </c>
    </row>
    <row r="7" spans="1:4" x14ac:dyDescent="0.25">
      <c r="A7" s="1">
        <v>44928</v>
      </c>
      <c r="B7" t="s">
        <v>14</v>
      </c>
      <c r="C7" t="s">
        <v>15</v>
      </c>
      <c r="D7" t="s">
        <v>11</v>
      </c>
    </row>
    <row r="8" spans="1:4" x14ac:dyDescent="0.25">
      <c r="A8" s="1">
        <v>44928</v>
      </c>
      <c r="B8" t="s">
        <v>16</v>
      </c>
      <c r="C8" t="s">
        <v>17</v>
      </c>
      <c r="D8" t="s">
        <v>18</v>
      </c>
    </row>
    <row r="9" spans="1:4" x14ac:dyDescent="0.25">
      <c r="A9" s="1">
        <v>44928</v>
      </c>
      <c r="B9" t="s">
        <v>19</v>
      </c>
      <c r="C9" t="s">
        <v>8</v>
      </c>
      <c r="D9" t="s">
        <v>20</v>
      </c>
    </row>
    <row r="10" spans="1:4" x14ac:dyDescent="0.25">
      <c r="A10" s="1">
        <v>44928</v>
      </c>
      <c r="B10" t="s">
        <v>21</v>
      </c>
      <c r="C10" t="s">
        <v>22</v>
      </c>
      <c r="D10" t="s">
        <v>23</v>
      </c>
    </row>
    <row r="11" spans="1:4" x14ac:dyDescent="0.25">
      <c r="A11" s="1">
        <v>44928</v>
      </c>
      <c r="B11" t="s">
        <v>24</v>
      </c>
      <c r="C11" t="s">
        <v>5</v>
      </c>
      <c r="D11" t="s">
        <v>18</v>
      </c>
    </row>
    <row r="12" spans="1:4" x14ac:dyDescent="0.25">
      <c r="A12" s="1">
        <v>44929</v>
      </c>
      <c r="B12" t="s">
        <v>25</v>
      </c>
      <c r="C12" t="s">
        <v>8</v>
      </c>
      <c r="D12" t="s">
        <v>9</v>
      </c>
    </row>
    <row r="13" spans="1:4" x14ac:dyDescent="0.25">
      <c r="A13" s="1">
        <v>44929</v>
      </c>
      <c r="B13" t="s">
        <v>26</v>
      </c>
      <c r="C13" t="s">
        <v>22</v>
      </c>
      <c r="D13" t="s">
        <v>9</v>
      </c>
    </row>
    <row r="14" spans="1:4" x14ac:dyDescent="0.25">
      <c r="A14" s="1">
        <v>44930</v>
      </c>
      <c r="B14" t="s">
        <v>27</v>
      </c>
      <c r="C14" t="s">
        <v>15</v>
      </c>
      <c r="D14" t="s">
        <v>9</v>
      </c>
    </row>
    <row r="15" spans="1:4" x14ac:dyDescent="0.25">
      <c r="A15" s="1">
        <v>44930</v>
      </c>
      <c r="B15" t="s">
        <v>28</v>
      </c>
      <c r="C15" t="s">
        <v>5</v>
      </c>
      <c r="D15" t="s">
        <v>29</v>
      </c>
    </row>
    <row r="16" spans="1:4" x14ac:dyDescent="0.25">
      <c r="A16" s="1">
        <v>44931</v>
      </c>
      <c r="B16" t="s">
        <v>30</v>
      </c>
      <c r="C16" t="s">
        <v>17</v>
      </c>
      <c r="D16" t="s">
        <v>31</v>
      </c>
    </row>
    <row r="17" spans="1:4" x14ac:dyDescent="0.25">
      <c r="A17" s="1">
        <v>44931</v>
      </c>
      <c r="B17" t="s">
        <v>32</v>
      </c>
      <c r="C17" t="s">
        <v>17</v>
      </c>
      <c r="D17" t="s">
        <v>20</v>
      </c>
    </row>
    <row r="18" spans="1:4" x14ac:dyDescent="0.25">
      <c r="A18" s="1">
        <v>44933</v>
      </c>
      <c r="B18" t="s">
        <v>33</v>
      </c>
      <c r="C18" t="s">
        <v>15</v>
      </c>
      <c r="D18" t="s">
        <v>34</v>
      </c>
    </row>
    <row r="19" spans="1:4" x14ac:dyDescent="0.25">
      <c r="A19" s="1">
        <v>44933</v>
      </c>
      <c r="B19" t="s">
        <v>35</v>
      </c>
      <c r="C19" t="s">
        <v>22</v>
      </c>
      <c r="D19" t="s">
        <v>9</v>
      </c>
    </row>
    <row r="20" spans="1:4" x14ac:dyDescent="0.25">
      <c r="A20" s="1">
        <v>44933</v>
      </c>
      <c r="B20" t="s">
        <v>36</v>
      </c>
      <c r="C20" t="s">
        <v>37</v>
      </c>
      <c r="D20" t="s">
        <v>20</v>
      </c>
    </row>
    <row r="21" spans="1:4" x14ac:dyDescent="0.25">
      <c r="A21" s="1">
        <v>44933</v>
      </c>
      <c r="B21" t="s">
        <v>38</v>
      </c>
      <c r="C21" t="s">
        <v>17</v>
      </c>
      <c r="D21" t="s">
        <v>9</v>
      </c>
    </row>
    <row r="22" spans="1:4" x14ac:dyDescent="0.25">
      <c r="A22" s="1">
        <v>44933</v>
      </c>
      <c r="B22" t="s">
        <v>39</v>
      </c>
      <c r="C22" t="s">
        <v>8</v>
      </c>
      <c r="D22" t="s">
        <v>6</v>
      </c>
    </row>
    <row r="23" spans="1:4" x14ac:dyDescent="0.25">
      <c r="A23" s="1">
        <v>44934</v>
      </c>
      <c r="B23" t="s">
        <v>40</v>
      </c>
      <c r="C23" t="s">
        <v>8</v>
      </c>
      <c r="D23" t="s">
        <v>29</v>
      </c>
    </row>
    <row r="24" spans="1:4" x14ac:dyDescent="0.25">
      <c r="A24" s="1">
        <v>44934</v>
      </c>
      <c r="B24" t="s">
        <v>41</v>
      </c>
      <c r="C24" t="s">
        <v>15</v>
      </c>
      <c r="D24" t="s">
        <v>31</v>
      </c>
    </row>
    <row r="25" spans="1:4" x14ac:dyDescent="0.25">
      <c r="A25" s="1">
        <v>44934</v>
      </c>
      <c r="B25" t="s">
        <v>42</v>
      </c>
      <c r="C25" t="s">
        <v>17</v>
      </c>
      <c r="D25" t="s">
        <v>11</v>
      </c>
    </row>
    <row r="26" spans="1:4" x14ac:dyDescent="0.25">
      <c r="A26" s="1">
        <v>44934</v>
      </c>
      <c r="B26" t="s">
        <v>43</v>
      </c>
      <c r="C26" t="s">
        <v>17</v>
      </c>
      <c r="D26" t="s">
        <v>11</v>
      </c>
    </row>
    <row r="27" spans="1:4" x14ac:dyDescent="0.25">
      <c r="A27" s="1">
        <v>44934</v>
      </c>
      <c r="B27" t="s">
        <v>44</v>
      </c>
      <c r="C27" t="s">
        <v>37</v>
      </c>
      <c r="D27" t="s">
        <v>20</v>
      </c>
    </row>
    <row r="28" spans="1:4" x14ac:dyDescent="0.25">
      <c r="A28" s="1">
        <v>44934</v>
      </c>
      <c r="B28" t="s">
        <v>45</v>
      </c>
      <c r="C28" t="s">
        <v>5</v>
      </c>
      <c r="D28" t="s">
        <v>9</v>
      </c>
    </row>
    <row r="29" spans="1:4" x14ac:dyDescent="0.25">
      <c r="A29" s="1">
        <v>44934</v>
      </c>
      <c r="B29" t="s">
        <v>45</v>
      </c>
      <c r="C29" t="s">
        <v>22</v>
      </c>
      <c r="D29" t="s">
        <v>9</v>
      </c>
    </row>
    <row r="30" spans="1:4" x14ac:dyDescent="0.25">
      <c r="A30" s="1">
        <v>44935</v>
      </c>
      <c r="B30" t="s">
        <v>46</v>
      </c>
      <c r="C30" t="s">
        <v>8</v>
      </c>
      <c r="D30" t="s">
        <v>47</v>
      </c>
    </row>
    <row r="31" spans="1:4" x14ac:dyDescent="0.25">
      <c r="A31" s="1">
        <v>44935</v>
      </c>
      <c r="B31" t="s">
        <v>48</v>
      </c>
      <c r="C31" t="s">
        <v>22</v>
      </c>
      <c r="D31" t="s">
        <v>29</v>
      </c>
    </row>
    <row r="32" spans="1:4" x14ac:dyDescent="0.25">
      <c r="A32" s="1">
        <v>44935</v>
      </c>
      <c r="B32" t="s">
        <v>49</v>
      </c>
      <c r="C32" t="s">
        <v>17</v>
      </c>
      <c r="D32" t="s">
        <v>29</v>
      </c>
    </row>
    <row r="33" spans="1:4" x14ac:dyDescent="0.25">
      <c r="A33" s="1">
        <v>44935</v>
      </c>
      <c r="B33" t="s">
        <v>50</v>
      </c>
      <c r="C33" t="s">
        <v>5</v>
      </c>
      <c r="D33" t="s">
        <v>20</v>
      </c>
    </row>
    <row r="34" spans="1:4" x14ac:dyDescent="0.25">
      <c r="A34" s="1">
        <v>44935</v>
      </c>
      <c r="B34" t="s">
        <v>51</v>
      </c>
      <c r="C34" t="s">
        <v>5</v>
      </c>
      <c r="D34" t="s">
        <v>47</v>
      </c>
    </row>
    <row r="35" spans="1:4" x14ac:dyDescent="0.25">
      <c r="A35" s="1">
        <v>44936</v>
      </c>
      <c r="B35" t="s">
        <v>52</v>
      </c>
      <c r="C35" t="s">
        <v>15</v>
      </c>
      <c r="D35" t="s">
        <v>18</v>
      </c>
    </row>
    <row r="36" spans="1:4" x14ac:dyDescent="0.25">
      <c r="A36" s="1">
        <v>44936</v>
      </c>
      <c r="B36" t="s">
        <v>53</v>
      </c>
      <c r="C36" t="s">
        <v>8</v>
      </c>
      <c r="D36" t="s">
        <v>18</v>
      </c>
    </row>
    <row r="37" spans="1:4" x14ac:dyDescent="0.25">
      <c r="A37" s="1">
        <v>44936</v>
      </c>
      <c r="B37" t="s">
        <v>54</v>
      </c>
      <c r="C37" t="s">
        <v>8</v>
      </c>
      <c r="D37" t="s">
        <v>20</v>
      </c>
    </row>
    <row r="38" spans="1:4" x14ac:dyDescent="0.25">
      <c r="A38" s="1">
        <v>44937</v>
      </c>
      <c r="B38" t="s">
        <v>55</v>
      </c>
      <c r="C38" t="s">
        <v>8</v>
      </c>
      <c r="D38" t="s">
        <v>20</v>
      </c>
    </row>
    <row r="39" spans="1:4" x14ac:dyDescent="0.25">
      <c r="A39" s="1">
        <v>44937</v>
      </c>
      <c r="B39" t="s">
        <v>56</v>
      </c>
      <c r="C39" t="s">
        <v>5</v>
      </c>
      <c r="D39" t="s">
        <v>47</v>
      </c>
    </row>
    <row r="40" spans="1:4" x14ac:dyDescent="0.25">
      <c r="A40" s="1">
        <v>44937</v>
      </c>
      <c r="B40" t="s">
        <v>57</v>
      </c>
      <c r="C40" t="s">
        <v>37</v>
      </c>
      <c r="D40" t="s">
        <v>31</v>
      </c>
    </row>
    <row r="41" spans="1:4" x14ac:dyDescent="0.25">
      <c r="A41" s="1">
        <v>44937</v>
      </c>
      <c r="B41" t="s">
        <v>58</v>
      </c>
      <c r="C41" t="s">
        <v>5</v>
      </c>
      <c r="D41" t="s">
        <v>9</v>
      </c>
    </row>
    <row r="42" spans="1:4" x14ac:dyDescent="0.25">
      <c r="A42" s="1">
        <v>44938</v>
      </c>
      <c r="B42" t="s">
        <v>59</v>
      </c>
      <c r="C42" t="s">
        <v>8</v>
      </c>
      <c r="D42" t="s">
        <v>20</v>
      </c>
    </row>
    <row r="43" spans="1:4" x14ac:dyDescent="0.25">
      <c r="A43" s="1">
        <v>44938</v>
      </c>
      <c r="B43" t="s">
        <v>60</v>
      </c>
      <c r="C43" t="s">
        <v>37</v>
      </c>
      <c r="D43" t="s">
        <v>11</v>
      </c>
    </row>
    <row r="44" spans="1:4" x14ac:dyDescent="0.25">
      <c r="A44" s="1">
        <v>44938</v>
      </c>
      <c r="B44" t="s">
        <v>61</v>
      </c>
      <c r="C44" t="s">
        <v>8</v>
      </c>
      <c r="D44" t="s">
        <v>29</v>
      </c>
    </row>
    <row r="45" spans="1:4" x14ac:dyDescent="0.25">
      <c r="A45" s="1">
        <v>44938</v>
      </c>
      <c r="B45" t="s">
        <v>62</v>
      </c>
      <c r="C45" t="s">
        <v>37</v>
      </c>
      <c r="D45" t="s">
        <v>18</v>
      </c>
    </row>
    <row r="46" spans="1:4" x14ac:dyDescent="0.25">
      <c r="A46" s="1">
        <v>44938</v>
      </c>
      <c r="B46" t="s">
        <v>63</v>
      </c>
      <c r="C46" t="s">
        <v>37</v>
      </c>
      <c r="D46" t="s">
        <v>47</v>
      </c>
    </row>
    <row r="47" spans="1:4" x14ac:dyDescent="0.25">
      <c r="A47" s="1">
        <v>44938</v>
      </c>
      <c r="B47" t="s">
        <v>64</v>
      </c>
      <c r="C47" t="s">
        <v>17</v>
      </c>
      <c r="D47" t="s">
        <v>23</v>
      </c>
    </row>
    <row r="48" spans="1:4" x14ac:dyDescent="0.25">
      <c r="A48" s="1">
        <v>44938</v>
      </c>
      <c r="B48" t="s">
        <v>65</v>
      </c>
      <c r="C48" t="s">
        <v>15</v>
      </c>
      <c r="D48" t="s">
        <v>13</v>
      </c>
    </row>
    <row r="49" spans="1:4" x14ac:dyDescent="0.25">
      <c r="A49" s="1">
        <v>44938</v>
      </c>
      <c r="B49" t="s">
        <v>66</v>
      </c>
      <c r="C49" t="s">
        <v>5</v>
      </c>
      <c r="D49" t="s">
        <v>9</v>
      </c>
    </row>
    <row r="50" spans="1:4" x14ac:dyDescent="0.25">
      <c r="A50" s="1">
        <v>44938</v>
      </c>
      <c r="B50" t="s">
        <v>67</v>
      </c>
      <c r="C50" t="s">
        <v>8</v>
      </c>
      <c r="D50" t="s">
        <v>31</v>
      </c>
    </row>
    <row r="51" spans="1:4" x14ac:dyDescent="0.25">
      <c r="A51" s="1">
        <v>44939</v>
      </c>
      <c r="B51" t="s">
        <v>68</v>
      </c>
      <c r="C51" t="s">
        <v>17</v>
      </c>
      <c r="D51" t="s">
        <v>13</v>
      </c>
    </row>
    <row r="52" spans="1:4" x14ac:dyDescent="0.25">
      <c r="A52" s="1">
        <v>44939</v>
      </c>
      <c r="B52" t="s">
        <v>69</v>
      </c>
      <c r="C52" t="s">
        <v>8</v>
      </c>
      <c r="D52" t="s">
        <v>13</v>
      </c>
    </row>
    <row r="53" spans="1:4" x14ac:dyDescent="0.25">
      <c r="A53" s="1">
        <v>44939</v>
      </c>
      <c r="B53" t="s">
        <v>70</v>
      </c>
      <c r="C53" t="s">
        <v>37</v>
      </c>
      <c r="D53" t="s">
        <v>9</v>
      </c>
    </row>
    <row r="54" spans="1:4" x14ac:dyDescent="0.25">
      <c r="A54" s="1">
        <v>44940</v>
      </c>
      <c r="B54" t="s">
        <v>71</v>
      </c>
      <c r="C54" t="s">
        <v>17</v>
      </c>
      <c r="D54" t="s">
        <v>47</v>
      </c>
    </row>
    <row r="55" spans="1:4" x14ac:dyDescent="0.25">
      <c r="A55" s="1">
        <v>44940</v>
      </c>
      <c r="B55" t="s">
        <v>72</v>
      </c>
      <c r="C55" t="s">
        <v>8</v>
      </c>
      <c r="D55" t="s">
        <v>9</v>
      </c>
    </row>
    <row r="56" spans="1:4" x14ac:dyDescent="0.25">
      <c r="A56" s="1">
        <v>44940</v>
      </c>
      <c r="B56" t="s">
        <v>73</v>
      </c>
      <c r="C56" t="s">
        <v>8</v>
      </c>
      <c r="D56" t="s">
        <v>47</v>
      </c>
    </row>
    <row r="57" spans="1:4" x14ac:dyDescent="0.25">
      <c r="A57" s="1">
        <v>44940</v>
      </c>
      <c r="B57" t="s">
        <v>74</v>
      </c>
      <c r="C57" t="s">
        <v>22</v>
      </c>
      <c r="D57" t="s">
        <v>11</v>
      </c>
    </row>
    <row r="58" spans="1:4" x14ac:dyDescent="0.25">
      <c r="A58" s="1">
        <v>44940</v>
      </c>
      <c r="B58" t="s">
        <v>75</v>
      </c>
      <c r="C58" t="s">
        <v>8</v>
      </c>
      <c r="D58" t="s">
        <v>11</v>
      </c>
    </row>
    <row r="59" spans="1:4" x14ac:dyDescent="0.25">
      <c r="A59" s="1">
        <v>44940</v>
      </c>
      <c r="B59" t="s">
        <v>76</v>
      </c>
      <c r="C59" t="s">
        <v>5</v>
      </c>
      <c r="D59" t="s">
        <v>6</v>
      </c>
    </row>
    <row r="60" spans="1:4" x14ac:dyDescent="0.25">
      <c r="A60" s="1">
        <v>44941</v>
      </c>
      <c r="B60" t="s">
        <v>77</v>
      </c>
      <c r="C60" t="s">
        <v>8</v>
      </c>
      <c r="D60" t="s">
        <v>78</v>
      </c>
    </row>
    <row r="61" spans="1:4" x14ac:dyDescent="0.25">
      <c r="A61" s="1">
        <v>44941</v>
      </c>
      <c r="B61" t="s">
        <v>79</v>
      </c>
      <c r="C61" t="s">
        <v>5</v>
      </c>
      <c r="D61" t="s">
        <v>78</v>
      </c>
    </row>
    <row r="62" spans="1:4" x14ac:dyDescent="0.25">
      <c r="A62" s="1">
        <v>44941</v>
      </c>
      <c r="B62" t="s">
        <v>80</v>
      </c>
      <c r="C62" t="s">
        <v>5</v>
      </c>
      <c r="D62" t="s">
        <v>11</v>
      </c>
    </row>
    <row r="63" spans="1:4" x14ac:dyDescent="0.25">
      <c r="A63" s="1">
        <v>44941</v>
      </c>
      <c r="B63" t="s">
        <v>81</v>
      </c>
      <c r="C63" t="s">
        <v>5</v>
      </c>
      <c r="D63" t="s">
        <v>6</v>
      </c>
    </row>
    <row r="64" spans="1:4" x14ac:dyDescent="0.25">
      <c r="A64" s="1">
        <v>44942</v>
      </c>
      <c r="B64" t="s">
        <v>82</v>
      </c>
      <c r="C64" t="s">
        <v>5</v>
      </c>
      <c r="D64" t="s">
        <v>29</v>
      </c>
    </row>
    <row r="65" spans="1:4" x14ac:dyDescent="0.25">
      <c r="A65" s="1">
        <v>44943</v>
      </c>
      <c r="B65" t="s">
        <v>83</v>
      </c>
      <c r="C65" t="s">
        <v>8</v>
      </c>
      <c r="D65" t="s">
        <v>78</v>
      </c>
    </row>
    <row r="66" spans="1:4" x14ac:dyDescent="0.25">
      <c r="A66" s="1">
        <v>44943</v>
      </c>
      <c r="B66" t="s">
        <v>84</v>
      </c>
      <c r="C66" t="s">
        <v>22</v>
      </c>
      <c r="D66" t="s">
        <v>9</v>
      </c>
    </row>
    <row r="67" spans="1:4" x14ac:dyDescent="0.25">
      <c r="A67" s="1">
        <v>44943</v>
      </c>
      <c r="B67" t="s">
        <v>85</v>
      </c>
      <c r="C67" t="s">
        <v>15</v>
      </c>
      <c r="D67" t="s">
        <v>20</v>
      </c>
    </row>
    <row r="68" spans="1:4" x14ac:dyDescent="0.25">
      <c r="A68" s="1">
        <v>44944</v>
      </c>
      <c r="B68" t="s">
        <v>86</v>
      </c>
      <c r="C68" t="s">
        <v>8</v>
      </c>
      <c r="D68" t="s">
        <v>34</v>
      </c>
    </row>
    <row r="69" spans="1:4" x14ac:dyDescent="0.25">
      <c r="A69" s="1">
        <v>44944</v>
      </c>
      <c r="B69" t="s">
        <v>87</v>
      </c>
      <c r="C69" t="s">
        <v>17</v>
      </c>
      <c r="D69" t="s">
        <v>47</v>
      </c>
    </row>
    <row r="70" spans="1:4" x14ac:dyDescent="0.25">
      <c r="A70" s="1">
        <v>44944</v>
      </c>
      <c r="B70" t="s">
        <v>87</v>
      </c>
      <c r="C70" t="s">
        <v>15</v>
      </c>
      <c r="D70" t="s">
        <v>47</v>
      </c>
    </row>
    <row r="71" spans="1:4" x14ac:dyDescent="0.25">
      <c r="A71" s="1">
        <v>44944</v>
      </c>
      <c r="B71" t="s">
        <v>88</v>
      </c>
      <c r="C71" t="s">
        <v>8</v>
      </c>
      <c r="D71" t="s">
        <v>47</v>
      </c>
    </row>
    <row r="72" spans="1:4" x14ac:dyDescent="0.25">
      <c r="A72" s="1">
        <v>44944</v>
      </c>
      <c r="B72" t="s">
        <v>89</v>
      </c>
      <c r="C72" t="s">
        <v>22</v>
      </c>
      <c r="D72" t="s">
        <v>20</v>
      </c>
    </row>
    <row r="73" spans="1:4" x14ac:dyDescent="0.25">
      <c r="A73" s="1">
        <v>44944</v>
      </c>
      <c r="B73" t="s">
        <v>90</v>
      </c>
      <c r="C73" t="s">
        <v>8</v>
      </c>
      <c r="D73" t="s">
        <v>34</v>
      </c>
    </row>
    <row r="74" spans="1:4" x14ac:dyDescent="0.25">
      <c r="A74" s="1">
        <v>44944</v>
      </c>
      <c r="B74" t="s">
        <v>91</v>
      </c>
      <c r="C74" t="s">
        <v>8</v>
      </c>
      <c r="D74" t="s">
        <v>47</v>
      </c>
    </row>
    <row r="75" spans="1:4" x14ac:dyDescent="0.25">
      <c r="A75" s="1">
        <v>44944</v>
      </c>
      <c r="B75" t="s">
        <v>92</v>
      </c>
      <c r="C75" t="s">
        <v>17</v>
      </c>
      <c r="D75" t="s">
        <v>18</v>
      </c>
    </row>
    <row r="76" spans="1:4" x14ac:dyDescent="0.25">
      <c r="A76" s="1">
        <v>44945</v>
      </c>
      <c r="B76" t="s">
        <v>93</v>
      </c>
      <c r="C76" t="s">
        <v>8</v>
      </c>
      <c r="D76" t="s">
        <v>94</v>
      </c>
    </row>
    <row r="77" spans="1:4" x14ac:dyDescent="0.25">
      <c r="A77" s="1">
        <v>44945</v>
      </c>
      <c r="B77" t="s">
        <v>95</v>
      </c>
      <c r="C77" t="s">
        <v>17</v>
      </c>
      <c r="D77" t="s">
        <v>18</v>
      </c>
    </row>
    <row r="78" spans="1:4" x14ac:dyDescent="0.25">
      <c r="A78" s="1">
        <v>44946</v>
      </c>
      <c r="B78" t="s">
        <v>96</v>
      </c>
      <c r="C78" t="s">
        <v>5</v>
      </c>
      <c r="D78" t="s">
        <v>29</v>
      </c>
    </row>
    <row r="79" spans="1:4" x14ac:dyDescent="0.25">
      <c r="A79" s="1">
        <v>44946</v>
      </c>
      <c r="B79" t="s">
        <v>97</v>
      </c>
      <c r="C79" t="s">
        <v>5</v>
      </c>
      <c r="D79" t="s">
        <v>23</v>
      </c>
    </row>
    <row r="80" spans="1:4" x14ac:dyDescent="0.25">
      <c r="A80" s="1">
        <v>44946</v>
      </c>
      <c r="B80" t="s">
        <v>98</v>
      </c>
      <c r="C80" t="s">
        <v>8</v>
      </c>
      <c r="D80" t="s">
        <v>78</v>
      </c>
    </row>
    <row r="81" spans="1:4" x14ac:dyDescent="0.25">
      <c r="A81" s="1">
        <v>44946</v>
      </c>
      <c r="B81" t="s">
        <v>99</v>
      </c>
      <c r="C81" t="s">
        <v>8</v>
      </c>
      <c r="D81" t="s">
        <v>9</v>
      </c>
    </row>
    <row r="82" spans="1:4" x14ac:dyDescent="0.25">
      <c r="A82" s="1">
        <v>44946</v>
      </c>
      <c r="B82" t="s">
        <v>100</v>
      </c>
      <c r="C82" t="s">
        <v>5</v>
      </c>
      <c r="D82" t="s">
        <v>9</v>
      </c>
    </row>
    <row r="83" spans="1:4" x14ac:dyDescent="0.25">
      <c r="A83" s="1">
        <v>44947</v>
      </c>
      <c r="B83" t="s">
        <v>101</v>
      </c>
      <c r="C83" t="s">
        <v>17</v>
      </c>
      <c r="D83" t="s">
        <v>9</v>
      </c>
    </row>
    <row r="84" spans="1:4" x14ac:dyDescent="0.25">
      <c r="A84" s="1">
        <v>44947</v>
      </c>
      <c r="B84" t="s">
        <v>102</v>
      </c>
      <c r="C84" t="s">
        <v>5</v>
      </c>
      <c r="D84" t="s">
        <v>18</v>
      </c>
    </row>
    <row r="85" spans="1:4" x14ac:dyDescent="0.25">
      <c r="A85" s="1">
        <v>44948</v>
      </c>
      <c r="B85" t="s">
        <v>103</v>
      </c>
      <c r="C85" t="s">
        <v>17</v>
      </c>
      <c r="D85" t="s">
        <v>31</v>
      </c>
    </row>
    <row r="86" spans="1:4" x14ac:dyDescent="0.25">
      <c r="A86" s="1">
        <v>44948</v>
      </c>
      <c r="B86" t="s">
        <v>104</v>
      </c>
      <c r="C86" t="s">
        <v>8</v>
      </c>
      <c r="D86" t="s">
        <v>9</v>
      </c>
    </row>
    <row r="87" spans="1:4" x14ac:dyDescent="0.25">
      <c r="A87" s="1">
        <v>44948</v>
      </c>
      <c r="B87" t="s">
        <v>105</v>
      </c>
      <c r="C87" t="s">
        <v>17</v>
      </c>
      <c r="D87" t="s">
        <v>31</v>
      </c>
    </row>
    <row r="88" spans="1:4" x14ac:dyDescent="0.25">
      <c r="A88" s="1">
        <v>44948</v>
      </c>
      <c r="B88" t="s">
        <v>106</v>
      </c>
      <c r="C88" t="s">
        <v>37</v>
      </c>
      <c r="D88" t="s">
        <v>20</v>
      </c>
    </row>
    <row r="89" spans="1:4" x14ac:dyDescent="0.25">
      <c r="A89" s="1">
        <v>44948</v>
      </c>
      <c r="B89" t="s">
        <v>107</v>
      </c>
      <c r="C89" t="s">
        <v>8</v>
      </c>
      <c r="D89" t="s">
        <v>78</v>
      </c>
    </row>
    <row r="90" spans="1:4" x14ac:dyDescent="0.25">
      <c r="A90" s="1">
        <v>44948</v>
      </c>
      <c r="B90" t="s">
        <v>108</v>
      </c>
      <c r="C90" t="s">
        <v>17</v>
      </c>
      <c r="D90" t="s">
        <v>78</v>
      </c>
    </row>
    <row r="91" spans="1:4" x14ac:dyDescent="0.25">
      <c r="A91" s="1">
        <v>44949</v>
      </c>
      <c r="B91" t="s">
        <v>109</v>
      </c>
      <c r="C91" t="s">
        <v>17</v>
      </c>
      <c r="D91" t="s">
        <v>29</v>
      </c>
    </row>
    <row r="92" spans="1:4" x14ac:dyDescent="0.25">
      <c r="A92" s="1">
        <v>44949</v>
      </c>
      <c r="B92" t="s">
        <v>110</v>
      </c>
      <c r="C92" t="s">
        <v>22</v>
      </c>
      <c r="D92" t="s">
        <v>9</v>
      </c>
    </row>
    <row r="93" spans="1:4" x14ac:dyDescent="0.25">
      <c r="A93" s="1">
        <v>44949</v>
      </c>
      <c r="B93" t="s">
        <v>111</v>
      </c>
      <c r="C93" t="s">
        <v>8</v>
      </c>
      <c r="D93" t="s">
        <v>29</v>
      </c>
    </row>
    <row r="94" spans="1:4" x14ac:dyDescent="0.25">
      <c r="A94" s="1">
        <v>44949</v>
      </c>
      <c r="B94" t="s">
        <v>112</v>
      </c>
      <c r="C94" t="s">
        <v>17</v>
      </c>
      <c r="D94" t="s">
        <v>113</v>
      </c>
    </row>
    <row r="95" spans="1:4" x14ac:dyDescent="0.25">
      <c r="A95" s="1">
        <v>44949</v>
      </c>
      <c r="B95" t="s">
        <v>114</v>
      </c>
      <c r="C95" t="s">
        <v>8</v>
      </c>
      <c r="D95" t="s">
        <v>20</v>
      </c>
    </row>
    <row r="96" spans="1:4" x14ac:dyDescent="0.25">
      <c r="A96" s="1">
        <v>44949</v>
      </c>
      <c r="B96" t="s">
        <v>115</v>
      </c>
      <c r="C96" t="s">
        <v>5</v>
      </c>
      <c r="D96" t="s">
        <v>78</v>
      </c>
    </row>
    <row r="97" spans="1:4" x14ac:dyDescent="0.25">
      <c r="A97" s="1">
        <v>44950</v>
      </c>
      <c r="B97" t="s">
        <v>116</v>
      </c>
      <c r="C97" t="s">
        <v>8</v>
      </c>
      <c r="D97" t="s">
        <v>31</v>
      </c>
    </row>
    <row r="98" spans="1:4" x14ac:dyDescent="0.25">
      <c r="A98" s="1">
        <v>44950</v>
      </c>
      <c r="B98" t="s">
        <v>117</v>
      </c>
      <c r="C98" t="s">
        <v>15</v>
      </c>
      <c r="D98" t="s">
        <v>113</v>
      </c>
    </row>
    <row r="99" spans="1:4" x14ac:dyDescent="0.25">
      <c r="A99" s="1">
        <v>44950</v>
      </c>
      <c r="B99" t="s">
        <v>118</v>
      </c>
      <c r="C99" t="s">
        <v>5</v>
      </c>
      <c r="D99" t="s">
        <v>20</v>
      </c>
    </row>
    <row r="100" spans="1:4" x14ac:dyDescent="0.25">
      <c r="A100" s="1">
        <v>44950</v>
      </c>
      <c r="B100" t="s">
        <v>119</v>
      </c>
      <c r="C100" t="s">
        <v>5</v>
      </c>
      <c r="D100" t="s">
        <v>18</v>
      </c>
    </row>
    <row r="101" spans="1:4" x14ac:dyDescent="0.25">
      <c r="A101" s="1">
        <v>44951</v>
      </c>
      <c r="B101" t="s">
        <v>120</v>
      </c>
      <c r="C101" t="s">
        <v>37</v>
      </c>
      <c r="D101" t="s">
        <v>78</v>
      </c>
    </row>
    <row r="102" spans="1:4" x14ac:dyDescent="0.25">
      <c r="A102" s="1">
        <v>44952</v>
      </c>
      <c r="B102" t="s">
        <v>121</v>
      </c>
      <c r="C102" t="s">
        <v>8</v>
      </c>
      <c r="D102" t="s">
        <v>18</v>
      </c>
    </row>
    <row r="103" spans="1:4" x14ac:dyDescent="0.25">
      <c r="A103" s="1">
        <v>44952</v>
      </c>
      <c r="B103" t="s">
        <v>122</v>
      </c>
      <c r="C103" t="s">
        <v>8</v>
      </c>
      <c r="D103" t="s">
        <v>11</v>
      </c>
    </row>
    <row r="104" spans="1:4" x14ac:dyDescent="0.25">
      <c r="A104" s="1">
        <v>44952</v>
      </c>
      <c r="B104" t="s">
        <v>123</v>
      </c>
      <c r="C104" t="s">
        <v>17</v>
      </c>
      <c r="D104" t="s">
        <v>113</v>
      </c>
    </row>
    <row r="105" spans="1:4" x14ac:dyDescent="0.25">
      <c r="A105" s="1">
        <v>44952</v>
      </c>
      <c r="B105" t="s">
        <v>124</v>
      </c>
      <c r="C105" t="s">
        <v>8</v>
      </c>
      <c r="D105" t="s">
        <v>9</v>
      </c>
    </row>
    <row r="106" spans="1:4" x14ac:dyDescent="0.25">
      <c r="A106" s="1">
        <v>44953</v>
      </c>
      <c r="B106" t="s">
        <v>125</v>
      </c>
      <c r="C106" t="s">
        <v>5</v>
      </c>
      <c r="D106" t="s">
        <v>11</v>
      </c>
    </row>
    <row r="107" spans="1:4" x14ac:dyDescent="0.25">
      <c r="A107" s="1">
        <v>44953</v>
      </c>
      <c r="B107" t="s">
        <v>126</v>
      </c>
      <c r="C107" t="s">
        <v>5</v>
      </c>
      <c r="D107" t="s">
        <v>11</v>
      </c>
    </row>
    <row r="108" spans="1:4" x14ac:dyDescent="0.25">
      <c r="A108" s="1">
        <v>44953</v>
      </c>
      <c r="B108" t="s">
        <v>127</v>
      </c>
      <c r="C108" t="s">
        <v>15</v>
      </c>
      <c r="D108" t="s">
        <v>113</v>
      </c>
    </row>
    <row r="109" spans="1:4" x14ac:dyDescent="0.25">
      <c r="A109" s="1">
        <v>44953</v>
      </c>
      <c r="B109" t="s">
        <v>128</v>
      </c>
      <c r="C109" t="s">
        <v>5</v>
      </c>
      <c r="D109" t="s">
        <v>23</v>
      </c>
    </row>
    <row r="110" spans="1:4" x14ac:dyDescent="0.25">
      <c r="A110" s="1">
        <v>44953</v>
      </c>
      <c r="B110" t="s">
        <v>129</v>
      </c>
      <c r="C110" t="s">
        <v>5</v>
      </c>
      <c r="D110" t="s">
        <v>29</v>
      </c>
    </row>
    <row r="111" spans="1:4" x14ac:dyDescent="0.25">
      <c r="A111" s="1">
        <v>44954</v>
      </c>
      <c r="B111" t="s">
        <v>130</v>
      </c>
      <c r="C111" t="s">
        <v>15</v>
      </c>
      <c r="D111" t="s">
        <v>20</v>
      </c>
    </row>
    <row r="112" spans="1:4" x14ac:dyDescent="0.25">
      <c r="A112" s="1">
        <v>44954</v>
      </c>
      <c r="B112" t="s">
        <v>131</v>
      </c>
      <c r="C112" t="s">
        <v>37</v>
      </c>
      <c r="D112" t="s">
        <v>11</v>
      </c>
    </row>
    <row r="113" spans="1:4" x14ac:dyDescent="0.25">
      <c r="A113" s="1">
        <v>44954</v>
      </c>
      <c r="B113" t="s">
        <v>132</v>
      </c>
      <c r="C113" t="s">
        <v>17</v>
      </c>
      <c r="D113" t="s">
        <v>29</v>
      </c>
    </row>
    <row r="114" spans="1:4" x14ac:dyDescent="0.25">
      <c r="A114" s="1">
        <v>44954</v>
      </c>
      <c r="B114" t="s">
        <v>133</v>
      </c>
      <c r="C114" t="s">
        <v>22</v>
      </c>
      <c r="D114" t="s">
        <v>113</v>
      </c>
    </row>
    <row r="115" spans="1:4" x14ac:dyDescent="0.25">
      <c r="A115" s="1">
        <v>44954</v>
      </c>
      <c r="B115" t="s">
        <v>134</v>
      </c>
      <c r="C115" t="s">
        <v>15</v>
      </c>
      <c r="D115" t="s">
        <v>29</v>
      </c>
    </row>
    <row r="116" spans="1:4" x14ac:dyDescent="0.25">
      <c r="A116" s="1">
        <v>44955</v>
      </c>
      <c r="B116" t="s">
        <v>135</v>
      </c>
      <c r="C116" t="s">
        <v>22</v>
      </c>
      <c r="D116" t="s">
        <v>18</v>
      </c>
    </row>
    <row r="117" spans="1:4" x14ac:dyDescent="0.25">
      <c r="A117" s="1">
        <v>44955</v>
      </c>
      <c r="B117" t="s">
        <v>136</v>
      </c>
      <c r="C117" t="s">
        <v>8</v>
      </c>
      <c r="D117" t="s">
        <v>13</v>
      </c>
    </row>
    <row r="118" spans="1:4" x14ac:dyDescent="0.25">
      <c r="A118" s="1">
        <v>44955</v>
      </c>
      <c r="B118" t="s">
        <v>137</v>
      </c>
      <c r="C118" t="s">
        <v>17</v>
      </c>
      <c r="D118" t="s">
        <v>18</v>
      </c>
    </row>
    <row r="119" spans="1:4" x14ac:dyDescent="0.25">
      <c r="A119" s="1">
        <v>44955</v>
      </c>
      <c r="B119" t="s">
        <v>138</v>
      </c>
      <c r="C119" t="s">
        <v>22</v>
      </c>
      <c r="D119" t="s">
        <v>9</v>
      </c>
    </row>
    <row r="120" spans="1:4" x14ac:dyDescent="0.25">
      <c r="A120" s="1">
        <v>44955</v>
      </c>
      <c r="B120" t="s">
        <v>138</v>
      </c>
      <c r="C120" t="s">
        <v>15</v>
      </c>
      <c r="D120" t="s">
        <v>9</v>
      </c>
    </row>
    <row r="121" spans="1:4" x14ac:dyDescent="0.25">
      <c r="A121" s="1">
        <v>44955</v>
      </c>
      <c r="B121" t="s">
        <v>139</v>
      </c>
      <c r="C121" t="s">
        <v>22</v>
      </c>
      <c r="D121" t="s">
        <v>11</v>
      </c>
    </row>
    <row r="122" spans="1:4" x14ac:dyDescent="0.25">
      <c r="A122" s="1">
        <v>44955</v>
      </c>
      <c r="B122" t="s">
        <v>140</v>
      </c>
      <c r="C122" t="s">
        <v>8</v>
      </c>
      <c r="D122" t="s">
        <v>9</v>
      </c>
    </row>
    <row r="123" spans="1:4" x14ac:dyDescent="0.25">
      <c r="A123" s="1">
        <v>44956</v>
      </c>
      <c r="B123" t="s">
        <v>141</v>
      </c>
      <c r="C123" t="s">
        <v>15</v>
      </c>
      <c r="D123" t="s">
        <v>11</v>
      </c>
    </row>
    <row r="124" spans="1:4" x14ac:dyDescent="0.25">
      <c r="A124" s="1">
        <v>44956</v>
      </c>
      <c r="B124" t="s">
        <v>142</v>
      </c>
      <c r="C124" t="s">
        <v>37</v>
      </c>
      <c r="D124" t="s">
        <v>9</v>
      </c>
    </row>
    <row r="125" spans="1:4" x14ac:dyDescent="0.25">
      <c r="A125" s="1">
        <v>44956</v>
      </c>
      <c r="B125" t="s">
        <v>143</v>
      </c>
      <c r="C125" t="s">
        <v>8</v>
      </c>
      <c r="D125" t="s">
        <v>113</v>
      </c>
    </row>
    <row r="126" spans="1:4" x14ac:dyDescent="0.25">
      <c r="A126" s="1">
        <v>44956</v>
      </c>
      <c r="B126" t="s">
        <v>144</v>
      </c>
      <c r="C126" t="s">
        <v>8</v>
      </c>
      <c r="D126" t="s">
        <v>29</v>
      </c>
    </row>
    <row r="127" spans="1:4" x14ac:dyDescent="0.25">
      <c r="A127" s="1">
        <v>44956</v>
      </c>
      <c r="B127" t="s">
        <v>145</v>
      </c>
      <c r="C127" t="s">
        <v>5</v>
      </c>
      <c r="D127" t="s">
        <v>113</v>
      </c>
    </row>
    <row r="128" spans="1:4" x14ac:dyDescent="0.25">
      <c r="A128" s="1">
        <v>44957</v>
      </c>
      <c r="B128" t="s">
        <v>146</v>
      </c>
      <c r="C128" t="s">
        <v>8</v>
      </c>
      <c r="D128" t="s">
        <v>78</v>
      </c>
    </row>
    <row r="129" spans="1:4" x14ac:dyDescent="0.25">
      <c r="A129" s="1">
        <v>44957</v>
      </c>
      <c r="B129" t="s">
        <v>147</v>
      </c>
      <c r="C129" t="s">
        <v>17</v>
      </c>
      <c r="D129" t="s">
        <v>13</v>
      </c>
    </row>
    <row r="130" spans="1:4" x14ac:dyDescent="0.25">
      <c r="A130" s="1">
        <v>44957</v>
      </c>
      <c r="B130" t="s">
        <v>148</v>
      </c>
      <c r="C130" t="s">
        <v>17</v>
      </c>
      <c r="D130" t="s">
        <v>11</v>
      </c>
    </row>
    <row r="131" spans="1:4" x14ac:dyDescent="0.25">
      <c r="A131" s="1">
        <v>44957</v>
      </c>
      <c r="B131" t="s">
        <v>149</v>
      </c>
      <c r="C131" t="s">
        <v>8</v>
      </c>
      <c r="D131" t="s">
        <v>11</v>
      </c>
    </row>
    <row r="132" spans="1:4" x14ac:dyDescent="0.25">
      <c r="A132" s="1">
        <v>44957</v>
      </c>
      <c r="B132" t="s">
        <v>150</v>
      </c>
      <c r="C132" t="s">
        <v>5</v>
      </c>
      <c r="D132" t="s">
        <v>113</v>
      </c>
    </row>
    <row r="133" spans="1:4" x14ac:dyDescent="0.25">
      <c r="A133" s="1">
        <v>44957</v>
      </c>
      <c r="B133" t="s">
        <v>151</v>
      </c>
      <c r="C133" t="s">
        <v>15</v>
      </c>
      <c r="D133" t="s">
        <v>23</v>
      </c>
    </row>
    <row r="134" spans="1:4" x14ac:dyDescent="0.25">
      <c r="A134" s="1">
        <v>44958</v>
      </c>
      <c r="B134" t="s">
        <v>152</v>
      </c>
      <c r="C134" t="s">
        <v>5</v>
      </c>
      <c r="D134" t="s">
        <v>78</v>
      </c>
    </row>
    <row r="135" spans="1:4" x14ac:dyDescent="0.25">
      <c r="A135" s="1">
        <v>44958</v>
      </c>
      <c r="B135" t="s">
        <v>153</v>
      </c>
      <c r="C135" t="s">
        <v>22</v>
      </c>
      <c r="D135" t="s">
        <v>29</v>
      </c>
    </row>
    <row r="136" spans="1:4" x14ac:dyDescent="0.25">
      <c r="A136" s="1">
        <v>44958</v>
      </c>
      <c r="B136" t="s">
        <v>154</v>
      </c>
      <c r="C136" t="s">
        <v>8</v>
      </c>
      <c r="D136" t="s">
        <v>9</v>
      </c>
    </row>
    <row r="137" spans="1:4" x14ac:dyDescent="0.25">
      <c r="A137" s="1">
        <v>44959</v>
      </c>
      <c r="B137" t="s">
        <v>155</v>
      </c>
      <c r="C137" t="s">
        <v>22</v>
      </c>
      <c r="D137" t="s">
        <v>11</v>
      </c>
    </row>
    <row r="138" spans="1:4" x14ac:dyDescent="0.25">
      <c r="A138" s="1">
        <v>44959</v>
      </c>
      <c r="B138" t="s">
        <v>156</v>
      </c>
      <c r="C138" t="s">
        <v>17</v>
      </c>
      <c r="D138" t="s">
        <v>29</v>
      </c>
    </row>
    <row r="139" spans="1:4" x14ac:dyDescent="0.25">
      <c r="A139" s="1">
        <v>44959</v>
      </c>
      <c r="B139" t="s">
        <v>157</v>
      </c>
      <c r="C139" t="s">
        <v>22</v>
      </c>
      <c r="D139" t="s">
        <v>9</v>
      </c>
    </row>
    <row r="140" spans="1:4" x14ac:dyDescent="0.25">
      <c r="A140" s="1">
        <v>44959</v>
      </c>
      <c r="B140" t="s">
        <v>158</v>
      </c>
      <c r="C140" t="s">
        <v>8</v>
      </c>
      <c r="D140" t="s">
        <v>78</v>
      </c>
    </row>
    <row r="141" spans="1:4" x14ac:dyDescent="0.25">
      <c r="A141" s="1">
        <v>44960</v>
      </c>
      <c r="B141" t="s">
        <v>159</v>
      </c>
      <c r="C141" t="s">
        <v>17</v>
      </c>
      <c r="D141" t="s">
        <v>78</v>
      </c>
    </row>
    <row r="142" spans="1:4" x14ac:dyDescent="0.25">
      <c r="A142" s="1">
        <v>44960</v>
      </c>
      <c r="B142" t="s">
        <v>160</v>
      </c>
      <c r="C142" t="s">
        <v>37</v>
      </c>
      <c r="D142" t="s">
        <v>20</v>
      </c>
    </row>
    <row r="143" spans="1:4" x14ac:dyDescent="0.25">
      <c r="A143" s="1">
        <v>44960</v>
      </c>
      <c r="B143" t="s">
        <v>161</v>
      </c>
      <c r="C143" t="s">
        <v>5</v>
      </c>
      <c r="D143" t="s">
        <v>78</v>
      </c>
    </row>
    <row r="144" spans="1:4" x14ac:dyDescent="0.25">
      <c r="A144" s="1">
        <v>44961</v>
      </c>
      <c r="B144" t="s">
        <v>162</v>
      </c>
      <c r="C144" t="s">
        <v>22</v>
      </c>
      <c r="D144" t="s">
        <v>113</v>
      </c>
    </row>
    <row r="145" spans="1:4" x14ac:dyDescent="0.25">
      <c r="A145" s="1">
        <v>44961</v>
      </c>
      <c r="B145" t="s">
        <v>163</v>
      </c>
      <c r="C145" t="s">
        <v>22</v>
      </c>
      <c r="D145" t="s">
        <v>113</v>
      </c>
    </row>
    <row r="146" spans="1:4" x14ac:dyDescent="0.25">
      <c r="A146" s="1">
        <v>44961</v>
      </c>
      <c r="B146" t="s">
        <v>164</v>
      </c>
      <c r="C146" t="s">
        <v>8</v>
      </c>
      <c r="D146" t="s">
        <v>11</v>
      </c>
    </row>
    <row r="147" spans="1:4" x14ac:dyDescent="0.25">
      <c r="A147" s="1">
        <v>44961</v>
      </c>
      <c r="B147" t="s">
        <v>165</v>
      </c>
      <c r="C147" t="s">
        <v>37</v>
      </c>
      <c r="D147" t="s">
        <v>13</v>
      </c>
    </row>
    <row r="148" spans="1:4" x14ac:dyDescent="0.25">
      <c r="A148" s="1">
        <v>44961</v>
      </c>
      <c r="B148" t="s">
        <v>166</v>
      </c>
      <c r="C148" t="s">
        <v>5</v>
      </c>
      <c r="D148" t="s">
        <v>113</v>
      </c>
    </row>
    <row r="149" spans="1:4" x14ac:dyDescent="0.25">
      <c r="A149" s="1">
        <v>44961</v>
      </c>
      <c r="B149" t="s">
        <v>167</v>
      </c>
      <c r="C149" t="s">
        <v>17</v>
      </c>
      <c r="D149" t="s">
        <v>13</v>
      </c>
    </row>
    <row r="150" spans="1:4" x14ac:dyDescent="0.25">
      <c r="A150" s="1">
        <v>44961</v>
      </c>
      <c r="B150" t="s">
        <v>168</v>
      </c>
      <c r="C150" t="s">
        <v>22</v>
      </c>
      <c r="D150" t="s">
        <v>18</v>
      </c>
    </row>
    <row r="151" spans="1:4" x14ac:dyDescent="0.25">
      <c r="A151" s="1">
        <v>44961</v>
      </c>
      <c r="B151" t="s">
        <v>169</v>
      </c>
      <c r="C151" t="s">
        <v>5</v>
      </c>
      <c r="D151" t="s">
        <v>20</v>
      </c>
    </row>
    <row r="152" spans="1:4" x14ac:dyDescent="0.25">
      <c r="A152" s="1">
        <v>44962</v>
      </c>
      <c r="B152" t="s">
        <v>170</v>
      </c>
      <c r="C152" t="s">
        <v>8</v>
      </c>
      <c r="D152" t="s">
        <v>9</v>
      </c>
    </row>
    <row r="153" spans="1:4" x14ac:dyDescent="0.25">
      <c r="A153" s="1">
        <v>44962</v>
      </c>
      <c r="B153" t="s">
        <v>171</v>
      </c>
      <c r="C153" t="s">
        <v>15</v>
      </c>
      <c r="D153" t="s">
        <v>13</v>
      </c>
    </row>
    <row r="154" spans="1:4" x14ac:dyDescent="0.25">
      <c r="A154" s="1">
        <v>44962</v>
      </c>
      <c r="B154" t="s">
        <v>172</v>
      </c>
      <c r="C154" t="s">
        <v>8</v>
      </c>
      <c r="D154" t="s">
        <v>9</v>
      </c>
    </row>
    <row r="155" spans="1:4" x14ac:dyDescent="0.25">
      <c r="A155" s="1">
        <v>44962</v>
      </c>
      <c r="B155" t="s">
        <v>172</v>
      </c>
      <c r="C155" t="s">
        <v>17</v>
      </c>
      <c r="D155" t="s">
        <v>9</v>
      </c>
    </row>
    <row r="156" spans="1:4" x14ac:dyDescent="0.25">
      <c r="A156" s="1">
        <v>44962</v>
      </c>
      <c r="B156" t="s">
        <v>173</v>
      </c>
      <c r="C156" t="s">
        <v>17</v>
      </c>
      <c r="D156" t="s">
        <v>29</v>
      </c>
    </row>
    <row r="157" spans="1:4" x14ac:dyDescent="0.25">
      <c r="A157" s="1">
        <v>44962</v>
      </c>
      <c r="B157" t="s">
        <v>174</v>
      </c>
      <c r="C157" t="s">
        <v>17</v>
      </c>
      <c r="D157" t="s">
        <v>29</v>
      </c>
    </row>
    <row r="158" spans="1:4" x14ac:dyDescent="0.25">
      <c r="A158" s="1">
        <v>44962</v>
      </c>
      <c r="B158" t="s">
        <v>175</v>
      </c>
      <c r="C158" t="s">
        <v>22</v>
      </c>
      <c r="D158" t="s">
        <v>113</v>
      </c>
    </row>
    <row r="159" spans="1:4" x14ac:dyDescent="0.25">
      <c r="A159" s="1">
        <v>44962</v>
      </c>
      <c r="B159" t="s">
        <v>176</v>
      </c>
      <c r="C159" t="s">
        <v>8</v>
      </c>
      <c r="D159" t="s">
        <v>13</v>
      </c>
    </row>
    <row r="160" spans="1:4" x14ac:dyDescent="0.25">
      <c r="A160" s="1">
        <v>44963</v>
      </c>
      <c r="B160" t="s">
        <v>177</v>
      </c>
      <c r="C160" t="s">
        <v>17</v>
      </c>
      <c r="D160" t="s">
        <v>18</v>
      </c>
    </row>
    <row r="161" spans="1:4" x14ac:dyDescent="0.25">
      <c r="A161" s="1">
        <v>44963</v>
      </c>
      <c r="B161" t="s">
        <v>178</v>
      </c>
      <c r="C161" t="s">
        <v>37</v>
      </c>
      <c r="D161" t="s">
        <v>18</v>
      </c>
    </row>
    <row r="162" spans="1:4" x14ac:dyDescent="0.25">
      <c r="A162" s="1">
        <v>44963</v>
      </c>
      <c r="B162" t="s">
        <v>179</v>
      </c>
      <c r="C162" t="s">
        <v>37</v>
      </c>
      <c r="D162" t="s">
        <v>11</v>
      </c>
    </row>
    <row r="163" spans="1:4" x14ac:dyDescent="0.25">
      <c r="A163" s="1">
        <v>44963</v>
      </c>
      <c r="B163" t="s">
        <v>179</v>
      </c>
      <c r="C163" t="s">
        <v>15</v>
      </c>
      <c r="D163" t="s">
        <v>11</v>
      </c>
    </row>
    <row r="164" spans="1:4" x14ac:dyDescent="0.25">
      <c r="A164" s="1">
        <v>44964</v>
      </c>
      <c r="B164" t="s">
        <v>180</v>
      </c>
      <c r="C164" t="s">
        <v>5</v>
      </c>
      <c r="D164" t="s">
        <v>20</v>
      </c>
    </row>
    <row r="165" spans="1:4" x14ac:dyDescent="0.25">
      <c r="A165" s="1">
        <v>44964</v>
      </c>
      <c r="B165" t="s">
        <v>181</v>
      </c>
      <c r="C165" t="s">
        <v>17</v>
      </c>
      <c r="D165" t="s">
        <v>13</v>
      </c>
    </row>
    <row r="166" spans="1:4" x14ac:dyDescent="0.25">
      <c r="A166" s="1">
        <v>44964</v>
      </c>
      <c r="B166" t="s">
        <v>182</v>
      </c>
      <c r="C166" t="s">
        <v>5</v>
      </c>
      <c r="D166" t="s">
        <v>11</v>
      </c>
    </row>
    <row r="167" spans="1:4" x14ac:dyDescent="0.25">
      <c r="A167" s="1">
        <v>44964</v>
      </c>
      <c r="B167" t="s">
        <v>183</v>
      </c>
      <c r="C167" t="s">
        <v>5</v>
      </c>
      <c r="D167" t="s">
        <v>31</v>
      </c>
    </row>
    <row r="168" spans="1:4" x14ac:dyDescent="0.25">
      <c r="A168" s="1">
        <v>44964</v>
      </c>
      <c r="B168" t="s">
        <v>184</v>
      </c>
      <c r="C168" t="s">
        <v>17</v>
      </c>
      <c r="D168" t="s">
        <v>20</v>
      </c>
    </row>
    <row r="169" spans="1:4" x14ac:dyDescent="0.25">
      <c r="A169" s="1">
        <v>44964</v>
      </c>
      <c r="B169" t="s">
        <v>185</v>
      </c>
      <c r="C169" t="s">
        <v>37</v>
      </c>
      <c r="D169" t="s">
        <v>20</v>
      </c>
    </row>
    <row r="170" spans="1:4" x14ac:dyDescent="0.25">
      <c r="A170" s="1">
        <v>44965</v>
      </c>
      <c r="B170" t="s">
        <v>186</v>
      </c>
      <c r="C170" t="s">
        <v>15</v>
      </c>
      <c r="D170" t="s">
        <v>9</v>
      </c>
    </row>
    <row r="171" spans="1:4" x14ac:dyDescent="0.25">
      <c r="A171" s="1">
        <v>44965</v>
      </c>
      <c r="B171" t="s">
        <v>187</v>
      </c>
      <c r="C171" t="s">
        <v>8</v>
      </c>
      <c r="D171" t="s">
        <v>23</v>
      </c>
    </row>
    <row r="172" spans="1:4" x14ac:dyDescent="0.25">
      <c r="A172" s="1">
        <v>44965</v>
      </c>
      <c r="B172" t="s">
        <v>188</v>
      </c>
      <c r="C172" t="s">
        <v>17</v>
      </c>
      <c r="D172" t="s">
        <v>9</v>
      </c>
    </row>
    <row r="173" spans="1:4" x14ac:dyDescent="0.25">
      <c r="A173" s="1">
        <v>44965</v>
      </c>
      <c r="B173" t="s">
        <v>189</v>
      </c>
      <c r="C173" t="s">
        <v>37</v>
      </c>
      <c r="D173" t="s">
        <v>9</v>
      </c>
    </row>
    <row r="174" spans="1:4" x14ac:dyDescent="0.25">
      <c r="A174" s="1">
        <v>44965</v>
      </c>
      <c r="B174" t="s">
        <v>190</v>
      </c>
      <c r="C174" t="s">
        <v>17</v>
      </c>
      <c r="D174" t="s">
        <v>9</v>
      </c>
    </row>
    <row r="175" spans="1:4" x14ac:dyDescent="0.25">
      <c r="A175" s="1">
        <v>44965</v>
      </c>
      <c r="B175" t="s">
        <v>191</v>
      </c>
      <c r="C175" t="s">
        <v>37</v>
      </c>
      <c r="D175" t="s">
        <v>9</v>
      </c>
    </row>
    <row r="176" spans="1:4" x14ac:dyDescent="0.25">
      <c r="A176" s="1">
        <v>44965</v>
      </c>
      <c r="B176" t="s">
        <v>192</v>
      </c>
      <c r="C176" t="s">
        <v>37</v>
      </c>
      <c r="D176" t="s">
        <v>31</v>
      </c>
    </row>
    <row r="177" spans="1:4" x14ac:dyDescent="0.25">
      <c r="A177" s="1">
        <v>44965</v>
      </c>
      <c r="B177" t="s">
        <v>193</v>
      </c>
      <c r="C177" t="s">
        <v>8</v>
      </c>
      <c r="D177" t="s">
        <v>31</v>
      </c>
    </row>
    <row r="178" spans="1:4" x14ac:dyDescent="0.25">
      <c r="A178" s="1">
        <v>44966</v>
      </c>
      <c r="B178" t="s">
        <v>194</v>
      </c>
      <c r="C178" t="s">
        <v>5</v>
      </c>
      <c r="D178" t="s">
        <v>9</v>
      </c>
    </row>
    <row r="179" spans="1:4" x14ac:dyDescent="0.25">
      <c r="A179" s="1">
        <v>44966</v>
      </c>
      <c r="B179" t="s">
        <v>195</v>
      </c>
      <c r="C179" t="s">
        <v>8</v>
      </c>
      <c r="D179" t="s">
        <v>34</v>
      </c>
    </row>
    <row r="180" spans="1:4" x14ac:dyDescent="0.25">
      <c r="A180" s="1">
        <v>44967</v>
      </c>
      <c r="B180" t="s">
        <v>196</v>
      </c>
      <c r="C180" t="s">
        <v>5</v>
      </c>
      <c r="D180" t="s">
        <v>34</v>
      </c>
    </row>
    <row r="181" spans="1:4" x14ac:dyDescent="0.25">
      <c r="A181" s="1">
        <v>44967</v>
      </c>
      <c r="B181" t="s">
        <v>197</v>
      </c>
      <c r="C181" t="s">
        <v>8</v>
      </c>
      <c r="D181" t="s">
        <v>29</v>
      </c>
    </row>
    <row r="182" spans="1:4" x14ac:dyDescent="0.25">
      <c r="A182" s="1">
        <v>44967</v>
      </c>
      <c r="B182" t="s">
        <v>198</v>
      </c>
      <c r="C182" t="s">
        <v>17</v>
      </c>
      <c r="D182" t="s">
        <v>9</v>
      </c>
    </row>
    <row r="183" spans="1:4" x14ac:dyDescent="0.25">
      <c r="A183" s="1">
        <v>44967</v>
      </c>
      <c r="B183" t="s">
        <v>199</v>
      </c>
      <c r="C183" t="s">
        <v>22</v>
      </c>
      <c r="D183" t="s">
        <v>6</v>
      </c>
    </row>
    <row r="184" spans="1:4" x14ac:dyDescent="0.25">
      <c r="A184" s="1">
        <v>44967</v>
      </c>
      <c r="B184" t="s">
        <v>200</v>
      </c>
      <c r="C184" t="s">
        <v>15</v>
      </c>
      <c r="D184" t="s">
        <v>9</v>
      </c>
    </row>
    <row r="185" spans="1:4" x14ac:dyDescent="0.25">
      <c r="A185" s="1">
        <v>44967</v>
      </c>
      <c r="B185" t="s">
        <v>201</v>
      </c>
      <c r="C185" t="s">
        <v>17</v>
      </c>
      <c r="D185" t="s">
        <v>6</v>
      </c>
    </row>
    <row r="186" spans="1:4" x14ac:dyDescent="0.25">
      <c r="A186" s="1">
        <v>44967</v>
      </c>
      <c r="B186" t="s">
        <v>202</v>
      </c>
      <c r="C186" t="s">
        <v>37</v>
      </c>
      <c r="D186" t="s">
        <v>9</v>
      </c>
    </row>
    <row r="187" spans="1:4" x14ac:dyDescent="0.25">
      <c r="A187" s="1">
        <v>44967</v>
      </c>
      <c r="B187" t="s">
        <v>203</v>
      </c>
      <c r="C187" t="s">
        <v>5</v>
      </c>
      <c r="D187" t="s">
        <v>94</v>
      </c>
    </row>
    <row r="188" spans="1:4" x14ac:dyDescent="0.25">
      <c r="A188" s="1">
        <v>44968</v>
      </c>
      <c r="B188" t="s">
        <v>204</v>
      </c>
      <c r="C188" t="s">
        <v>17</v>
      </c>
      <c r="D188" t="s">
        <v>23</v>
      </c>
    </row>
    <row r="189" spans="1:4" x14ac:dyDescent="0.25">
      <c r="A189" s="1">
        <v>44969</v>
      </c>
      <c r="B189" t="s">
        <v>205</v>
      </c>
      <c r="C189" t="s">
        <v>37</v>
      </c>
      <c r="D189" t="s">
        <v>78</v>
      </c>
    </row>
    <row r="190" spans="1:4" x14ac:dyDescent="0.25">
      <c r="A190" s="1">
        <v>44969</v>
      </c>
      <c r="B190" t="s">
        <v>206</v>
      </c>
      <c r="C190" t="s">
        <v>8</v>
      </c>
      <c r="D190" t="s">
        <v>94</v>
      </c>
    </row>
    <row r="191" spans="1:4" x14ac:dyDescent="0.25">
      <c r="A191" s="1">
        <v>44969</v>
      </c>
      <c r="B191" t="s">
        <v>207</v>
      </c>
      <c r="C191" t="s">
        <v>37</v>
      </c>
      <c r="D191" t="s">
        <v>94</v>
      </c>
    </row>
    <row r="192" spans="1:4" x14ac:dyDescent="0.25">
      <c r="A192" s="1">
        <v>44969</v>
      </c>
      <c r="B192" t="s">
        <v>208</v>
      </c>
      <c r="C192" t="s">
        <v>37</v>
      </c>
      <c r="D192" t="s">
        <v>13</v>
      </c>
    </row>
    <row r="193" spans="1:4" x14ac:dyDescent="0.25">
      <c r="A193" s="1">
        <v>44970</v>
      </c>
      <c r="B193" t="s">
        <v>209</v>
      </c>
      <c r="C193" t="s">
        <v>8</v>
      </c>
      <c r="D193" t="s">
        <v>113</v>
      </c>
    </row>
    <row r="194" spans="1:4" x14ac:dyDescent="0.25">
      <c r="A194" s="1">
        <v>44970</v>
      </c>
      <c r="B194" t="s">
        <v>210</v>
      </c>
      <c r="C194" t="s">
        <v>17</v>
      </c>
      <c r="D194" t="s">
        <v>113</v>
      </c>
    </row>
    <row r="195" spans="1:4" x14ac:dyDescent="0.25">
      <c r="A195" s="1">
        <v>44970</v>
      </c>
      <c r="B195" t="s">
        <v>211</v>
      </c>
      <c r="C195" t="s">
        <v>22</v>
      </c>
      <c r="D195" t="s">
        <v>212</v>
      </c>
    </row>
    <row r="196" spans="1:4" x14ac:dyDescent="0.25">
      <c r="A196" s="1">
        <v>44971</v>
      </c>
      <c r="B196" t="s">
        <v>213</v>
      </c>
      <c r="C196" t="s">
        <v>8</v>
      </c>
      <c r="D196" t="s">
        <v>9</v>
      </c>
    </row>
    <row r="197" spans="1:4" x14ac:dyDescent="0.25">
      <c r="A197" s="1">
        <v>44971</v>
      </c>
      <c r="B197" t="s">
        <v>214</v>
      </c>
      <c r="C197" t="s">
        <v>22</v>
      </c>
      <c r="D197" t="s">
        <v>11</v>
      </c>
    </row>
    <row r="198" spans="1:4" x14ac:dyDescent="0.25">
      <c r="A198" s="1">
        <v>44971</v>
      </c>
      <c r="B198" t="s">
        <v>215</v>
      </c>
      <c r="C198" t="s">
        <v>17</v>
      </c>
      <c r="D198" t="s">
        <v>9</v>
      </c>
    </row>
    <row r="199" spans="1:4" x14ac:dyDescent="0.25">
      <c r="A199" s="1">
        <v>44971</v>
      </c>
      <c r="B199" t="s">
        <v>216</v>
      </c>
      <c r="C199" t="s">
        <v>5</v>
      </c>
      <c r="D199" t="s">
        <v>212</v>
      </c>
    </row>
    <row r="200" spans="1:4" x14ac:dyDescent="0.25">
      <c r="A200" s="1">
        <v>44971</v>
      </c>
      <c r="B200" t="s">
        <v>217</v>
      </c>
      <c r="C200" t="s">
        <v>8</v>
      </c>
      <c r="D200" t="s">
        <v>212</v>
      </c>
    </row>
    <row r="201" spans="1:4" x14ac:dyDescent="0.25">
      <c r="A201" s="1">
        <v>44972</v>
      </c>
      <c r="B201" t="s">
        <v>218</v>
      </c>
      <c r="C201" t="s">
        <v>37</v>
      </c>
      <c r="D201" t="s">
        <v>212</v>
      </c>
    </row>
    <row r="202" spans="1:4" x14ac:dyDescent="0.25">
      <c r="A202" s="1">
        <v>44972</v>
      </c>
      <c r="B202" t="s">
        <v>219</v>
      </c>
      <c r="C202" t="s">
        <v>15</v>
      </c>
      <c r="D202" t="s">
        <v>113</v>
      </c>
    </row>
    <row r="203" spans="1:4" x14ac:dyDescent="0.25">
      <c r="A203" s="1">
        <v>44972</v>
      </c>
      <c r="B203" t="s">
        <v>220</v>
      </c>
      <c r="C203" t="s">
        <v>8</v>
      </c>
      <c r="D203" t="s">
        <v>113</v>
      </c>
    </row>
    <row r="204" spans="1:4" x14ac:dyDescent="0.25">
      <c r="A204" s="1">
        <v>44972</v>
      </c>
      <c r="B204" t="s">
        <v>221</v>
      </c>
      <c r="C204" t="s">
        <v>8</v>
      </c>
      <c r="D204" t="s">
        <v>11</v>
      </c>
    </row>
    <row r="205" spans="1:4" x14ac:dyDescent="0.25">
      <c r="A205" s="1">
        <v>44973</v>
      </c>
      <c r="B205" t="s">
        <v>222</v>
      </c>
      <c r="C205" t="s">
        <v>15</v>
      </c>
      <c r="D205" t="s">
        <v>94</v>
      </c>
    </row>
    <row r="206" spans="1:4" x14ac:dyDescent="0.25">
      <c r="A206" s="1">
        <v>44973</v>
      </c>
      <c r="B206" t="s">
        <v>223</v>
      </c>
      <c r="C206" t="s">
        <v>17</v>
      </c>
      <c r="D206" t="s">
        <v>6</v>
      </c>
    </row>
    <row r="207" spans="1:4" x14ac:dyDescent="0.25">
      <c r="A207" s="1">
        <v>44973</v>
      </c>
      <c r="B207" t="s">
        <v>224</v>
      </c>
      <c r="C207" t="s">
        <v>22</v>
      </c>
      <c r="D207" t="s">
        <v>31</v>
      </c>
    </row>
    <row r="208" spans="1:4" x14ac:dyDescent="0.25">
      <c r="A208" s="1">
        <v>44973</v>
      </c>
      <c r="B208" t="s">
        <v>225</v>
      </c>
      <c r="C208" t="s">
        <v>8</v>
      </c>
      <c r="D208" t="s">
        <v>9</v>
      </c>
    </row>
    <row r="209" spans="1:4" x14ac:dyDescent="0.25">
      <c r="A209" s="1">
        <v>44974</v>
      </c>
      <c r="B209" t="s">
        <v>226</v>
      </c>
      <c r="C209" t="s">
        <v>22</v>
      </c>
      <c r="D209" t="s">
        <v>78</v>
      </c>
    </row>
    <row r="210" spans="1:4" x14ac:dyDescent="0.25">
      <c r="A210" s="1">
        <v>44974</v>
      </c>
      <c r="B210" t="s">
        <v>227</v>
      </c>
      <c r="C210" t="s">
        <v>17</v>
      </c>
      <c r="D210" t="s">
        <v>212</v>
      </c>
    </row>
    <row r="211" spans="1:4" x14ac:dyDescent="0.25">
      <c r="A211" s="1">
        <v>44975</v>
      </c>
      <c r="B211" t="s">
        <v>228</v>
      </c>
      <c r="C211" t="s">
        <v>22</v>
      </c>
      <c r="D211" t="s">
        <v>113</v>
      </c>
    </row>
    <row r="212" spans="1:4" x14ac:dyDescent="0.25">
      <c r="A212" s="1">
        <v>44976</v>
      </c>
      <c r="B212" t="s">
        <v>229</v>
      </c>
      <c r="C212" t="s">
        <v>22</v>
      </c>
      <c r="D212" t="s">
        <v>11</v>
      </c>
    </row>
    <row r="213" spans="1:4" x14ac:dyDescent="0.25">
      <c r="A213" s="1">
        <v>44976</v>
      </c>
      <c r="B213" t="s">
        <v>230</v>
      </c>
      <c r="C213" t="s">
        <v>17</v>
      </c>
      <c r="D213" t="s">
        <v>9</v>
      </c>
    </row>
    <row r="214" spans="1:4" x14ac:dyDescent="0.25">
      <c r="A214" s="1">
        <v>44977</v>
      </c>
      <c r="B214" t="s">
        <v>231</v>
      </c>
      <c r="C214" t="s">
        <v>15</v>
      </c>
      <c r="D214" t="s">
        <v>20</v>
      </c>
    </row>
    <row r="215" spans="1:4" x14ac:dyDescent="0.25">
      <c r="A215" s="1">
        <v>44977</v>
      </c>
      <c r="B215" t="s">
        <v>231</v>
      </c>
      <c r="C215" t="s">
        <v>8</v>
      </c>
      <c r="D215" t="s">
        <v>20</v>
      </c>
    </row>
    <row r="216" spans="1:4" x14ac:dyDescent="0.25">
      <c r="A216" s="1">
        <v>44977</v>
      </c>
      <c r="B216" t="s">
        <v>232</v>
      </c>
      <c r="C216" t="s">
        <v>8</v>
      </c>
      <c r="D216" t="s">
        <v>34</v>
      </c>
    </row>
    <row r="217" spans="1:4" x14ac:dyDescent="0.25">
      <c r="A217" s="1">
        <v>44977</v>
      </c>
      <c r="B217" t="s">
        <v>233</v>
      </c>
      <c r="C217" t="s">
        <v>17</v>
      </c>
      <c r="D217" t="s">
        <v>13</v>
      </c>
    </row>
    <row r="218" spans="1:4" x14ac:dyDescent="0.25">
      <c r="A218" s="1">
        <v>44977</v>
      </c>
      <c r="B218" t="s">
        <v>234</v>
      </c>
      <c r="C218" t="s">
        <v>17</v>
      </c>
      <c r="D218" t="s">
        <v>78</v>
      </c>
    </row>
    <row r="219" spans="1:4" x14ac:dyDescent="0.25">
      <c r="A219" s="1">
        <v>44977</v>
      </c>
      <c r="B219" t="s">
        <v>235</v>
      </c>
      <c r="C219" t="s">
        <v>22</v>
      </c>
      <c r="D219" t="s">
        <v>13</v>
      </c>
    </row>
    <row r="220" spans="1:4" x14ac:dyDescent="0.25">
      <c r="A220" s="1">
        <v>44977</v>
      </c>
      <c r="B220" t="s">
        <v>236</v>
      </c>
      <c r="C220" t="s">
        <v>17</v>
      </c>
      <c r="D220" t="s">
        <v>34</v>
      </c>
    </row>
    <row r="221" spans="1:4" x14ac:dyDescent="0.25">
      <c r="A221" s="1">
        <v>44977</v>
      </c>
      <c r="B221" t="s">
        <v>237</v>
      </c>
      <c r="C221" t="s">
        <v>5</v>
      </c>
      <c r="D221" t="s">
        <v>34</v>
      </c>
    </row>
    <row r="222" spans="1:4" x14ac:dyDescent="0.25">
      <c r="A222" s="1">
        <v>44978</v>
      </c>
      <c r="B222" t="s">
        <v>238</v>
      </c>
      <c r="C222" t="s">
        <v>8</v>
      </c>
      <c r="D222" t="s">
        <v>13</v>
      </c>
    </row>
    <row r="223" spans="1:4" x14ac:dyDescent="0.25">
      <c r="A223" s="1">
        <v>44978</v>
      </c>
      <c r="B223" t="s">
        <v>239</v>
      </c>
      <c r="C223" t="s">
        <v>15</v>
      </c>
      <c r="D223" t="s">
        <v>34</v>
      </c>
    </row>
    <row r="224" spans="1:4" x14ac:dyDescent="0.25">
      <c r="A224" s="1">
        <v>44978</v>
      </c>
      <c r="B224" t="s">
        <v>240</v>
      </c>
      <c r="C224" t="s">
        <v>15</v>
      </c>
      <c r="D224" t="s">
        <v>18</v>
      </c>
    </row>
    <row r="225" spans="1:4" x14ac:dyDescent="0.25">
      <c r="A225" s="1">
        <v>44978</v>
      </c>
      <c r="B225" t="s">
        <v>241</v>
      </c>
      <c r="C225" t="s">
        <v>15</v>
      </c>
      <c r="D225" t="s">
        <v>11</v>
      </c>
    </row>
    <row r="226" spans="1:4" x14ac:dyDescent="0.25">
      <c r="A226" s="1">
        <v>44979</v>
      </c>
      <c r="B226" t="s">
        <v>242</v>
      </c>
      <c r="C226" t="s">
        <v>15</v>
      </c>
      <c r="D226" t="s">
        <v>23</v>
      </c>
    </row>
    <row r="227" spans="1:4" x14ac:dyDescent="0.25">
      <c r="A227" s="1">
        <v>44979</v>
      </c>
      <c r="B227" t="s">
        <v>243</v>
      </c>
      <c r="C227" t="s">
        <v>17</v>
      </c>
      <c r="D227" t="s">
        <v>212</v>
      </c>
    </row>
    <row r="228" spans="1:4" x14ac:dyDescent="0.25">
      <c r="A228" s="1">
        <v>44979</v>
      </c>
      <c r="B228" t="s">
        <v>244</v>
      </c>
      <c r="C228" t="s">
        <v>17</v>
      </c>
      <c r="D228" t="s">
        <v>94</v>
      </c>
    </row>
    <row r="229" spans="1:4" x14ac:dyDescent="0.25">
      <c r="A229" s="1">
        <v>44979</v>
      </c>
      <c r="B229" t="s">
        <v>245</v>
      </c>
      <c r="C229" t="s">
        <v>22</v>
      </c>
      <c r="D229" t="s">
        <v>18</v>
      </c>
    </row>
    <row r="230" spans="1:4" x14ac:dyDescent="0.25">
      <c r="A230" s="1">
        <v>44979</v>
      </c>
      <c r="B230" t="s">
        <v>246</v>
      </c>
      <c r="C230" t="s">
        <v>8</v>
      </c>
      <c r="D230" t="s">
        <v>6</v>
      </c>
    </row>
    <row r="231" spans="1:4" x14ac:dyDescent="0.25">
      <c r="A231" s="1">
        <v>44979</v>
      </c>
      <c r="B231" t="s">
        <v>247</v>
      </c>
      <c r="C231" t="s">
        <v>17</v>
      </c>
      <c r="D231" t="s">
        <v>34</v>
      </c>
    </row>
    <row r="232" spans="1:4" x14ac:dyDescent="0.25">
      <c r="A232" s="1">
        <v>44979</v>
      </c>
      <c r="B232" t="s">
        <v>247</v>
      </c>
      <c r="C232" t="s">
        <v>15</v>
      </c>
      <c r="D232" t="s">
        <v>34</v>
      </c>
    </row>
    <row r="233" spans="1:4" x14ac:dyDescent="0.25">
      <c r="A233" s="1">
        <v>44980</v>
      </c>
      <c r="B233" t="s">
        <v>248</v>
      </c>
      <c r="C233" t="s">
        <v>22</v>
      </c>
      <c r="D233" t="s">
        <v>18</v>
      </c>
    </row>
    <row r="234" spans="1:4" x14ac:dyDescent="0.25">
      <c r="A234" s="1">
        <v>44980</v>
      </c>
      <c r="B234" t="s">
        <v>249</v>
      </c>
      <c r="C234" t="s">
        <v>22</v>
      </c>
      <c r="D234" t="s">
        <v>18</v>
      </c>
    </row>
    <row r="235" spans="1:4" x14ac:dyDescent="0.25">
      <c r="A235" s="1">
        <v>44980</v>
      </c>
      <c r="B235" t="s">
        <v>250</v>
      </c>
      <c r="C235" t="s">
        <v>5</v>
      </c>
      <c r="D235" t="s">
        <v>23</v>
      </c>
    </row>
    <row r="236" spans="1:4" x14ac:dyDescent="0.25">
      <c r="A236" s="1">
        <v>44981</v>
      </c>
      <c r="B236" t="s">
        <v>251</v>
      </c>
      <c r="C236" t="s">
        <v>17</v>
      </c>
      <c r="D236" t="s">
        <v>23</v>
      </c>
    </row>
    <row r="237" spans="1:4" x14ac:dyDescent="0.25">
      <c r="A237" s="1">
        <v>44981</v>
      </c>
      <c r="B237" t="s">
        <v>252</v>
      </c>
      <c r="C237" t="s">
        <v>8</v>
      </c>
      <c r="D237" t="s">
        <v>20</v>
      </c>
    </row>
    <row r="238" spans="1:4" x14ac:dyDescent="0.25">
      <c r="A238" s="1">
        <v>44981</v>
      </c>
      <c r="B238" t="s">
        <v>253</v>
      </c>
      <c r="C238" t="s">
        <v>5</v>
      </c>
      <c r="D238" t="s">
        <v>20</v>
      </c>
    </row>
    <row r="239" spans="1:4" x14ac:dyDescent="0.25">
      <c r="A239" s="1">
        <v>44982</v>
      </c>
      <c r="B239" t="s">
        <v>254</v>
      </c>
      <c r="C239" t="s">
        <v>37</v>
      </c>
      <c r="D239" t="s">
        <v>47</v>
      </c>
    </row>
    <row r="240" spans="1:4" x14ac:dyDescent="0.25">
      <c r="A240" s="1">
        <v>44982</v>
      </c>
      <c r="B240" t="s">
        <v>255</v>
      </c>
      <c r="C240" t="s">
        <v>17</v>
      </c>
      <c r="D240" t="s">
        <v>9</v>
      </c>
    </row>
    <row r="241" spans="1:4" x14ac:dyDescent="0.25">
      <c r="A241" s="1">
        <v>44982</v>
      </c>
      <c r="B241" t="s">
        <v>256</v>
      </c>
      <c r="C241" t="s">
        <v>37</v>
      </c>
      <c r="D241" t="s">
        <v>94</v>
      </c>
    </row>
    <row r="242" spans="1:4" x14ac:dyDescent="0.25">
      <c r="A242" s="1">
        <v>44982</v>
      </c>
      <c r="B242" t="s">
        <v>257</v>
      </c>
      <c r="C242" t="s">
        <v>8</v>
      </c>
      <c r="D242" t="s">
        <v>47</v>
      </c>
    </row>
    <row r="243" spans="1:4" x14ac:dyDescent="0.25">
      <c r="A243" s="1">
        <v>44983</v>
      </c>
      <c r="B243" t="s">
        <v>258</v>
      </c>
      <c r="C243" t="s">
        <v>22</v>
      </c>
      <c r="D243" t="s">
        <v>9</v>
      </c>
    </row>
    <row r="244" spans="1:4" x14ac:dyDescent="0.25">
      <c r="A244" s="1">
        <v>44983</v>
      </c>
      <c r="B244" t="s">
        <v>259</v>
      </c>
      <c r="C244" t="s">
        <v>5</v>
      </c>
      <c r="D244" t="s">
        <v>23</v>
      </c>
    </row>
    <row r="245" spans="1:4" x14ac:dyDescent="0.25">
      <c r="A245" s="1">
        <v>44984</v>
      </c>
      <c r="B245" t="s">
        <v>260</v>
      </c>
      <c r="C245" t="s">
        <v>37</v>
      </c>
      <c r="D245" t="s">
        <v>23</v>
      </c>
    </row>
    <row r="246" spans="1:4" x14ac:dyDescent="0.25">
      <c r="A246" s="1">
        <v>44984</v>
      </c>
      <c r="B246" t="s">
        <v>261</v>
      </c>
      <c r="C246" t="s">
        <v>5</v>
      </c>
      <c r="D246" t="s">
        <v>29</v>
      </c>
    </row>
    <row r="247" spans="1:4" x14ac:dyDescent="0.25">
      <c r="A247" s="1">
        <v>44984</v>
      </c>
      <c r="B247" t="s">
        <v>262</v>
      </c>
      <c r="C247" t="s">
        <v>5</v>
      </c>
      <c r="D247" t="s">
        <v>29</v>
      </c>
    </row>
    <row r="248" spans="1:4" x14ac:dyDescent="0.25">
      <c r="A248" s="1">
        <v>44984</v>
      </c>
      <c r="B248" t="s">
        <v>263</v>
      </c>
      <c r="C248" t="s">
        <v>15</v>
      </c>
      <c r="D248" t="s">
        <v>18</v>
      </c>
    </row>
    <row r="249" spans="1:4" x14ac:dyDescent="0.25">
      <c r="A249" s="1">
        <v>44985</v>
      </c>
      <c r="B249" t="s">
        <v>264</v>
      </c>
      <c r="C249" t="s">
        <v>37</v>
      </c>
      <c r="D249" t="s">
        <v>18</v>
      </c>
    </row>
    <row r="250" spans="1:4" x14ac:dyDescent="0.25">
      <c r="A250" s="1">
        <v>44985</v>
      </c>
      <c r="B250" t="s">
        <v>265</v>
      </c>
      <c r="C250" t="s">
        <v>22</v>
      </c>
      <c r="D250" t="s">
        <v>11</v>
      </c>
    </row>
    <row r="251" spans="1:4" x14ac:dyDescent="0.25">
      <c r="A251" s="1">
        <v>44985</v>
      </c>
      <c r="B251" t="s">
        <v>266</v>
      </c>
      <c r="C251" t="s">
        <v>5</v>
      </c>
      <c r="D251" t="s">
        <v>31</v>
      </c>
    </row>
    <row r="252" spans="1:4" x14ac:dyDescent="0.25">
      <c r="A252" s="1">
        <v>44985</v>
      </c>
      <c r="B252" t="s">
        <v>267</v>
      </c>
      <c r="C252" t="s">
        <v>5</v>
      </c>
      <c r="D252" t="s">
        <v>94</v>
      </c>
    </row>
    <row r="253" spans="1:4" x14ac:dyDescent="0.25">
      <c r="A253" s="1">
        <v>44986</v>
      </c>
      <c r="B253" t="s">
        <v>268</v>
      </c>
      <c r="C253" t="s">
        <v>17</v>
      </c>
      <c r="D253" t="s">
        <v>11</v>
      </c>
    </row>
    <row r="254" spans="1:4" x14ac:dyDescent="0.25">
      <c r="A254" s="1">
        <v>44986</v>
      </c>
      <c r="B254" t="s">
        <v>269</v>
      </c>
      <c r="C254" t="s">
        <v>37</v>
      </c>
      <c r="D254" t="s">
        <v>11</v>
      </c>
    </row>
    <row r="255" spans="1:4" x14ac:dyDescent="0.25">
      <c r="A255" s="1">
        <v>44986</v>
      </c>
      <c r="B255" t="s">
        <v>270</v>
      </c>
      <c r="C255" t="s">
        <v>17</v>
      </c>
      <c r="D255" t="s">
        <v>11</v>
      </c>
    </row>
    <row r="256" spans="1:4" x14ac:dyDescent="0.25">
      <c r="A256" s="1">
        <v>44986</v>
      </c>
      <c r="B256" t="s">
        <v>271</v>
      </c>
      <c r="C256" t="s">
        <v>5</v>
      </c>
      <c r="D256" t="s">
        <v>29</v>
      </c>
    </row>
    <row r="257" spans="1:4" x14ac:dyDescent="0.25">
      <c r="A257" s="1">
        <v>44987</v>
      </c>
      <c r="B257" t="s">
        <v>272</v>
      </c>
      <c r="C257" t="s">
        <v>5</v>
      </c>
      <c r="D257" t="s">
        <v>11</v>
      </c>
    </row>
    <row r="258" spans="1:4" x14ac:dyDescent="0.25">
      <c r="A258" s="1">
        <v>44987</v>
      </c>
      <c r="B258" t="s">
        <v>273</v>
      </c>
      <c r="C258" t="s">
        <v>17</v>
      </c>
      <c r="D258" t="s">
        <v>20</v>
      </c>
    </row>
    <row r="259" spans="1:4" x14ac:dyDescent="0.25">
      <c r="A259" s="1">
        <v>44987</v>
      </c>
      <c r="B259" t="s">
        <v>274</v>
      </c>
      <c r="C259" t="s">
        <v>22</v>
      </c>
      <c r="D259" t="s">
        <v>29</v>
      </c>
    </row>
    <row r="260" spans="1:4" x14ac:dyDescent="0.25">
      <c r="A260" s="1">
        <v>44987</v>
      </c>
      <c r="B260" t="s">
        <v>275</v>
      </c>
      <c r="C260" t="s">
        <v>22</v>
      </c>
      <c r="D260" t="s">
        <v>20</v>
      </c>
    </row>
    <row r="261" spans="1:4" x14ac:dyDescent="0.25">
      <c r="A261" s="1">
        <v>44987</v>
      </c>
      <c r="B261" t="s">
        <v>276</v>
      </c>
      <c r="C261" t="s">
        <v>8</v>
      </c>
      <c r="D261" t="s">
        <v>23</v>
      </c>
    </row>
    <row r="262" spans="1:4" x14ac:dyDescent="0.25">
      <c r="A262" s="1">
        <v>44987</v>
      </c>
      <c r="B262" t="s">
        <v>277</v>
      </c>
      <c r="C262" t="s">
        <v>5</v>
      </c>
      <c r="D262" t="s">
        <v>29</v>
      </c>
    </row>
    <row r="263" spans="1:4" x14ac:dyDescent="0.25">
      <c r="A263" s="1">
        <v>44987</v>
      </c>
      <c r="B263" t="s">
        <v>278</v>
      </c>
      <c r="C263" t="s">
        <v>5</v>
      </c>
      <c r="D263" t="s">
        <v>20</v>
      </c>
    </row>
    <row r="264" spans="1:4" x14ac:dyDescent="0.25">
      <c r="A264" s="1">
        <v>44988</v>
      </c>
      <c r="B264" t="s">
        <v>279</v>
      </c>
      <c r="C264" t="s">
        <v>8</v>
      </c>
      <c r="D264" t="s">
        <v>11</v>
      </c>
    </row>
    <row r="265" spans="1:4" x14ac:dyDescent="0.25">
      <c r="A265" s="1">
        <v>44988</v>
      </c>
      <c r="B265" t="s">
        <v>280</v>
      </c>
      <c r="C265" t="s">
        <v>5</v>
      </c>
      <c r="D265" t="s">
        <v>34</v>
      </c>
    </row>
    <row r="266" spans="1:4" x14ac:dyDescent="0.25">
      <c r="A266" s="1">
        <v>44988</v>
      </c>
      <c r="B266" t="s">
        <v>281</v>
      </c>
      <c r="C266" t="s">
        <v>8</v>
      </c>
      <c r="D266" t="s">
        <v>113</v>
      </c>
    </row>
    <row r="267" spans="1:4" x14ac:dyDescent="0.25">
      <c r="A267" s="1">
        <v>44989</v>
      </c>
      <c r="B267" t="s">
        <v>282</v>
      </c>
      <c r="C267" t="s">
        <v>22</v>
      </c>
      <c r="D267" t="s">
        <v>9</v>
      </c>
    </row>
    <row r="268" spans="1:4" x14ac:dyDescent="0.25">
      <c r="A268" s="1">
        <v>44989</v>
      </c>
      <c r="B268" t="s">
        <v>283</v>
      </c>
      <c r="C268" t="s">
        <v>22</v>
      </c>
      <c r="D268" t="s">
        <v>9</v>
      </c>
    </row>
    <row r="269" spans="1:4" x14ac:dyDescent="0.25">
      <c r="A269" s="1">
        <v>44989</v>
      </c>
      <c r="B269" t="s">
        <v>284</v>
      </c>
      <c r="C269" t="s">
        <v>15</v>
      </c>
      <c r="D269" t="s">
        <v>212</v>
      </c>
    </row>
    <row r="270" spans="1:4" x14ac:dyDescent="0.25">
      <c r="A270" s="1">
        <v>44989</v>
      </c>
      <c r="B270" t="s">
        <v>285</v>
      </c>
      <c r="C270" t="s">
        <v>37</v>
      </c>
      <c r="D270" t="s">
        <v>113</v>
      </c>
    </row>
    <row r="271" spans="1:4" x14ac:dyDescent="0.25">
      <c r="A271" s="1">
        <v>44990</v>
      </c>
      <c r="B271" t="s">
        <v>286</v>
      </c>
      <c r="C271" t="s">
        <v>5</v>
      </c>
      <c r="D271" t="s">
        <v>212</v>
      </c>
    </row>
    <row r="272" spans="1:4" x14ac:dyDescent="0.25">
      <c r="A272" s="1">
        <v>44990</v>
      </c>
      <c r="B272" t="s">
        <v>287</v>
      </c>
      <c r="C272" t="s">
        <v>15</v>
      </c>
      <c r="D272" t="s">
        <v>9</v>
      </c>
    </row>
    <row r="273" spans="1:4" x14ac:dyDescent="0.25">
      <c r="A273" s="1">
        <v>44990</v>
      </c>
      <c r="B273" t="s">
        <v>288</v>
      </c>
      <c r="C273" t="s">
        <v>8</v>
      </c>
      <c r="D273" t="s">
        <v>11</v>
      </c>
    </row>
    <row r="274" spans="1:4" x14ac:dyDescent="0.25">
      <c r="A274" s="1">
        <v>44990</v>
      </c>
      <c r="B274" t="s">
        <v>289</v>
      </c>
      <c r="C274" t="s">
        <v>8</v>
      </c>
      <c r="D274" t="s">
        <v>29</v>
      </c>
    </row>
    <row r="275" spans="1:4" x14ac:dyDescent="0.25">
      <c r="A275" s="1">
        <v>44990</v>
      </c>
      <c r="B275" t="s">
        <v>290</v>
      </c>
      <c r="C275" t="s">
        <v>5</v>
      </c>
      <c r="D275" t="s">
        <v>20</v>
      </c>
    </row>
    <row r="276" spans="1:4" x14ac:dyDescent="0.25">
      <c r="A276" s="1">
        <v>44990</v>
      </c>
      <c r="B276" t="s">
        <v>291</v>
      </c>
      <c r="C276" t="s">
        <v>37</v>
      </c>
      <c r="D276" t="s">
        <v>23</v>
      </c>
    </row>
    <row r="277" spans="1:4" x14ac:dyDescent="0.25">
      <c r="A277" s="1">
        <v>44991</v>
      </c>
      <c r="B277" t="s">
        <v>292</v>
      </c>
      <c r="C277" t="s">
        <v>8</v>
      </c>
      <c r="D277" t="s">
        <v>9</v>
      </c>
    </row>
    <row r="278" spans="1:4" x14ac:dyDescent="0.25">
      <c r="A278" s="1">
        <v>44991</v>
      </c>
      <c r="B278" t="s">
        <v>292</v>
      </c>
      <c r="C278" t="s">
        <v>17</v>
      </c>
      <c r="D278" t="s">
        <v>9</v>
      </c>
    </row>
    <row r="279" spans="1:4" x14ac:dyDescent="0.25">
      <c r="A279" s="1">
        <v>44991</v>
      </c>
      <c r="B279" t="s">
        <v>293</v>
      </c>
      <c r="C279" t="s">
        <v>8</v>
      </c>
      <c r="D279" t="s">
        <v>9</v>
      </c>
    </row>
    <row r="280" spans="1:4" x14ac:dyDescent="0.25">
      <c r="A280" s="1">
        <v>44991</v>
      </c>
      <c r="B280" t="s">
        <v>294</v>
      </c>
      <c r="C280" t="s">
        <v>22</v>
      </c>
      <c r="D280" t="s">
        <v>11</v>
      </c>
    </row>
    <row r="281" spans="1:4" x14ac:dyDescent="0.25">
      <c r="A281" s="1">
        <v>44992</v>
      </c>
      <c r="B281" t="s">
        <v>295</v>
      </c>
      <c r="C281" t="s">
        <v>8</v>
      </c>
      <c r="D281" t="s">
        <v>9</v>
      </c>
    </row>
    <row r="282" spans="1:4" x14ac:dyDescent="0.25">
      <c r="A282" s="1">
        <v>44992</v>
      </c>
      <c r="B282" t="s">
        <v>296</v>
      </c>
      <c r="C282" t="s">
        <v>8</v>
      </c>
      <c r="D282" t="s">
        <v>23</v>
      </c>
    </row>
    <row r="283" spans="1:4" x14ac:dyDescent="0.25">
      <c r="A283" s="1">
        <v>44992</v>
      </c>
      <c r="B283" t="s">
        <v>297</v>
      </c>
      <c r="C283" t="s">
        <v>8</v>
      </c>
      <c r="D283" t="s">
        <v>212</v>
      </c>
    </row>
    <row r="284" spans="1:4" x14ac:dyDescent="0.25">
      <c r="A284" s="1">
        <v>44992</v>
      </c>
      <c r="B284" t="s">
        <v>298</v>
      </c>
      <c r="C284" t="s">
        <v>17</v>
      </c>
      <c r="D284" t="s">
        <v>29</v>
      </c>
    </row>
    <row r="285" spans="1:4" x14ac:dyDescent="0.25">
      <c r="A285" s="1">
        <v>44992</v>
      </c>
      <c r="B285" t="s">
        <v>299</v>
      </c>
      <c r="C285" t="s">
        <v>17</v>
      </c>
      <c r="D285" t="s">
        <v>11</v>
      </c>
    </row>
    <row r="286" spans="1:4" x14ac:dyDescent="0.25">
      <c r="A286" s="1">
        <v>44992</v>
      </c>
      <c r="B286" t="s">
        <v>300</v>
      </c>
      <c r="C286" t="s">
        <v>37</v>
      </c>
      <c r="D286" t="s">
        <v>29</v>
      </c>
    </row>
    <row r="287" spans="1:4" x14ac:dyDescent="0.25">
      <c r="A287" s="1">
        <v>44992</v>
      </c>
      <c r="B287" t="s">
        <v>301</v>
      </c>
      <c r="C287" t="s">
        <v>17</v>
      </c>
      <c r="D287" t="s">
        <v>9</v>
      </c>
    </row>
    <row r="288" spans="1:4" x14ac:dyDescent="0.25">
      <c r="A288" s="1">
        <v>44993</v>
      </c>
      <c r="B288" t="s">
        <v>302</v>
      </c>
      <c r="C288" t="s">
        <v>22</v>
      </c>
      <c r="D288" t="s">
        <v>11</v>
      </c>
    </row>
    <row r="289" spans="1:4" x14ac:dyDescent="0.25">
      <c r="A289" s="1">
        <v>44993</v>
      </c>
      <c r="B289" t="s">
        <v>303</v>
      </c>
      <c r="C289" t="s">
        <v>37</v>
      </c>
      <c r="D289" t="s">
        <v>29</v>
      </c>
    </row>
    <row r="290" spans="1:4" x14ac:dyDescent="0.25">
      <c r="A290" s="1">
        <v>44993</v>
      </c>
      <c r="B290" t="s">
        <v>304</v>
      </c>
      <c r="C290" t="s">
        <v>17</v>
      </c>
      <c r="D290" t="s">
        <v>29</v>
      </c>
    </row>
    <row r="291" spans="1:4" x14ac:dyDescent="0.25">
      <c r="A291" s="1">
        <v>44993</v>
      </c>
      <c r="B291" t="s">
        <v>305</v>
      </c>
      <c r="C291" t="s">
        <v>8</v>
      </c>
      <c r="D291" t="s">
        <v>212</v>
      </c>
    </row>
    <row r="292" spans="1:4" x14ac:dyDescent="0.25">
      <c r="A292" s="1">
        <v>44994</v>
      </c>
      <c r="B292" t="s">
        <v>306</v>
      </c>
      <c r="C292" t="s">
        <v>17</v>
      </c>
      <c r="D292" t="s">
        <v>94</v>
      </c>
    </row>
    <row r="293" spans="1:4" x14ac:dyDescent="0.25">
      <c r="A293" s="1">
        <v>44994</v>
      </c>
      <c r="B293" t="s">
        <v>307</v>
      </c>
      <c r="C293" t="s">
        <v>5</v>
      </c>
      <c r="D293" t="s">
        <v>29</v>
      </c>
    </row>
    <row r="294" spans="1:4" x14ac:dyDescent="0.25">
      <c r="A294" s="1">
        <v>44994</v>
      </c>
      <c r="B294" t="s">
        <v>308</v>
      </c>
      <c r="C294" t="s">
        <v>37</v>
      </c>
      <c r="D294" t="s">
        <v>31</v>
      </c>
    </row>
    <row r="295" spans="1:4" x14ac:dyDescent="0.25">
      <c r="A295" s="1">
        <v>44995</v>
      </c>
      <c r="B295" t="s">
        <v>309</v>
      </c>
      <c r="C295" t="s">
        <v>15</v>
      </c>
      <c r="D295" t="s">
        <v>9</v>
      </c>
    </row>
    <row r="296" spans="1:4" x14ac:dyDescent="0.25">
      <c r="A296" s="1">
        <v>44995</v>
      </c>
      <c r="B296" t="s">
        <v>310</v>
      </c>
      <c r="C296" t="s">
        <v>22</v>
      </c>
      <c r="D296" t="s">
        <v>94</v>
      </c>
    </row>
    <row r="297" spans="1:4" x14ac:dyDescent="0.25">
      <c r="A297" s="1">
        <v>44995</v>
      </c>
      <c r="B297" t="s">
        <v>311</v>
      </c>
      <c r="C297" t="s">
        <v>37</v>
      </c>
      <c r="D297" t="s">
        <v>13</v>
      </c>
    </row>
    <row r="298" spans="1:4" x14ac:dyDescent="0.25">
      <c r="A298" s="1">
        <v>44995</v>
      </c>
      <c r="B298" t="s">
        <v>312</v>
      </c>
      <c r="C298" t="s">
        <v>5</v>
      </c>
      <c r="D298" t="s">
        <v>78</v>
      </c>
    </row>
    <row r="299" spans="1:4" x14ac:dyDescent="0.25">
      <c r="A299" s="1">
        <v>44996</v>
      </c>
      <c r="B299" t="s">
        <v>313</v>
      </c>
      <c r="C299" t="s">
        <v>8</v>
      </c>
      <c r="D299" t="s">
        <v>29</v>
      </c>
    </row>
    <row r="300" spans="1:4" x14ac:dyDescent="0.25">
      <c r="A300" s="1">
        <v>44996</v>
      </c>
      <c r="B300" t="s">
        <v>314</v>
      </c>
      <c r="C300" t="s">
        <v>15</v>
      </c>
      <c r="D300" t="s">
        <v>23</v>
      </c>
    </row>
    <row r="301" spans="1:4" x14ac:dyDescent="0.25">
      <c r="A301" s="1">
        <v>44996</v>
      </c>
      <c r="B301" t="s">
        <v>315</v>
      </c>
      <c r="C301" t="s">
        <v>17</v>
      </c>
      <c r="D301" t="s">
        <v>9</v>
      </c>
    </row>
    <row r="302" spans="1:4" x14ac:dyDescent="0.25">
      <c r="A302" s="1">
        <v>44997</v>
      </c>
      <c r="B302" t="s">
        <v>316</v>
      </c>
      <c r="C302" t="s">
        <v>15</v>
      </c>
      <c r="D302" t="s">
        <v>18</v>
      </c>
    </row>
    <row r="303" spans="1:4" x14ac:dyDescent="0.25">
      <c r="A303" s="1">
        <v>44997</v>
      </c>
      <c r="B303" t="s">
        <v>317</v>
      </c>
      <c r="C303" t="s">
        <v>22</v>
      </c>
      <c r="D303" t="s">
        <v>29</v>
      </c>
    </row>
    <row r="304" spans="1:4" x14ac:dyDescent="0.25">
      <c r="A304" s="1">
        <v>44997</v>
      </c>
      <c r="B304" t="s">
        <v>318</v>
      </c>
      <c r="C304" t="s">
        <v>17</v>
      </c>
      <c r="D304" t="s">
        <v>11</v>
      </c>
    </row>
    <row r="305" spans="1:4" x14ac:dyDescent="0.25">
      <c r="A305" s="1">
        <v>44997</v>
      </c>
      <c r="B305" t="s">
        <v>319</v>
      </c>
      <c r="C305" t="s">
        <v>15</v>
      </c>
      <c r="D305" t="s">
        <v>9</v>
      </c>
    </row>
    <row r="306" spans="1:4" x14ac:dyDescent="0.25">
      <c r="A306" s="1">
        <v>44997</v>
      </c>
      <c r="B306" t="s">
        <v>320</v>
      </c>
      <c r="C306" t="s">
        <v>8</v>
      </c>
      <c r="D306" t="s">
        <v>11</v>
      </c>
    </row>
    <row r="307" spans="1:4" x14ac:dyDescent="0.25">
      <c r="A307" s="1">
        <v>44997</v>
      </c>
      <c r="B307" t="s">
        <v>321</v>
      </c>
      <c r="C307" t="s">
        <v>37</v>
      </c>
      <c r="D307" t="s">
        <v>9</v>
      </c>
    </row>
    <row r="308" spans="1:4" x14ac:dyDescent="0.25">
      <c r="A308" s="1">
        <v>44997</v>
      </c>
      <c r="B308" t="s">
        <v>322</v>
      </c>
      <c r="C308" t="s">
        <v>17</v>
      </c>
      <c r="D308" t="s">
        <v>20</v>
      </c>
    </row>
    <row r="309" spans="1:4" x14ac:dyDescent="0.25">
      <c r="A309" s="1">
        <v>44997</v>
      </c>
      <c r="B309" t="s">
        <v>323</v>
      </c>
      <c r="C309" t="s">
        <v>8</v>
      </c>
      <c r="D309" t="s">
        <v>11</v>
      </c>
    </row>
    <row r="310" spans="1:4" x14ac:dyDescent="0.25">
      <c r="A310" s="1">
        <v>44998</v>
      </c>
      <c r="B310" t="s">
        <v>324</v>
      </c>
      <c r="C310" t="s">
        <v>8</v>
      </c>
      <c r="D310" t="s">
        <v>212</v>
      </c>
    </row>
    <row r="311" spans="1:4" x14ac:dyDescent="0.25">
      <c r="A311" s="1">
        <v>44998</v>
      </c>
      <c r="B311" t="s">
        <v>325</v>
      </c>
      <c r="C311" t="s">
        <v>8</v>
      </c>
      <c r="D311" t="s">
        <v>11</v>
      </c>
    </row>
    <row r="312" spans="1:4" x14ac:dyDescent="0.25">
      <c r="A312" s="1">
        <v>44998</v>
      </c>
      <c r="B312" t="s">
        <v>326</v>
      </c>
      <c r="C312" t="s">
        <v>17</v>
      </c>
      <c r="D312" t="s">
        <v>113</v>
      </c>
    </row>
    <row r="313" spans="1:4" x14ac:dyDescent="0.25">
      <c r="A313" s="1">
        <v>44998</v>
      </c>
      <c r="B313" t="s">
        <v>327</v>
      </c>
      <c r="C313" t="s">
        <v>8</v>
      </c>
      <c r="D313" t="s">
        <v>9</v>
      </c>
    </row>
    <row r="314" spans="1:4" x14ac:dyDescent="0.25">
      <c r="A314" s="1">
        <v>44999</v>
      </c>
      <c r="B314" t="s">
        <v>328</v>
      </c>
      <c r="C314" t="s">
        <v>8</v>
      </c>
      <c r="D314" t="s">
        <v>212</v>
      </c>
    </row>
    <row r="315" spans="1:4" x14ac:dyDescent="0.25">
      <c r="A315" s="1">
        <v>44999</v>
      </c>
      <c r="B315" t="s">
        <v>329</v>
      </c>
      <c r="C315" t="s">
        <v>15</v>
      </c>
      <c r="D315" t="s">
        <v>94</v>
      </c>
    </row>
    <row r="316" spans="1:4" x14ac:dyDescent="0.25">
      <c r="A316" s="1">
        <v>44999</v>
      </c>
      <c r="B316" t="s">
        <v>330</v>
      </c>
      <c r="C316" t="s">
        <v>5</v>
      </c>
      <c r="D316" t="s">
        <v>9</v>
      </c>
    </row>
    <row r="317" spans="1:4" x14ac:dyDescent="0.25">
      <c r="A317" s="1">
        <v>44999</v>
      </c>
      <c r="B317" t="s">
        <v>331</v>
      </c>
      <c r="C317" t="s">
        <v>22</v>
      </c>
      <c r="D317" t="s">
        <v>18</v>
      </c>
    </row>
    <row r="318" spans="1:4" x14ac:dyDescent="0.25">
      <c r="A318" s="1">
        <v>44999</v>
      </c>
      <c r="B318" t="s">
        <v>332</v>
      </c>
      <c r="C318" t="s">
        <v>5</v>
      </c>
      <c r="D318" t="s">
        <v>31</v>
      </c>
    </row>
    <row r="319" spans="1:4" x14ac:dyDescent="0.25">
      <c r="A319" s="1">
        <v>44999</v>
      </c>
      <c r="B319" t="s">
        <v>333</v>
      </c>
      <c r="C319" t="s">
        <v>8</v>
      </c>
      <c r="D319" t="s">
        <v>212</v>
      </c>
    </row>
    <row r="320" spans="1:4" x14ac:dyDescent="0.25">
      <c r="A320" s="1">
        <v>45000</v>
      </c>
      <c r="B320" t="s">
        <v>334</v>
      </c>
      <c r="C320" t="s">
        <v>8</v>
      </c>
      <c r="D320" t="s">
        <v>34</v>
      </c>
    </row>
    <row r="321" spans="1:4" x14ac:dyDescent="0.25">
      <c r="A321" s="1">
        <v>45000</v>
      </c>
      <c r="B321" t="s">
        <v>335</v>
      </c>
      <c r="C321" t="s">
        <v>22</v>
      </c>
      <c r="D321" t="s">
        <v>29</v>
      </c>
    </row>
    <row r="322" spans="1:4" x14ac:dyDescent="0.25">
      <c r="A322" s="1">
        <v>45000</v>
      </c>
      <c r="B322" t="s">
        <v>336</v>
      </c>
      <c r="C322" t="s">
        <v>5</v>
      </c>
      <c r="D322" t="s">
        <v>29</v>
      </c>
    </row>
    <row r="323" spans="1:4" x14ac:dyDescent="0.25">
      <c r="A323" s="1">
        <v>45001</v>
      </c>
      <c r="B323" t="s">
        <v>337</v>
      </c>
      <c r="C323" t="s">
        <v>5</v>
      </c>
      <c r="D323" t="s">
        <v>212</v>
      </c>
    </row>
    <row r="324" spans="1:4" x14ac:dyDescent="0.25">
      <c r="A324" s="1">
        <v>45001</v>
      </c>
      <c r="B324" t="s">
        <v>338</v>
      </c>
      <c r="C324" t="s">
        <v>8</v>
      </c>
      <c r="D324" t="s">
        <v>29</v>
      </c>
    </row>
    <row r="325" spans="1:4" x14ac:dyDescent="0.25">
      <c r="A325" s="1">
        <v>45001</v>
      </c>
      <c r="B325" t="s">
        <v>339</v>
      </c>
      <c r="C325" t="s">
        <v>15</v>
      </c>
      <c r="D325" t="s">
        <v>23</v>
      </c>
    </row>
    <row r="326" spans="1:4" x14ac:dyDescent="0.25">
      <c r="A326" s="1">
        <v>45001</v>
      </c>
      <c r="B326" t="s">
        <v>340</v>
      </c>
      <c r="C326" t="s">
        <v>5</v>
      </c>
      <c r="D326" t="s">
        <v>34</v>
      </c>
    </row>
    <row r="327" spans="1:4" x14ac:dyDescent="0.25">
      <c r="A327" s="1">
        <v>45001</v>
      </c>
      <c r="B327" t="s">
        <v>341</v>
      </c>
      <c r="C327" t="s">
        <v>17</v>
      </c>
      <c r="D327" t="s">
        <v>212</v>
      </c>
    </row>
    <row r="328" spans="1:4" x14ac:dyDescent="0.25">
      <c r="A328" s="1">
        <v>45001</v>
      </c>
      <c r="B328" t="s">
        <v>342</v>
      </c>
      <c r="C328" t="s">
        <v>8</v>
      </c>
      <c r="D328" t="s">
        <v>9</v>
      </c>
    </row>
    <row r="329" spans="1:4" x14ac:dyDescent="0.25">
      <c r="A329" s="1">
        <v>45001</v>
      </c>
      <c r="B329" t="s">
        <v>343</v>
      </c>
      <c r="C329" t="s">
        <v>5</v>
      </c>
      <c r="D329" t="s">
        <v>9</v>
      </c>
    </row>
    <row r="330" spans="1:4" x14ac:dyDescent="0.25">
      <c r="A330" s="1">
        <v>45002</v>
      </c>
      <c r="B330" t="s">
        <v>344</v>
      </c>
      <c r="C330" t="s">
        <v>8</v>
      </c>
      <c r="D330" t="s">
        <v>23</v>
      </c>
    </row>
    <row r="331" spans="1:4" x14ac:dyDescent="0.25">
      <c r="A331" s="1">
        <v>45002</v>
      </c>
      <c r="B331" t="s">
        <v>345</v>
      </c>
      <c r="C331" t="s">
        <v>8</v>
      </c>
      <c r="D331" t="s">
        <v>18</v>
      </c>
    </row>
    <row r="332" spans="1:4" x14ac:dyDescent="0.25">
      <c r="A332" s="1">
        <v>45002</v>
      </c>
      <c r="B332" t="s">
        <v>346</v>
      </c>
      <c r="C332" t="s">
        <v>8</v>
      </c>
      <c r="D332" t="s">
        <v>23</v>
      </c>
    </row>
    <row r="333" spans="1:4" x14ac:dyDescent="0.25">
      <c r="A333" s="1">
        <v>45002</v>
      </c>
      <c r="B333" t="s">
        <v>347</v>
      </c>
      <c r="C333" t="s">
        <v>37</v>
      </c>
      <c r="D333" t="s">
        <v>212</v>
      </c>
    </row>
    <row r="334" spans="1:4" x14ac:dyDescent="0.25">
      <c r="A334" s="1">
        <v>45002</v>
      </c>
      <c r="B334" t="s">
        <v>348</v>
      </c>
      <c r="C334" t="s">
        <v>37</v>
      </c>
      <c r="D334" t="s">
        <v>20</v>
      </c>
    </row>
    <row r="335" spans="1:4" x14ac:dyDescent="0.25">
      <c r="A335" s="1">
        <v>45003</v>
      </c>
      <c r="B335" t="s">
        <v>349</v>
      </c>
      <c r="C335" t="s">
        <v>8</v>
      </c>
      <c r="D335" t="s">
        <v>34</v>
      </c>
    </row>
    <row r="336" spans="1:4" x14ac:dyDescent="0.25">
      <c r="A336" s="1">
        <v>45003</v>
      </c>
      <c r="B336" t="s">
        <v>350</v>
      </c>
      <c r="C336" t="s">
        <v>17</v>
      </c>
      <c r="D336" t="s">
        <v>31</v>
      </c>
    </row>
    <row r="337" spans="1:4" x14ac:dyDescent="0.25">
      <c r="A337" s="1">
        <v>45003</v>
      </c>
      <c r="B337" t="s">
        <v>351</v>
      </c>
      <c r="C337" t="s">
        <v>37</v>
      </c>
      <c r="D337" t="s">
        <v>94</v>
      </c>
    </row>
    <row r="338" spans="1:4" x14ac:dyDescent="0.25">
      <c r="A338" s="1">
        <v>45003</v>
      </c>
      <c r="B338" t="s">
        <v>352</v>
      </c>
      <c r="C338" t="s">
        <v>17</v>
      </c>
      <c r="D338" t="s">
        <v>23</v>
      </c>
    </row>
    <row r="339" spans="1:4" x14ac:dyDescent="0.25">
      <c r="A339" s="1">
        <v>45004</v>
      </c>
      <c r="B339" t="s">
        <v>353</v>
      </c>
      <c r="C339" t="s">
        <v>8</v>
      </c>
      <c r="D339" t="s">
        <v>11</v>
      </c>
    </row>
    <row r="340" spans="1:4" x14ac:dyDescent="0.25">
      <c r="A340" s="1">
        <v>45004</v>
      </c>
      <c r="B340" t="s">
        <v>354</v>
      </c>
      <c r="C340" t="s">
        <v>22</v>
      </c>
      <c r="D340" t="s">
        <v>113</v>
      </c>
    </row>
    <row r="341" spans="1:4" x14ac:dyDescent="0.25">
      <c r="A341" s="1">
        <v>45004</v>
      </c>
      <c r="B341" t="s">
        <v>355</v>
      </c>
      <c r="C341" t="s">
        <v>8</v>
      </c>
      <c r="D341" t="s">
        <v>356</v>
      </c>
    </row>
    <row r="342" spans="1:4" x14ac:dyDescent="0.25">
      <c r="A342" s="1">
        <v>45004</v>
      </c>
      <c r="B342" t="s">
        <v>357</v>
      </c>
      <c r="C342" t="s">
        <v>17</v>
      </c>
      <c r="D342" t="s">
        <v>356</v>
      </c>
    </row>
    <row r="343" spans="1:4" x14ac:dyDescent="0.25">
      <c r="A343" s="1">
        <v>45005</v>
      </c>
      <c r="B343" t="s">
        <v>358</v>
      </c>
      <c r="C343" t="s">
        <v>8</v>
      </c>
      <c r="D343" t="s">
        <v>11</v>
      </c>
    </row>
    <row r="344" spans="1:4" x14ac:dyDescent="0.25">
      <c r="A344" s="1">
        <v>45005</v>
      </c>
      <c r="B344" t="s">
        <v>359</v>
      </c>
      <c r="C344" t="s">
        <v>15</v>
      </c>
      <c r="D344" t="s">
        <v>11</v>
      </c>
    </row>
    <row r="345" spans="1:4" x14ac:dyDescent="0.25">
      <c r="A345" s="1">
        <v>45005</v>
      </c>
      <c r="B345" t="s">
        <v>360</v>
      </c>
      <c r="C345" t="s">
        <v>37</v>
      </c>
      <c r="D345" t="s">
        <v>356</v>
      </c>
    </row>
    <row r="346" spans="1:4" x14ac:dyDescent="0.25">
      <c r="A346" s="1">
        <v>45005</v>
      </c>
      <c r="B346" t="s">
        <v>361</v>
      </c>
      <c r="C346" t="s">
        <v>17</v>
      </c>
      <c r="D346" t="s">
        <v>11</v>
      </c>
    </row>
    <row r="347" spans="1:4" x14ac:dyDescent="0.25">
      <c r="A347" s="1">
        <v>45005</v>
      </c>
      <c r="B347" t="s">
        <v>362</v>
      </c>
      <c r="C347" t="s">
        <v>8</v>
      </c>
      <c r="D347" t="s">
        <v>356</v>
      </c>
    </row>
    <row r="348" spans="1:4" x14ac:dyDescent="0.25">
      <c r="A348" s="1">
        <v>45005</v>
      </c>
      <c r="B348" t="s">
        <v>363</v>
      </c>
      <c r="C348" t="s">
        <v>5</v>
      </c>
      <c r="D348" t="s">
        <v>29</v>
      </c>
    </row>
    <row r="349" spans="1:4" x14ac:dyDescent="0.25">
      <c r="A349" s="1">
        <v>45005</v>
      </c>
      <c r="B349" t="s">
        <v>364</v>
      </c>
      <c r="C349" t="s">
        <v>5</v>
      </c>
      <c r="D349" t="s">
        <v>47</v>
      </c>
    </row>
    <row r="350" spans="1:4" x14ac:dyDescent="0.25">
      <c r="A350" s="1">
        <v>45005</v>
      </c>
      <c r="B350" t="s">
        <v>364</v>
      </c>
      <c r="C350" t="s">
        <v>22</v>
      </c>
      <c r="D350" t="s">
        <v>47</v>
      </c>
    </row>
    <row r="351" spans="1:4" x14ac:dyDescent="0.25">
      <c r="A351" s="1">
        <v>45005</v>
      </c>
      <c r="B351" t="s">
        <v>365</v>
      </c>
      <c r="C351" t="s">
        <v>5</v>
      </c>
      <c r="D351" t="s">
        <v>356</v>
      </c>
    </row>
    <row r="352" spans="1:4" x14ac:dyDescent="0.25">
      <c r="A352" s="1">
        <v>45006</v>
      </c>
      <c r="B352" t="s">
        <v>366</v>
      </c>
      <c r="C352" t="s">
        <v>17</v>
      </c>
      <c r="D352" t="s">
        <v>23</v>
      </c>
    </row>
    <row r="353" spans="1:4" x14ac:dyDescent="0.25">
      <c r="A353" s="1">
        <v>45006</v>
      </c>
      <c r="B353" t="s">
        <v>367</v>
      </c>
      <c r="C353" t="s">
        <v>15</v>
      </c>
      <c r="D353" t="s">
        <v>356</v>
      </c>
    </row>
    <row r="354" spans="1:4" x14ac:dyDescent="0.25">
      <c r="A354" s="1">
        <v>45007</v>
      </c>
      <c r="B354" t="s">
        <v>368</v>
      </c>
      <c r="C354" t="s">
        <v>22</v>
      </c>
      <c r="D354" t="s">
        <v>47</v>
      </c>
    </row>
    <row r="355" spans="1:4" x14ac:dyDescent="0.25">
      <c r="A355" s="1">
        <v>45007</v>
      </c>
      <c r="B355" t="s">
        <v>369</v>
      </c>
      <c r="C355" t="s">
        <v>22</v>
      </c>
      <c r="D355" t="s">
        <v>47</v>
      </c>
    </row>
    <row r="356" spans="1:4" x14ac:dyDescent="0.25">
      <c r="A356" s="1">
        <v>45007</v>
      </c>
      <c r="B356" t="s">
        <v>370</v>
      </c>
      <c r="C356" t="s">
        <v>15</v>
      </c>
      <c r="D356" t="s">
        <v>11</v>
      </c>
    </row>
    <row r="357" spans="1:4" x14ac:dyDescent="0.25">
      <c r="A357" s="1">
        <v>45007</v>
      </c>
      <c r="B357" t="s">
        <v>371</v>
      </c>
      <c r="C357" t="s">
        <v>5</v>
      </c>
      <c r="D357" t="s">
        <v>212</v>
      </c>
    </row>
    <row r="358" spans="1:4" x14ac:dyDescent="0.25">
      <c r="A358" s="1">
        <v>45007</v>
      </c>
      <c r="B358" t="s">
        <v>372</v>
      </c>
      <c r="C358" t="s">
        <v>17</v>
      </c>
      <c r="D358" t="s">
        <v>356</v>
      </c>
    </row>
    <row r="359" spans="1:4" x14ac:dyDescent="0.25">
      <c r="A359" s="1">
        <v>45008</v>
      </c>
      <c r="B359" t="s">
        <v>373</v>
      </c>
      <c r="C359" t="s">
        <v>8</v>
      </c>
      <c r="D359" t="s">
        <v>94</v>
      </c>
    </row>
    <row r="360" spans="1:4" x14ac:dyDescent="0.25">
      <c r="A360" s="1">
        <v>45008</v>
      </c>
      <c r="B360" t="s">
        <v>373</v>
      </c>
      <c r="C360" t="s">
        <v>15</v>
      </c>
      <c r="D360" t="s">
        <v>94</v>
      </c>
    </row>
    <row r="361" spans="1:4" x14ac:dyDescent="0.25">
      <c r="A361" s="1">
        <v>45008</v>
      </c>
      <c r="B361" t="s">
        <v>374</v>
      </c>
      <c r="C361" t="s">
        <v>5</v>
      </c>
      <c r="D361" t="s">
        <v>29</v>
      </c>
    </row>
    <row r="362" spans="1:4" x14ac:dyDescent="0.25">
      <c r="A362" s="1">
        <v>45008</v>
      </c>
      <c r="B362" t="s">
        <v>375</v>
      </c>
      <c r="C362" t="s">
        <v>15</v>
      </c>
      <c r="D362" t="s">
        <v>11</v>
      </c>
    </row>
    <row r="363" spans="1:4" x14ac:dyDescent="0.25">
      <c r="A363" s="1">
        <v>45008</v>
      </c>
      <c r="B363" t="s">
        <v>376</v>
      </c>
      <c r="C363" t="s">
        <v>8</v>
      </c>
      <c r="D363" t="s">
        <v>356</v>
      </c>
    </row>
    <row r="364" spans="1:4" x14ac:dyDescent="0.25">
      <c r="A364" s="1">
        <v>45008</v>
      </c>
      <c r="B364" t="s">
        <v>377</v>
      </c>
      <c r="C364" t="s">
        <v>17</v>
      </c>
      <c r="D364" t="s">
        <v>11</v>
      </c>
    </row>
    <row r="365" spans="1:4" x14ac:dyDescent="0.25">
      <c r="A365" s="1">
        <v>45009</v>
      </c>
      <c r="B365" t="s">
        <v>378</v>
      </c>
      <c r="C365" t="s">
        <v>5</v>
      </c>
      <c r="D365" t="s">
        <v>23</v>
      </c>
    </row>
    <row r="366" spans="1:4" x14ac:dyDescent="0.25">
      <c r="A366" s="1">
        <v>45009</v>
      </c>
      <c r="B366" t="s">
        <v>379</v>
      </c>
      <c r="C366" t="s">
        <v>8</v>
      </c>
      <c r="D366" t="s">
        <v>11</v>
      </c>
    </row>
    <row r="367" spans="1:4" x14ac:dyDescent="0.25">
      <c r="A367" s="1">
        <v>45009</v>
      </c>
      <c r="B367" t="s">
        <v>380</v>
      </c>
      <c r="C367" t="s">
        <v>8</v>
      </c>
      <c r="D367" t="s">
        <v>356</v>
      </c>
    </row>
    <row r="368" spans="1:4" x14ac:dyDescent="0.25">
      <c r="A368" s="1">
        <v>45009</v>
      </c>
      <c r="B368" t="s">
        <v>381</v>
      </c>
      <c r="C368" t="s">
        <v>5</v>
      </c>
      <c r="D368" t="s">
        <v>6</v>
      </c>
    </row>
    <row r="369" spans="1:4" x14ac:dyDescent="0.25">
      <c r="A369" s="1">
        <v>45009</v>
      </c>
      <c r="B369" t="s">
        <v>382</v>
      </c>
      <c r="C369" t="s">
        <v>22</v>
      </c>
      <c r="D369" t="s">
        <v>23</v>
      </c>
    </row>
    <row r="370" spans="1:4" x14ac:dyDescent="0.25">
      <c r="A370" s="1">
        <v>45009</v>
      </c>
      <c r="B370" t="s">
        <v>383</v>
      </c>
      <c r="C370" t="s">
        <v>17</v>
      </c>
      <c r="D370" t="s">
        <v>356</v>
      </c>
    </row>
    <row r="371" spans="1:4" x14ac:dyDescent="0.25">
      <c r="A371" s="1">
        <v>45009</v>
      </c>
      <c r="B371" t="s">
        <v>384</v>
      </c>
      <c r="C371" t="s">
        <v>8</v>
      </c>
      <c r="D371" t="s">
        <v>356</v>
      </c>
    </row>
    <row r="372" spans="1:4" x14ac:dyDescent="0.25">
      <c r="A372" s="1">
        <v>45009</v>
      </c>
      <c r="B372" t="s">
        <v>385</v>
      </c>
      <c r="C372" t="s">
        <v>8</v>
      </c>
      <c r="D372" t="s">
        <v>212</v>
      </c>
    </row>
    <row r="373" spans="1:4" x14ac:dyDescent="0.25">
      <c r="A373" s="1">
        <v>45009</v>
      </c>
      <c r="B373" t="s">
        <v>386</v>
      </c>
      <c r="C373" t="s">
        <v>15</v>
      </c>
      <c r="D373" t="s">
        <v>212</v>
      </c>
    </row>
    <row r="374" spans="1:4" x14ac:dyDescent="0.25">
      <c r="A374" s="1">
        <v>45010</v>
      </c>
      <c r="B374" t="s">
        <v>387</v>
      </c>
      <c r="C374" t="s">
        <v>8</v>
      </c>
      <c r="D374" t="s">
        <v>356</v>
      </c>
    </row>
    <row r="375" spans="1:4" x14ac:dyDescent="0.25">
      <c r="A375" s="1">
        <v>45010</v>
      </c>
      <c r="B375" t="s">
        <v>388</v>
      </c>
      <c r="C375" t="s">
        <v>15</v>
      </c>
      <c r="D375" t="s">
        <v>356</v>
      </c>
    </row>
    <row r="376" spans="1:4" x14ac:dyDescent="0.25">
      <c r="A376" s="1">
        <v>45010</v>
      </c>
      <c r="B376" t="s">
        <v>389</v>
      </c>
      <c r="C376" t="s">
        <v>5</v>
      </c>
      <c r="D376" t="s">
        <v>212</v>
      </c>
    </row>
    <row r="377" spans="1:4" x14ac:dyDescent="0.25">
      <c r="A377" s="1">
        <v>45010</v>
      </c>
      <c r="B377" t="s">
        <v>390</v>
      </c>
      <c r="C377" t="s">
        <v>17</v>
      </c>
      <c r="D377" t="s">
        <v>356</v>
      </c>
    </row>
    <row r="378" spans="1:4" x14ac:dyDescent="0.25">
      <c r="A378" s="1">
        <v>45010</v>
      </c>
      <c r="B378" t="s">
        <v>391</v>
      </c>
      <c r="C378" t="s">
        <v>8</v>
      </c>
      <c r="D378" t="s">
        <v>356</v>
      </c>
    </row>
    <row r="379" spans="1:4" x14ac:dyDescent="0.25">
      <c r="A379" s="1">
        <v>45010</v>
      </c>
      <c r="B379" t="s">
        <v>392</v>
      </c>
      <c r="C379" t="s">
        <v>17</v>
      </c>
      <c r="D379" t="s">
        <v>6</v>
      </c>
    </row>
    <row r="380" spans="1:4" x14ac:dyDescent="0.25">
      <c r="A380" s="1">
        <v>45010</v>
      </c>
      <c r="B380" t="s">
        <v>393</v>
      </c>
      <c r="C380" t="s">
        <v>15</v>
      </c>
      <c r="D380" t="s">
        <v>23</v>
      </c>
    </row>
    <row r="381" spans="1:4" x14ac:dyDescent="0.25">
      <c r="A381" s="1">
        <v>45010</v>
      </c>
      <c r="B381" t="s">
        <v>394</v>
      </c>
      <c r="C381" t="s">
        <v>5</v>
      </c>
      <c r="D381" t="s">
        <v>29</v>
      </c>
    </row>
    <row r="382" spans="1:4" x14ac:dyDescent="0.25">
      <c r="A382" s="1">
        <v>45011</v>
      </c>
      <c r="B382" t="s">
        <v>395</v>
      </c>
      <c r="C382" t="s">
        <v>5</v>
      </c>
      <c r="D382" t="s">
        <v>6</v>
      </c>
    </row>
    <row r="383" spans="1:4" x14ac:dyDescent="0.25">
      <c r="A383" s="1">
        <v>45011</v>
      </c>
      <c r="B383" t="s">
        <v>396</v>
      </c>
      <c r="C383" t="s">
        <v>5</v>
      </c>
      <c r="D383" t="s">
        <v>78</v>
      </c>
    </row>
    <row r="384" spans="1:4" x14ac:dyDescent="0.25">
      <c r="A384" s="1">
        <v>45011</v>
      </c>
      <c r="B384" t="s">
        <v>397</v>
      </c>
      <c r="C384" t="s">
        <v>37</v>
      </c>
      <c r="D384" t="s">
        <v>356</v>
      </c>
    </row>
    <row r="385" spans="1:4" x14ac:dyDescent="0.25">
      <c r="A385" s="1">
        <v>45012</v>
      </c>
      <c r="B385" t="s">
        <v>398</v>
      </c>
      <c r="C385" t="s">
        <v>22</v>
      </c>
      <c r="D385" t="s">
        <v>356</v>
      </c>
    </row>
    <row r="386" spans="1:4" x14ac:dyDescent="0.25">
      <c r="A386" s="1">
        <v>45012</v>
      </c>
      <c r="B386" t="s">
        <v>399</v>
      </c>
      <c r="C386" t="s">
        <v>17</v>
      </c>
      <c r="D386" t="s">
        <v>13</v>
      </c>
    </row>
    <row r="387" spans="1:4" x14ac:dyDescent="0.25">
      <c r="A387" s="1">
        <v>45012</v>
      </c>
      <c r="B387" t="s">
        <v>400</v>
      </c>
      <c r="C387" t="s">
        <v>5</v>
      </c>
      <c r="D387" t="s">
        <v>31</v>
      </c>
    </row>
    <row r="388" spans="1:4" x14ac:dyDescent="0.25">
      <c r="A388" s="1">
        <v>45012</v>
      </c>
      <c r="B388" t="s">
        <v>401</v>
      </c>
      <c r="C388" t="s">
        <v>17</v>
      </c>
      <c r="D388" t="s">
        <v>356</v>
      </c>
    </row>
    <row r="389" spans="1:4" x14ac:dyDescent="0.25">
      <c r="A389" s="1">
        <v>45012</v>
      </c>
      <c r="B389" t="s">
        <v>402</v>
      </c>
      <c r="C389" t="s">
        <v>22</v>
      </c>
      <c r="D389" t="s">
        <v>13</v>
      </c>
    </row>
    <row r="390" spans="1:4" x14ac:dyDescent="0.25">
      <c r="A390" s="1">
        <v>45012</v>
      </c>
      <c r="B390" t="s">
        <v>403</v>
      </c>
      <c r="C390" t="s">
        <v>17</v>
      </c>
      <c r="D390" t="s">
        <v>6</v>
      </c>
    </row>
    <row r="391" spans="1:4" x14ac:dyDescent="0.25">
      <c r="A391" s="1">
        <v>45013</v>
      </c>
      <c r="B391" t="s">
        <v>404</v>
      </c>
      <c r="C391" t="s">
        <v>8</v>
      </c>
      <c r="D391" t="s">
        <v>31</v>
      </c>
    </row>
    <row r="392" spans="1:4" x14ac:dyDescent="0.25">
      <c r="A392" s="1">
        <v>45013</v>
      </c>
      <c r="B392" t="s">
        <v>404</v>
      </c>
      <c r="C392" t="s">
        <v>5</v>
      </c>
      <c r="D392" t="s">
        <v>31</v>
      </c>
    </row>
    <row r="393" spans="1:4" x14ac:dyDescent="0.25">
      <c r="A393" s="1">
        <v>45013</v>
      </c>
      <c r="B393" t="s">
        <v>405</v>
      </c>
      <c r="C393" t="s">
        <v>15</v>
      </c>
      <c r="D393" t="s">
        <v>94</v>
      </c>
    </row>
    <row r="394" spans="1:4" x14ac:dyDescent="0.25">
      <c r="A394" s="1">
        <v>45015</v>
      </c>
      <c r="B394" t="s">
        <v>406</v>
      </c>
      <c r="C394" t="s">
        <v>22</v>
      </c>
      <c r="D394" t="s">
        <v>356</v>
      </c>
    </row>
    <row r="395" spans="1:4" x14ac:dyDescent="0.25">
      <c r="A395" s="1">
        <v>45015</v>
      </c>
      <c r="B395" t="s">
        <v>407</v>
      </c>
      <c r="C395" t="s">
        <v>8</v>
      </c>
      <c r="D395" t="s">
        <v>356</v>
      </c>
    </row>
    <row r="396" spans="1:4" x14ac:dyDescent="0.25">
      <c r="A396" s="1">
        <v>45015</v>
      </c>
      <c r="B396" t="s">
        <v>408</v>
      </c>
      <c r="C396" t="s">
        <v>8</v>
      </c>
      <c r="D396" t="s">
        <v>94</v>
      </c>
    </row>
    <row r="397" spans="1:4" x14ac:dyDescent="0.25">
      <c r="A397" s="1">
        <v>45015</v>
      </c>
      <c r="B397" t="s">
        <v>409</v>
      </c>
      <c r="C397" t="s">
        <v>17</v>
      </c>
      <c r="D397" t="s">
        <v>94</v>
      </c>
    </row>
    <row r="398" spans="1:4" x14ac:dyDescent="0.25">
      <c r="A398" s="1">
        <v>45015</v>
      </c>
      <c r="B398" t="s">
        <v>410</v>
      </c>
      <c r="C398" t="s">
        <v>8</v>
      </c>
      <c r="D398" t="s">
        <v>6</v>
      </c>
    </row>
    <row r="399" spans="1:4" x14ac:dyDescent="0.25">
      <c r="A399" s="1">
        <v>45015</v>
      </c>
      <c r="B399" t="s">
        <v>411</v>
      </c>
      <c r="C399" t="s">
        <v>8</v>
      </c>
      <c r="D399" t="s">
        <v>6</v>
      </c>
    </row>
    <row r="400" spans="1:4" x14ac:dyDescent="0.25">
      <c r="A400" s="1">
        <v>45015</v>
      </c>
      <c r="B400" t="s">
        <v>412</v>
      </c>
      <c r="C400" t="s">
        <v>8</v>
      </c>
      <c r="D400" t="s">
        <v>356</v>
      </c>
    </row>
    <row r="401" spans="1:4" x14ac:dyDescent="0.25">
      <c r="A401" s="1">
        <v>45015</v>
      </c>
      <c r="B401" t="s">
        <v>413</v>
      </c>
      <c r="C401" t="s">
        <v>8</v>
      </c>
      <c r="D40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401"/>
  <sheetViews>
    <sheetView workbookViewId="0">
      <selection activeCell="F386" sqref="F386"/>
    </sheetView>
  </sheetViews>
  <sheetFormatPr defaultRowHeight="15" x14ac:dyDescent="0.25"/>
  <cols>
    <col min="1" max="1" width="29.28515625" customWidth="1"/>
    <col min="2" max="2" width="32.85546875" customWidth="1"/>
    <col min="3" max="3" width="23.42578125" customWidth="1"/>
    <col min="4" max="4" width="34" customWidth="1"/>
    <col min="5" max="5" width="18.42578125" style="1" customWidth="1"/>
    <col min="6" max="6" width="27.28515625" customWidth="1"/>
  </cols>
  <sheetData>
    <row r="1" spans="1:6" x14ac:dyDescent="0.25">
      <c r="A1" s="2" t="s">
        <v>414</v>
      </c>
      <c r="B1" t="s">
        <v>1</v>
      </c>
      <c r="C1" t="s">
        <v>2</v>
      </c>
      <c r="D1" t="s">
        <v>415</v>
      </c>
      <c r="E1" s="1" t="s">
        <v>416</v>
      </c>
      <c r="F1" t="s">
        <v>417</v>
      </c>
    </row>
    <row r="2" spans="1:6" x14ac:dyDescent="0.25">
      <c r="A2" s="2" t="s">
        <v>418</v>
      </c>
      <c r="B2" t="s">
        <v>229</v>
      </c>
      <c r="C2" t="s">
        <v>22</v>
      </c>
      <c r="D2">
        <v>0</v>
      </c>
      <c r="E2" s="1">
        <f t="array" ref="E2">INDEX(Исходные_данные_2__2[Дата продажи],MATCH('Исходные данные 2'!B2&amp;'Исходные данные 2'!C2,Исходные_данные_2__2[ФИО покупателя]&amp;Исходные_данные_2__2[Наименование товара],0))</f>
        <v>44976</v>
      </c>
      <c r="F2" t="str">
        <f t="array" ref="F2">INDEX(Исходные_данные_2__2[[Город отправки ]],MATCH('Исходные данные 2'!B2&amp;'Исходные данные 2'!C2,Исходные_данные_2__2[ФИО покупателя]&amp;Исходные_данные_2__2[Наименование товара],0))</f>
        <v>Москва</v>
      </c>
    </row>
    <row r="3" spans="1:6" x14ac:dyDescent="0.25">
      <c r="A3" s="2" t="s">
        <v>418</v>
      </c>
      <c r="B3" t="s">
        <v>152</v>
      </c>
      <c r="C3" t="s">
        <v>5</v>
      </c>
      <c r="D3">
        <v>0</v>
      </c>
      <c r="E3" s="1">
        <f t="array" ref="E3">INDEX(Исходные_данные_2__2[Дата продажи],MATCH('Исходные данные 2'!B3&amp;'Исходные данные 2'!C3,Исходные_данные_2__2[ФИО покупателя]&amp;Исходные_данные_2__2[Наименование товара],0))</f>
        <v>44958</v>
      </c>
      <c r="F3" t="str">
        <f t="array" ref="F3">INDEX(Исходные_данные_2__2[[Город отправки ]],MATCH('Исходные данные 2'!B3&amp;'Исходные данные 2'!C3,Исходные_данные_2__2[ФИО покупателя]&amp;Исходные_данные_2__2[Наименование товара],0))</f>
        <v>Воронеж</v>
      </c>
    </row>
    <row r="4" spans="1:6" x14ac:dyDescent="0.25">
      <c r="A4" s="2" t="s">
        <v>418</v>
      </c>
      <c r="B4" t="s">
        <v>71</v>
      </c>
      <c r="C4" t="s">
        <v>17</v>
      </c>
      <c r="D4">
        <v>0</v>
      </c>
      <c r="E4" s="1">
        <f t="array" ref="E4">INDEX(Исходные_данные_2__2[Дата продажи],MATCH('Исходные данные 2'!B4&amp;'Исходные данные 2'!C4,Исходные_данные_2__2[ФИО покупателя]&amp;Исходные_данные_2__2[Наименование товара],0))</f>
        <v>44940</v>
      </c>
      <c r="F4" t="str">
        <f t="array" ref="F4">INDEX(Исходные_данные_2__2[[Город отправки ]],MATCH('Исходные данные 2'!B4&amp;'Исходные данные 2'!C4,Исходные_данные_2__2[ФИО покупателя]&amp;Исходные_данные_2__2[Наименование товара],0))</f>
        <v>Кострома</v>
      </c>
    </row>
    <row r="5" spans="1:6" x14ac:dyDescent="0.25">
      <c r="A5" s="2" t="s">
        <v>418</v>
      </c>
      <c r="B5" t="s">
        <v>125</v>
      </c>
      <c r="C5" t="s">
        <v>5</v>
      </c>
      <c r="D5">
        <v>0</v>
      </c>
      <c r="E5" s="1">
        <f t="array" ref="E5">INDEX(Исходные_данные_2__2[Дата продажи],MATCH('Исходные данные 2'!B5&amp;'Исходные данные 2'!C5,Исходные_данные_2__2[ФИО покупателя]&amp;Исходные_данные_2__2[Наименование товара],0))</f>
        <v>44953</v>
      </c>
      <c r="F5" t="str">
        <f t="array" ref="F5">INDEX(Исходные_данные_2__2[[Город отправки ]],MATCH('Исходные данные 2'!B5&amp;'Исходные данные 2'!C5,Исходные_данные_2__2[ФИО покупателя]&amp;Исходные_данные_2__2[Наименование товара],0))</f>
        <v>Москва</v>
      </c>
    </row>
    <row r="6" spans="1:6" x14ac:dyDescent="0.25">
      <c r="A6" s="2" t="s">
        <v>418</v>
      </c>
      <c r="B6" t="s">
        <v>238</v>
      </c>
      <c r="C6" t="s">
        <v>8</v>
      </c>
      <c r="D6">
        <v>0</v>
      </c>
      <c r="E6" s="1">
        <f t="array" ref="E6">INDEX(Исходные_данные_2__2[Дата продажи],MATCH('Исходные данные 2'!B6&amp;'Исходные данные 2'!C6,Исходные_данные_2__2[ФИО покупателя]&amp;Исходные_данные_2__2[Наименование товара],0))</f>
        <v>44978</v>
      </c>
      <c r="F6" t="str">
        <f t="array" ref="F6">INDEX(Исходные_данные_2__2[[Город отправки ]],MATCH('Исходные данные 2'!B6&amp;'Исходные данные 2'!C6,Исходные_данные_2__2[ФИО покупателя]&amp;Исходные_данные_2__2[Наименование товара],0))</f>
        <v>Владимир</v>
      </c>
    </row>
    <row r="7" spans="1:6" x14ac:dyDescent="0.25">
      <c r="A7" s="2" t="s">
        <v>418</v>
      </c>
      <c r="B7" t="s">
        <v>272</v>
      </c>
      <c r="C7" t="s">
        <v>5</v>
      </c>
      <c r="D7">
        <v>0</v>
      </c>
      <c r="E7" s="1">
        <f t="array" ref="E7">INDEX(Исходные_данные_2__2[Дата продажи],MATCH('Исходные данные 2'!B7&amp;'Исходные данные 2'!C7,Исходные_данные_2__2[ФИО покупателя]&amp;Исходные_данные_2__2[Наименование товара],0))</f>
        <v>44987</v>
      </c>
      <c r="F7" t="str">
        <f t="array" ref="F7">INDEX(Исходные_данные_2__2[[Город отправки ]],MATCH('Исходные данные 2'!B7&amp;'Исходные данные 2'!C7,Исходные_данные_2__2[ФИО покупателя]&amp;Исходные_данные_2__2[Наименование товара],0))</f>
        <v>Москва</v>
      </c>
    </row>
    <row r="8" spans="1:6" x14ac:dyDescent="0.25">
      <c r="A8" s="2" t="s">
        <v>418</v>
      </c>
      <c r="B8" t="s">
        <v>337</v>
      </c>
      <c r="C8" t="s">
        <v>5</v>
      </c>
      <c r="D8">
        <v>0</v>
      </c>
      <c r="E8" s="1">
        <f t="array" ref="E8">INDEX(Исходные_данные_2__2[Дата продажи],MATCH('Исходные данные 2'!B8&amp;'Исходные данные 2'!C8,Исходные_данные_2__2[ФИО покупателя]&amp;Исходные_данные_2__2[Наименование товара],0))</f>
        <v>45001</v>
      </c>
      <c r="F8" t="str">
        <f t="array" ref="F8">INDEX(Исходные_данные_2__2[[Город отправки ]],MATCH('Исходные данные 2'!B8&amp;'Исходные данные 2'!C8,Исходные_данные_2__2[ФИО покупателя]&amp;Исходные_данные_2__2[Наименование товара],0))</f>
        <v>Ярославль</v>
      </c>
    </row>
    <row r="9" spans="1:6" x14ac:dyDescent="0.25">
      <c r="A9" s="2" t="s">
        <v>418</v>
      </c>
      <c r="B9" t="s">
        <v>41</v>
      </c>
      <c r="C9" t="s">
        <v>15</v>
      </c>
      <c r="D9">
        <v>0</v>
      </c>
      <c r="E9" s="1">
        <f t="array" ref="E9">INDEX(Исходные_данные_2__2[Дата продажи],MATCH('Исходные данные 2'!B9&amp;'Исходные данные 2'!C9,Исходные_данные_2__2[ФИО покупателя]&amp;Исходные_данные_2__2[Наименование товара],0))</f>
        <v>44934</v>
      </c>
      <c r="F9" t="str">
        <f t="array" ref="F9">INDEX(Исходные_данные_2__2[[Город отправки ]],MATCH('Исходные данные 2'!B9&amp;'Исходные данные 2'!C9,Исходные_данные_2__2[ФИО покупателя]&amp;Исходные_данные_2__2[Наименование товара],0))</f>
        <v>Тула</v>
      </c>
    </row>
    <row r="10" spans="1:6" x14ac:dyDescent="0.25">
      <c r="A10" s="2" t="s">
        <v>418</v>
      </c>
      <c r="B10" t="s">
        <v>358</v>
      </c>
      <c r="C10" t="s">
        <v>8</v>
      </c>
      <c r="D10">
        <v>0</v>
      </c>
      <c r="E10" s="1">
        <f t="array" ref="E10">INDEX(Исходные_данные_2__2[Дата продажи],MATCH('Исходные данные 2'!B10&amp;'Исходные данные 2'!C10,Исходные_данные_2__2[ФИО покупателя]&amp;Исходные_данные_2__2[Наименование товара],0))</f>
        <v>45005</v>
      </c>
      <c r="F10" t="str">
        <f t="array" ref="F10">INDEX(Исходные_данные_2__2[[Город отправки ]],MATCH('Исходные данные 2'!B10&amp;'Исходные данные 2'!C10,Исходные_данные_2__2[ФИО покупателя]&amp;Исходные_данные_2__2[Наименование товара],0))</f>
        <v>Москва</v>
      </c>
    </row>
    <row r="11" spans="1:6" x14ac:dyDescent="0.25">
      <c r="A11" s="2" t="s">
        <v>418</v>
      </c>
      <c r="B11" t="s">
        <v>404</v>
      </c>
      <c r="C11" t="s">
        <v>8</v>
      </c>
      <c r="D11">
        <v>0.02</v>
      </c>
      <c r="E11" s="1">
        <f t="array" ref="E11">INDEX(Исходные_данные_2__2[Дата продажи],MATCH('Исходные данные 2'!B11&amp;'Исходные данные 2'!C11,Исходные_данные_2__2[ФИО покупателя]&amp;Исходные_данные_2__2[Наименование товара],0))</f>
        <v>45013</v>
      </c>
      <c r="F11" t="str">
        <f t="array" ref="F11">INDEX(Исходные_данные_2__2[[Город отправки ]],MATCH('Исходные данные 2'!B11&amp;'Исходные данные 2'!C11,Исходные_данные_2__2[ФИО покупателя]&amp;Исходные_данные_2__2[Наименование товара],0))</f>
        <v>Тула</v>
      </c>
    </row>
    <row r="12" spans="1:6" x14ac:dyDescent="0.25">
      <c r="A12" s="2" t="s">
        <v>418</v>
      </c>
      <c r="B12" t="s">
        <v>404</v>
      </c>
      <c r="C12" t="s">
        <v>5</v>
      </c>
      <c r="D12">
        <v>0</v>
      </c>
      <c r="E12" s="1">
        <f t="array" ref="E12">INDEX(Исходные_данные_2__2[Дата продажи],MATCH('Исходные данные 2'!B12&amp;'Исходные данные 2'!C12,Исходные_данные_2__2[ФИО покупателя]&amp;Исходные_данные_2__2[Наименование товара],0))</f>
        <v>45013</v>
      </c>
      <c r="F12" t="str">
        <f t="array" ref="F12">INDEX(Исходные_данные_2__2[[Город отправки ]],MATCH('Исходные данные 2'!B12&amp;'Исходные данные 2'!C12,Исходные_данные_2__2[ФИО покупателя]&amp;Исходные_данные_2__2[Наименование товара],0))</f>
        <v>Тула</v>
      </c>
    </row>
    <row r="13" spans="1:6" x14ac:dyDescent="0.25">
      <c r="A13" s="2" t="s">
        <v>418</v>
      </c>
      <c r="B13" t="s">
        <v>116</v>
      </c>
      <c r="C13" t="s">
        <v>8</v>
      </c>
      <c r="D13">
        <v>0</v>
      </c>
      <c r="E13" s="1">
        <f t="array" ref="E13">INDEX(Исходные_данные_2__2[Дата продажи],MATCH('Исходные данные 2'!B13&amp;'Исходные данные 2'!C13,Исходные_данные_2__2[ФИО покупателя]&amp;Исходные_данные_2__2[Наименование товара],0))</f>
        <v>44950</v>
      </c>
      <c r="F13" t="str">
        <f t="array" ref="F13">INDEX(Исходные_данные_2__2[[Город отправки ]],MATCH('Исходные данные 2'!B13&amp;'Исходные данные 2'!C13,Исходные_данные_2__2[ФИО покупателя]&amp;Исходные_данные_2__2[Наименование товара],0))</f>
        <v>Тула</v>
      </c>
    </row>
    <row r="14" spans="1:6" x14ac:dyDescent="0.25">
      <c r="A14" s="2" t="s">
        <v>418</v>
      </c>
      <c r="B14" t="s">
        <v>87</v>
      </c>
      <c r="C14" t="s">
        <v>17</v>
      </c>
      <c r="D14">
        <v>0.05</v>
      </c>
      <c r="E14" s="1">
        <f t="array" ref="E14">INDEX(Исходные_данные_2__2[Дата продажи],MATCH('Исходные данные 2'!B14&amp;'Исходные данные 2'!C14,Исходные_данные_2__2[ФИО покупателя]&amp;Исходные_данные_2__2[Наименование товара],0))</f>
        <v>44944</v>
      </c>
      <c r="F14" t="str">
        <f t="array" ref="F14">INDEX(Исходные_данные_2__2[[Город отправки ]],MATCH('Исходные данные 2'!B14&amp;'Исходные данные 2'!C14,Исходные_данные_2__2[ФИО покупателя]&amp;Исходные_данные_2__2[Наименование товара],0))</f>
        <v>Кострома</v>
      </c>
    </row>
    <row r="15" spans="1:6" x14ac:dyDescent="0.25">
      <c r="A15" s="2" t="s">
        <v>418</v>
      </c>
      <c r="B15" t="s">
        <v>87</v>
      </c>
      <c r="C15" t="s">
        <v>15</v>
      </c>
      <c r="D15">
        <v>0</v>
      </c>
      <c r="E15" s="1">
        <f t="array" ref="E15">INDEX(Исходные_данные_2__2[Дата продажи],MATCH('Исходные данные 2'!B15&amp;'Исходные данные 2'!C15,Исходные_данные_2__2[ФИО покупателя]&amp;Исходные_данные_2__2[Наименование товара],0))</f>
        <v>44944</v>
      </c>
      <c r="F15" t="str">
        <f t="array" ref="F15">INDEX(Исходные_данные_2__2[[Город отправки ]],MATCH('Исходные данные 2'!B15&amp;'Исходные данные 2'!C15,Исходные_данные_2__2[ФИО покупателя]&amp;Исходные_данные_2__2[Наименование товара],0))</f>
        <v>Кострома</v>
      </c>
    </row>
    <row r="16" spans="1:6" x14ac:dyDescent="0.25">
      <c r="A16" s="2" t="s">
        <v>418</v>
      </c>
      <c r="B16" t="s">
        <v>373</v>
      </c>
      <c r="C16" t="s">
        <v>8</v>
      </c>
      <c r="D16">
        <v>0.05</v>
      </c>
      <c r="E16" s="1">
        <f t="array" ref="E16">INDEX(Исходные_данные_2__2[Дата продажи],MATCH('Исходные данные 2'!B16&amp;'Исходные данные 2'!C16,Исходные_данные_2__2[ФИО покупателя]&amp;Исходные_данные_2__2[Наименование товара],0))</f>
        <v>45008</v>
      </c>
      <c r="F16" t="str">
        <f t="array" ref="F16">INDEX(Исходные_данные_2__2[[Город отправки ]],MATCH('Исходные данные 2'!B16&amp;'Исходные данные 2'!C16,Исходные_данные_2__2[ФИО покупателя]&amp;Исходные_данные_2__2[Наименование товара],0))</f>
        <v>Тверь</v>
      </c>
    </row>
    <row r="17" spans="1:6" x14ac:dyDescent="0.25">
      <c r="A17" s="2" t="s">
        <v>418</v>
      </c>
      <c r="B17" t="s">
        <v>373</v>
      </c>
      <c r="C17" t="s">
        <v>15</v>
      </c>
      <c r="D17">
        <v>0</v>
      </c>
      <c r="E17" s="1">
        <f t="array" ref="E17">INDEX(Исходные_данные_2__2[Дата продажи],MATCH('Исходные данные 2'!B17&amp;'Исходные данные 2'!C17,Исходные_данные_2__2[ФИО покупателя]&amp;Исходные_данные_2__2[Наименование товара],0))</f>
        <v>45008</v>
      </c>
      <c r="F17" t="str">
        <f t="array" ref="F17">INDEX(Исходные_данные_2__2[[Город отправки ]],MATCH('Исходные данные 2'!B17&amp;'Исходные данные 2'!C17,Исходные_данные_2__2[ФИО покупателя]&amp;Исходные_данные_2__2[Наименование товара],0))</f>
        <v>Тверь</v>
      </c>
    </row>
    <row r="18" spans="1:6" x14ac:dyDescent="0.25">
      <c r="A18" s="2" t="s">
        <v>418</v>
      </c>
      <c r="B18" t="s">
        <v>241</v>
      </c>
      <c r="C18" t="s">
        <v>15</v>
      </c>
      <c r="D18">
        <v>0</v>
      </c>
      <c r="E18" s="1">
        <f t="array" ref="E18">INDEX(Исходные_данные_2__2[Дата продажи],MATCH('Исходные данные 2'!B18&amp;'Исходные данные 2'!C18,Исходные_данные_2__2[ФИО покупателя]&amp;Исходные_данные_2__2[Наименование товара],0))</f>
        <v>44978</v>
      </c>
      <c r="F18" t="str">
        <f t="array" ref="F18">INDEX(Исходные_данные_2__2[[Город отправки ]],MATCH('Исходные данные 2'!B18&amp;'Исходные данные 2'!C18,Исходные_данные_2__2[ФИО покупателя]&amp;Исходные_данные_2__2[Наименование товара],0))</f>
        <v>Москва</v>
      </c>
    </row>
    <row r="19" spans="1:6" x14ac:dyDescent="0.25">
      <c r="A19" s="2" t="s">
        <v>418</v>
      </c>
      <c r="B19" t="s">
        <v>324</v>
      </c>
      <c r="C19" t="s">
        <v>8</v>
      </c>
      <c r="D19">
        <v>0</v>
      </c>
      <c r="E19" s="1">
        <f t="array" ref="E19">INDEX(Исходные_данные_2__2[Дата продажи],MATCH('Исходные данные 2'!B19&amp;'Исходные данные 2'!C19,Исходные_данные_2__2[ФИО покупателя]&amp;Исходные_данные_2__2[Наименование товара],0))</f>
        <v>44998</v>
      </c>
      <c r="F19" t="str">
        <f t="array" ref="F19">INDEX(Исходные_данные_2__2[[Город отправки ]],MATCH('Исходные данные 2'!B19&amp;'Исходные данные 2'!C19,Исходные_данные_2__2[ФИО покупателя]&amp;Исходные_данные_2__2[Наименование товара],0))</f>
        <v>Ярославль</v>
      </c>
    </row>
    <row r="20" spans="1:6" x14ac:dyDescent="0.25">
      <c r="A20" s="2" t="s">
        <v>418</v>
      </c>
      <c r="B20" t="s">
        <v>353</v>
      </c>
      <c r="C20" t="s">
        <v>8</v>
      </c>
      <c r="D20">
        <v>0</v>
      </c>
      <c r="E20" s="1">
        <f t="array" ref="E20">INDEX(Исходные_данные_2__2[Дата продажи],MATCH('Исходные данные 2'!B20&amp;'Исходные данные 2'!C20,Исходные_данные_2__2[ФИО покупателя]&amp;Исходные_данные_2__2[Наименование товара],0))</f>
        <v>45004</v>
      </c>
      <c r="F20" t="str">
        <f t="array" ref="F20">INDEX(Исходные_данные_2__2[[Город отправки ]],MATCH('Исходные данные 2'!B20&amp;'Исходные данные 2'!C20,Исходные_данные_2__2[ФИО покупателя]&amp;Исходные_данные_2__2[Наименование товара],0))</f>
        <v>Москва</v>
      </c>
    </row>
    <row r="21" spans="1:6" x14ac:dyDescent="0.25">
      <c r="A21" s="2" t="s">
        <v>418</v>
      </c>
      <c r="B21" t="s">
        <v>318</v>
      </c>
      <c r="C21" t="s">
        <v>17</v>
      </c>
      <c r="D21">
        <v>0</v>
      </c>
      <c r="E21" s="1">
        <f t="array" ref="E21">INDEX(Исходные_данные_2__2[Дата продажи],MATCH('Исходные данные 2'!B21&amp;'Исходные данные 2'!C21,Исходные_данные_2__2[ФИО покупателя]&amp;Исходные_данные_2__2[Наименование товара],0))</f>
        <v>44997</v>
      </c>
      <c r="F21" t="str">
        <f t="array" ref="F21">INDEX(Исходные_данные_2__2[[Город отправки ]],MATCH('Исходные данные 2'!B21&amp;'Исходные данные 2'!C21,Исходные_данные_2__2[ФИО покупателя]&amp;Исходные_данные_2__2[Наименование товара],0))</f>
        <v>Москва</v>
      </c>
    </row>
    <row r="22" spans="1:6" x14ac:dyDescent="0.25">
      <c r="A22" s="2" t="s">
        <v>418</v>
      </c>
      <c r="B22" t="s">
        <v>389</v>
      </c>
      <c r="C22" t="s">
        <v>5</v>
      </c>
      <c r="D22">
        <v>0</v>
      </c>
      <c r="E22" s="1">
        <f t="array" ref="E22">INDEX(Исходные_данные_2__2[Дата продажи],MATCH('Исходные данные 2'!B22&amp;'Исходные данные 2'!C22,Исходные_данные_2__2[ФИО покупателя]&amp;Исходные_данные_2__2[Наименование товара],0))</f>
        <v>45010</v>
      </c>
      <c r="F22" t="str">
        <f t="array" ref="F22">INDEX(Исходные_данные_2__2[[Город отправки ]],MATCH('Исходные данные 2'!B22&amp;'Исходные данные 2'!C22,Исходные_данные_2__2[ФИО покупателя]&amp;Исходные_данные_2__2[Наименование товара],0))</f>
        <v>Ярославль</v>
      </c>
    </row>
    <row r="23" spans="1:6" x14ac:dyDescent="0.25">
      <c r="A23" s="2" t="s">
        <v>418</v>
      </c>
      <c r="B23" t="s">
        <v>297</v>
      </c>
      <c r="C23" t="s">
        <v>8</v>
      </c>
      <c r="D23">
        <v>0</v>
      </c>
      <c r="E23" s="1">
        <f t="array" ref="E23">INDEX(Исходные_данные_2__2[Дата продажи],MATCH('Исходные данные 2'!B23&amp;'Исходные данные 2'!C23,Исходные_данные_2__2[ФИО покупателя]&amp;Исходные_данные_2__2[Наименование товара],0))</f>
        <v>44992</v>
      </c>
      <c r="F23" t="str">
        <f t="array" ref="F23">INDEX(Исходные_данные_2__2[[Город отправки ]],MATCH('Исходные данные 2'!B23&amp;'Исходные данные 2'!C23,Исходные_данные_2__2[ФИО покупателя]&amp;Исходные_данные_2__2[Наименование товара],0))</f>
        <v>Ярославль</v>
      </c>
    </row>
    <row r="24" spans="1:6" x14ac:dyDescent="0.25">
      <c r="A24" s="2" t="s">
        <v>418</v>
      </c>
      <c r="B24" t="s">
        <v>83</v>
      </c>
      <c r="C24" t="s">
        <v>8</v>
      </c>
      <c r="D24">
        <v>0</v>
      </c>
      <c r="E24" s="1">
        <f t="array" ref="E24">INDEX(Исходные_данные_2__2[Дата продажи],MATCH('Исходные данные 2'!B24&amp;'Исходные данные 2'!C24,Исходные_данные_2__2[ФИО покупателя]&amp;Исходные_данные_2__2[Наименование товара],0))</f>
        <v>44943</v>
      </c>
      <c r="F24" t="str">
        <f t="array" ref="F24">INDEX(Исходные_данные_2__2[[Город отправки ]],MATCH('Исходные данные 2'!B24&amp;'Исходные данные 2'!C24,Исходные_данные_2__2[ФИО покупателя]&amp;Исходные_данные_2__2[Наименование товара],0))</f>
        <v>Воронеж</v>
      </c>
    </row>
    <row r="25" spans="1:6" x14ac:dyDescent="0.25">
      <c r="A25" s="2" t="s">
        <v>418</v>
      </c>
      <c r="B25" t="s">
        <v>74</v>
      </c>
      <c r="C25" t="s">
        <v>22</v>
      </c>
      <c r="D25">
        <v>0</v>
      </c>
      <c r="E25" s="1">
        <f t="array" ref="E25">INDEX(Исходные_данные_2__2[Дата продажи],MATCH('Исходные данные 2'!B25&amp;'Исходные данные 2'!C25,Исходные_данные_2__2[ФИО покупателя]&amp;Исходные_данные_2__2[Наименование товара],0))</f>
        <v>44940</v>
      </c>
      <c r="F25" t="str">
        <f t="array" ref="F25">INDEX(Исходные_данные_2__2[[Город отправки ]],MATCH('Исходные данные 2'!B25&amp;'Исходные данные 2'!C25,Исходные_данные_2__2[ФИО покупателя]&amp;Исходные_данные_2__2[Наименование товара],0))</f>
        <v>Москва</v>
      </c>
    </row>
    <row r="26" spans="1:6" x14ac:dyDescent="0.25">
      <c r="A26" s="2" t="s">
        <v>418</v>
      </c>
      <c r="B26" t="s">
        <v>146</v>
      </c>
      <c r="C26" t="s">
        <v>8</v>
      </c>
      <c r="D26">
        <v>0</v>
      </c>
      <c r="E26" s="1">
        <f t="array" ref="E26">INDEX(Исходные_данные_2__2[Дата продажи],MATCH('Исходные данные 2'!B26&amp;'Исходные данные 2'!C26,Исходные_данные_2__2[ФИО покупателя]&amp;Исходные_данные_2__2[Наименование товара],0))</f>
        <v>44957</v>
      </c>
      <c r="F26" t="str">
        <f t="array" ref="F26">INDEX(Исходные_данные_2__2[[Город отправки ]],MATCH('Исходные данные 2'!B26&amp;'Исходные данные 2'!C26,Исходные_данные_2__2[ФИО покупателя]&amp;Исходные_данные_2__2[Наименование товара],0))</f>
        <v>Воронеж</v>
      </c>
    </row>
    <row r="27" spans="1:6" x14ac:dyDescent="0.25">
      <c r="A27" s="2" t="s">
        <v>418</v>
      </c>
      <c r="B27" t="s">
        <v>98</v>
      </c>
      <c r="C27" t="s">
        <v>8</v>
      </c>
      <c r="D27">
        <v>0</v>
      </c>
      <c r="E27" s="1">
        <f t="array" ref="E27">INDEX(Исходные_данные_2__2[Дата продажи],MATCH('Исходные данные 2'!B27&amp;'Исходные данные 2'!C27,Исходные_данные_2__2[ФИО покупателя]&amp;Исходные_данные_2__2[Наименование товара],0))</f>
        <v>44946</v>
      </c>
      <c r="F27" t="str">
        <f t="array" ref="F27">INDEX(Исходные_данные_2__2[[Город отправки ]],MATCH('Исходные данные 2'!B27&amp;'Исходные данные 2'!C27,Исходные_данные_2__2[ФИО покупателя]&amp;Исходные_данные_2__2[Наименование товара],0))</f>
        <v>Воронеж</v>
      </c>
    </row>
    <row r="28" spans="1:6" x14ac:dyDescent="0.25">
      <c r="A28" s="2" t="s">
        <v>418</v>
      </c>
      <c r="B28" t="s">
        <v>164</v>
      </c>
      <c r="C28" t="s">
        <v>8</v>
      </c>
      <c r="D28">
        <v>0</v>
      </c>
      <c r="E28" s="1">
        <f t="array" ref="E28">INDEX(Исходные_данные_2__2[Дата продажи],MATCH('Исходные данные 2'!B28&amp;'Исходные данные 2'!C28,Исходные_данные_2__2[ФИО покупателя]&amp;Исходные_данные_2__2[Наименование товара],0))</f>
        <v>44961</v>
      </c>
      <c r="F28" t="str">
        <f t="array" ref="F28">INDEX(Исходные_данные_2__2[[Город отправки ]],MATCH('Исходные данные 2'!B28&amp;'Исходные данные 2'!C28,Исходные_данные_2__2[ФИО покупателя]&amp;Исходные_данные_2__2[Наименование товара],0))</f>
        <v>Москва</v>
      </c>
    </row>
    <row r="29" spans="1:6" x14ac:dyDescent="0.25">
      <c r="A29" s="2" t="s">
        <v>418</v>
      </c>
      <c r="B29" t="s">
        <v>268</v>
      </c>
      <c r="C29" t="s">
        <v>17</v>
      </c>
      <c r="D29">
        <v>0</v>
      </c>
      <c r="E29" s="1">
        <f t="array" ref="E29">INDEX(Исходные_данные_2__2[Дата продажи],MATCH('Исходные данные 2'!B29&amp;'Исходные данные 2'!C29,Исходные_данные_2__2[ФИО покупателя]&amp;Исходные_данные_2__2[Наименование товара],0))</f>
        <v>44986</v>
      </c>
      <c r="F29" t="str">
        <f t="array" ref="F29">INDEX(Исходные_данные_2__2[[Город отправки ]],MATCH('Исходные данные 2'!B29&amp;'Исходные данные 2'!C29,Исходные_данные_2__2[ФИО покупателя]&amp;Исходные_данные_2__2[Наименование товара],0))</f>
        <v>Москва</v>
      </c>
    </row>
    <row r="30" spans="1:6" x14ac:dyDescent="0.25">
      <c r="A30" s="2" t="s">
        <v>418</v>
      </c>
      <c r="B30" t="s">
        <v>233</v>
      </c>
      <c r="C30" t="s">
        <v>17</v>
      </c>
      <c r="D30">
        <v>0</v>
      </c>
      <c r="E30" s="1">
        <f t="array" ref="E30">INDEX(Исходные_данные_2__2[Дата продажи],MATCH('Исходные данные 2'!B30&amp;'Исходные данные 2'!C30,Исходные_данные_2__2[ФИО покупателя]&amp;Исходные_данные_2__2[Наименование товара],0))</f>
        <v>44977</v>
      </c>
      <c r="F30" t="str">
        <f t="array" ref="F30">INDEX(Исходные_данные_2__2[[Город отправки ]],MATCH('Исходные данные 2'!B30&amp;'Исходные данные 2'!C30,Исходные_данные_2__2[ФИО покупателя]&amp;Исходные_данные_2__2[Наименование товара],0))</f>
        <v>Владимир</v>
      </c>
    </row>
    <row r="31" spans="1:6" x14ac:dyDescent="0.25">
      <c r="A31" s="2" t="s">
        <v>418</v>
      </c>
      <c r="B31" t="s">
        <v>227</v>
      </c>
      <c r="C31" t="s">
        <v>17</v>
      </c>
      <c r="D31">
        <v>0</v>
      </c>
      <c r="E31" s="1">
        <f t="array" ref="E31">INDEX(Исходные_данные_2__2[Дата продажи],MATCH('Исходные данные 2'!B31&amp;'Исходные данные 2'!C31,Исходные_данные_2__2[ФИО покупателя]&amp;Исходные_данные_2__2[Наименование товара],0))</f>
        <v>44974</v>
      </c>
      <c r="F31" t="str">
        <f t="array" ref="F31">INDEX(Исходные_данные_2__2[[Город отправки ]],MATCH('Исходные данные 2'!B31&amp;'Исходные данные 2'!C31,Исходные_данные_2__2[ФИО покупателя]&amp;Исходные_данные_2__2[Наименование товара],0))</f>
        <v>Ярославль</v>
      </c>
    </row>
    <row r="32" spans="1:6" x14ac:dyDescent="0.25">
      <c r="A32" s="2" t="s">
        <v>418</v>
      </c>
      <c r="B32" t="s">
        <v>341</v>
      </c>
      <c r="C32" t="s">
        <v>17</v>
      </c>
      <c r="D32">
        <v>0</v>
      </c>
      <c r="E32" s="1">
        <f t="array" ref="E32">INDEX(Исходные_данные_2__2[Дата продажи],MATCH('Исходные данные 2'!B32&amp;'Исходные данные 2'!C32,Исходные_данные_2__2[ФИО покупателя]&amp;Исходные_данные_2__2[Наименование товара],0))</f>
        <v>45001</v>
      </c>
      <c r="F32" t="str">
        <f t="array" ref="F32">INDEX(Исходные_данные_2__2[[Город отправки ]],MATCH('Исходные данные 2'!B32&amp;'Исходные данные 2'!C32,Исходные_данные_2__2[ФИО покупателя]&amp;Исходные_данные_2__2[Наименование товара],0))</f>
        <v>Ярославль</v>
      </c>
    </row>
    <row r="33" spans="1:6" x14ac:dyDescent="0.25">
      <c r="A33" s="2" t="s">
        <v>418</v>
      </c>
      <c r="B33" t="s">
        <v>77</v>
      </c>
      <c r="C33" t="s">
        <v>8</v>
      </c>
      <c r="D33">
        <v>0</v>
      </c>
      <c r="E33" s="1">
        <f t="array" ref="E33">INDEX(Исходные_данные_2__2[Дата продажи],MATCH('Исходные данные 2'!B33&amp;'Исходные данные 2'!C33,Исходные_данные_2__2[ФИО покупателя]&amp;Исходные_данные_2__2[Наименование товара],0))</f>
        <v>44941</v>
      </c>
      <c r="F33" t="str">
        <f t="array" ref="F33">INDEX(Исходные_данные_2__2[[Город отправки ]],MATCH('Исходные данные 2'!B33&amp;'Исходные данные 2'!C33,Исходные_данные_2__2[ФИО покупателя]&amp;Исходные_данные_2__2[Наименование товара],0))</f>
        <v>Воронеж</v>
      </c>
    </row>
    <row r="34" spans="1:6" x14ac:dyDescent="0.25">
      <c r="A34" s="2" t="s">
        <v>418</v>
      </c>
      <c r="B34" t="s">
        <v>57</v>
      </c>
      <c r="C34" t="s">
        <v>37</v>
      </c>
      <c r="D34">
        <v>0</v>
      </c>
      <c r="E34" s="1">
        <f t="array" ref="E34">INDEX(Исходные_данные_2__2[Дата продажи],MATCH('Исходные данные 2'!B34&amp;'Исходные данные 2'!C34,Исходные_данные_2__2[ФИО покупателя]&amp;Исходные_данные_2__2[Наименование товара],0))</f>
        <v>44937</v>
      </c>
      <c r="F34" t="str">
        <f t="array" ref="F34">INDEX(Исходные_данные_2__2[[Город отправки ]],MATCH('Исходные данные 2'!B34&amp;'Исходные данные 2'!C34,Исходные_данные_2__2[ФИО покупателя]&amp;Исходные_данные_2__2[Наименование товара],0))</f>
        <v>Тула</v>
      </c>
    </row>
    <row r="35" spans="1:6" x14ac:dyDescent="0.25">
      <c r="A35" s="2" t="s">
        <v>418</v>
      </c>
      <c r="B35" t="s">
        <v>243</v>
      </c>
      <c r="C35" t="s">
        <v>17</v>
      </c>
      <c r="D35">
        <v>0</v>
      </c>
      <c r="E35" s="1">
        <f t="array" ref="E35">INDEX(Исходные_данные_2__2[Дата продажи],MATCH('Исходные данные 2'!B35&amp;'Исходные данные 2'!C35,Исходные_данные_2__2[ФИО покупателя]&amp;Исходные_данные_2__2[Наименование товара],0))</f>
        <v>44979</v>
      </c>
      <c r="F35" t="str">
        <f t="array" ref="F35">INDEX(Исходные_данные_2__2[[Город отправки ]],MATCH('Исходные данные 2'!B35&amp;'Исходные данные 2'!C35,Исходные_данные_2__2[ФИО покупателя]&amp;Исходные_данные_2__2[Наименование товара],0))</f>
        <v>Ярославль</v>
      </c>
    </row>
    <row r="36" spans="1:6" x14ac:dyDescent="0.25">
      <c r="A36" s="2" t="s">
        <v>418</v>
      </c>
      <c r="B36" t="s">
        <v>224</v>
      </c>
      <c r="C36" t="s">
        <v>22</v>
      </c>
      <c r="D36">
        <v>0</v>
      </c>
      <c r="E36" s="1">
        <f t="array" ref="E36">INDEX(Исходные_данные_2__2[Дата продажи],MATCH('Исходные данные 2'!B36&amp;'Исходные данные 2'!C36,Исходные_данные_2__2[ФИО покупателя]&amp;Исходные_данные_2__2[Наименование товара],0))</f>
        <v>44973</v>
      </c>
      <c r="F36" t="str">
        <f t="array" ref="F36">INDEX(Исходные_данные_2__2[[Город отправки ]],MATCH('Исходные данные 2'!B36&amp;'Исходные данные 2'!C36,Исходные_данные_2__2[ФИО покупателя]&amp;Исходные_данные_2__2[Наименование товара],0))</f>
        <v>Тула</v>
      </c>
    </row>
    <row r="37" spans="1:6" x14ac:dyDescent="0.25">
      <c r="A37" s="2" t="s">
        <v>418</v>
      </c>
      <c r="B37" t="s">
        <v>254</v>
      </c>
      <c r="C37" t="s">
        <v>37</v>
      </c>
      <c r="D37">
        <v>0</v>
      </c>
      <c r="E37" s="1">
        <f t="array" ref="E37">INDEX(Исходные_данные_2__2[Дата продажи],MATCH('Исходные данные 2'!B37&amp;'Исходные данные 2'!C37,Исходные_данные_2__2[ФИО покупателя]&amp;Исходные_данные_2__2[Наименование товара],0))</f>
        <v>44982</v>
      </c>
      <c r="F37" t="str">
        <f t="array" ref="F37">INDEX(Исходные_данные_2__2[[Город отправки ]],MATCH('Исходные данные 2'!B37&amp;'Исходные данные 2'!C37,Исходные_данные_2__2[ФИО покупателя]&amp;Исходные_данные_2__2[Наименование товара],0))</f>
        <v>Кострома</v>
      </c>
    </row>
    <row r="38" spans="1:6" x14ac:dyDescent="0.25">
      <c r="A38" s="2" t="s">
        <v>418</v>
      </c>
      <c r="B38" t="s">
        <v>347</v>
      </c>
      <c r="C38" t="s">
        <v>37</v>
      </c>
      <c r="D38">
        <v>0</v>
      </c>
      <c r="E38" s="1">
        <f t="array" ref="E38">INDEX(Исходные_данные_2__2[Дата продажи],MATCH('Исходные данные 2'!B38&amp;'Исходные данные 2'!C38,Исходные_данные_2__2[ФИО покупателя]&amp;Исходные_данные_2__2[Наименование товара],0))</f>
        <v>45002</v>
      </c>
      <c r="F38" t="str">
        <f t="array" ref="F38">INDEX(Исходные_данные_2__2[[Город отправки ]],MATCH('Исходные данные 2'!B38&amp;'Исходные данные 2'!C38,Исходные_данные_2__2[ФИО покупателя]&amp;Исходные_данные_2__2[Наименование товара],0))</f>
        <v>Ярославль</v>
      </c>
    </row>
    <row r="39" spans="1:6" x14ac:dyDescent="0.25">
      <c r="A39" s="2" t="s">
        <v>418</v>
      </c>
      <c r="B39" t="s">
        <v>234</v>
      </c>
      <c r="C39" t="s">
        <v>17</v>
      </c>
      <c r="D39">
        <v>0</v>
      </c>
      <c r="E39" s="1">
        <f t="array" ref="E39">INDEX(Исходные_данные_2__2[Дата продажи],MATCH('Исходные данные 2'!B39&amp;'Исходные данные 2'!C39,Исходные_данные_2__2[ФИО покупателя]&amp;Исходные_данные_2__2[Наименование товара],0))</f>
        <v>44977</v>
      </c>
      <c r="F39" t="str">
        <f t="array" ref="F39">INDEX(Исходные_данные_2__2[[Город отправки ]],MATCH('Исходные данные 2'!B39&amp;'Исходные данные 2'!C39,Исходные_данные_2__2[ФИО покупателя]&amp;Исходные_данные_2__2[Наименование товара],0))</f>
        <v>Воронеж</v>
      </c>
    </row>
    <row r="40" spans="1:6" x14ac:dyDescent="0.25">
      <c r="A40" s="2" t="s">
        <v>418</v>
      </c>
      <c r="B40" t="s">
        <v>141</v>
      </c>
      <c r="C40" t="s">
        <v>15</v>
      </c>
      <c r="D40">
        <v>0</v>
      </c>
      <c r="E40" s="1">
        <f t="array" ref="E40">INDEX(Исходные_данные_2__2[Дата продажи],MATCH('Исходные данные 2'!B40&amp;'Исходные данные 2'!C40,Исходные_данные_2__2[ФИО покупателя]&amp;Исходные_данные_2__2[Наименование товара],0))</f>
        <v>44956</v>
      </c>
      <c r="F40" t="str">
        <f t="array" ref="F40">INDEX(Исходные_данные_2__2[[Город отправки ]],MATCH('Исходные данные 2'!B40&amp;'Исходные данные 2'!C40,Исходные_данные_2__2[ФИО покупателя]&amp;Исходные_данные_2__2[Наименование товара],0))</f>
        <v>Москва</v>
      </c>
    </row>
    <row r="41" spans="1:6" x14ac:dyDescent="0.25">
      <c r="A41" s="2" t="s">
        <v>418</v>
      </c>
      <c r="B41" t="s">
        <v>305</v>
      </c>
      <c r="C41" t="s">
        <v>8</v>
      </c>
      <c r="D41">
        <v>0</v>
      </c>
      <c r="E41" s="1">
        <f t="array" ref="E41">INDEX(Исходные_данные_2__2[Дата продажи],MATCH('Исходные данные 2'!B41&amp;'Исходные данные 2'!C41,Исходные_данные_2__2[ФИО покупателя]&amp;Исходные_данные_2__2[Наименование товара],0))</f>
        <v>44993</v>
      </c>
      <c r="F41" t="str">
        <f t="array" ref="F41">INDEX(Исходные_данные_2__2[[Город отправки ]],MATCH('Исходные данные 2'!B41&amp;'Исходные данные 2'!C41,Исходные_данные_2__2[ФИО покупателя]&amp;Исходные_данные_2__2[Наименование товара],0))</f>
        <v>Ярославль</v>
      </c>
    </row>
    <row r="42" spans="1:6" x14ac:dyDescent="0.25">
      <c r="A42" s="2" t="s">
        <v>418</v>
      </c>
      <c r="B42" t="s">
        <v>139</v>
      </c>
      <c r="C42" t="s">
        <v>22</v>
      </c>
      <c r="D42">
        <v>0</v>
      </c>
      <c r="E42" s="1">
        <f t="array" ref="E42">INDEX(Исходные_данные_2__2[Дата продажи],MATCH('Исходные данные 2'!B42&amp;'Исходные данные 2'!C42,Исходные_данные_2__2[ФИО покупателя]&amp;Исходные_данные_2__2[Наименование товара],0))</f>
        <v>44955</v>
      </c>
      <c r="F42" t="str">
        <f t="array" ref="F42">INDEX(Исходные_данные_2__2[[Город отправки ]],MATCH('Исходные данные 2'!B42&amp;'Исходные данные 2'!C42,Исходные_данные_2__2[ФИО покупателя]&amp;Исходные_данные_2__2[Наименование товара],0))</f>
        <v>Москва</v>
      </c>
    </row>
    <row r="43" spans="1:6" x14ac:dyDescent="0.25">
      <c r="A43" s="2" t="s">
        <v>418</v>
      </c>
      <c r="B43" t="s">
        <v>332</v>
      </c>
      <c r="C43" t="s">
        <v>5</v>
      </c>
      <c r="D43">
        <v>0</v>
      </c>
      <c r="E43" s="1">
        <f t="array" ref="E43">INDEX(Исходные_данные_2__2[Дата продажи],MATCH('Исходные данные 2'!B43&amp;'Исходные данные 2'!C43,Исходные_данные_2__2[ФИО покупателя]&amp;Исходные_данные_2__2[Наименование товара],0))</f>
        <v>44999</v>
      </c>
      <c r="F43" t="str">
        <f t="array" ref="F43">INDEX(Исходные_данные_2__2[[Город отправки ]],MATCH('Исходные данные 2'!B43&amp;'Исходные данные 2'!C43,Исходные_данные_2__2[ФИО покупателя]&amp;Исходные_данные_2__2[Наименование товара],0))</f>
        <v>Тула</v>
      </c>
    </row>
    <row r="44" spans="1:6" x14ac:dyDescent="0.25">
      <c r="A44" s="2" t="s">
        <v>418</v>
      </c>
      <c r="B44" t="s">
        <v>270</v>
      </c>
      <c r="C44" t="s">
        <v>17</v>
      </c>
      <c r="D44">
        <v>0</v>
      </c>
      <c r="E44" s="1">
        <f t="array" ref="E44">INDEX(Исходные_данные_2__2[Дата продажи],MATCH('Исходные данные 2'!B44&amp;'Исходные данные 2'!C44,Исходные_данные_2__2[ФИО покупателя]&amp;Исходные_данные_2__2[Наименование товара],0))</f>
        <v>44986</v>
      </c>
      <c r="F44" t="str">
        <f t="array" ref="F44">INDEX(Исходные_данные_2__2[[Город отправки ]],MATCH('Исходные данные 2'!B44&amp;'Исходные данные 2'!C44,Исходные_данные_2__2[ФИО покупателя]&amp;Исходные_данные_2__2[Наименование товара],0))</f>
        <v>Москва</v>
      </c>
    </row>
    <row r="45" spans="1:6" x14ac:dyDescent="0.25">
      <c r="A45" s="2" t="s">
        <v>418</v>
      </c>
      <c r="B45" t="s">
        <v>105</v>
      </c>
      <c r="C45" t="s">
        <v>17</v>
      </c>
      <c r="D45">
        <v>0</v>
      </c>
      <c r="E45" s="1">
        <f t="array" ref="E45">INDEX(Исходные_данные_2__2[Дата продажи],MATCH('Исходные данные 2'!B45&amp;'Исходные данные 2'!C45,Исходные_данные_2__2[ФИО покупателя]&amp;Исходные_данные_2__2[Наименование товара],0))</f>
        <v>44948</v>
      </c>
      <c r="F45" t="str">
        <f t="array" ref="F45">INDEX(Исходные_данные_2__2[[Город отправки ]],MATCH('Исходные данные 2'!B45&amp;'Исходные данные 2'!C45,Исходные_данные_2__2[ФИО покупателя]&amp;Исходные_данные_2__2[Наименование товара],0))</f>
        <v>Тула</v>
      </c>
    </row>
    <row r="46" spans="1:6" x14ac:dyDescent="0.25">
      <c r="A46" s="2" t="s">
        <v>418</v>
      </c>
      <c r="B46" t="s">
        <v>181</v>
      </c>
      <c r="C46" t="s">
        <v>17</v>
      </c>
      <c r="D46">
        <v>0</v>
      </c>
      <c r="E46" s="1">
        <f t="array" ref="E46">INDEX(Исходные_данные_2__2[Дата продажи],MATCH('Исходные данные 2'!B46&amp;'Исходные данные 2'!C46,Исходные_данные_2__2[ФИО покупателя]&amp;Исходные_данные_2__2[Наименование товара],0))</f>
        <v>44964</v>
      </c>
      <c r="F46" t="str">
        <f t="array" ref="F46">INDEX(Исходные_данные_2__2[[Город отправки ]],MATCH('Исходные данные 2'!B46&amp;'Исходные данные 2'!C46,Исходные_данные_2__2[ФИО покупателя]&amp;Исходные_данные_2__2[Наименование товара],0))</f>
        <v>Владимир</v>
      </c>
    </row>
    <row r="47" spans="1:6" x14ac:dyDescent="0.25">
      <c r="A47" s="2" t="s">
        <v>418</v>
      </c>
      <c r="B47" t="s">
        <v>256</v>
      </c>
      <c r="C47" t="s">
        <v>37</v>
      </c>
      <c r="D47">
        <v>0</v>
      </c>
      <c r="E47" s="1">
        <f t="array" ref="E47">INDEX(Исходные_данные_2__2[Дата продажи],MATCH('Исходные данные 2'!B47&amp;'Исходные данные 2'!C47,Исходные_данные_2__2[ФИО покупателя]&amp;Исходные_данные_2__2[Наименование товара],0))</f>
        <v>44982</v>
      </c>
      <c r="F47" t="str">
        <f t="array" ref="F47">INDEX(Исходные_данные_2__2[[Город отправки ]],MATCH('Исходные данные 2'!B47&amp;'Исходные данные 2'!C47,Исходные_данные_2__2[ФИО покупателя]&amp;Исходные_данные_2__2[Наименование товара],0))</f>
        <v>Тверь</v>
      </c>
    </row>
    <row r="48" spans="1:6" x14ac:dyDescent="0.25">
      <c r="A48" s="2" t="s">
        <v>418</v>
      </c>
      <c r="B48" t="s">
        <v>68</v>
      </c>
      <c r="C48" t="s">
        <v>17</v>
      </c>
      <c r="D48">
        <v>0</v>
      </c>
      <c r="E48" s="1">
        <f t="array" ref="E48">INDEX(Исходные_данные_2__2[Дата продажи],MATCH('Исходные данные 2'!B48&amp;'Исходные данные 2'!C48,Исходные_данные_2__2[ФИО покупателя]&amp;Исходные_данные_2__2[Наименование товара],0))</f>
        <v>44939</v>
      </c>
      <c r="F48" t="str">
        <f t="array" ref="F48">INDEX(Исходные_данные_2__2[[Город отправки ]],MATCH('Исходные данные 2'!B48&amp;'Исходные данные 2'!C48,Исходные_данные_2__2[ФИО покупателя]&amp;Исходные_данные_2__2[Наименование товара],0))</f>
        <v>Владимир</v>
      </c>
    </row>
    <row r="49" spans="1:6" x14ac:dyDescent="0.25">
      <c r="A49" s="2" t="s">
        <v>418</v>
      </c>
      <c r="B49" t="s">
        <v>288</v>
      </c>
      <c r="C49" t="s">
        <v>8</v>
      </c>
      <c r="D49">
        <v>0</v>
      </c>
      <c r="E49" s="1">
        <f t="array" ref="E49">INDEX(Исходные_данные_2__2[Дата продажи],MATCH('Исходные данные 2'!B49&amp;'Исходные данные 2'!C49,Исходные_данные_2__2[ФИО покупателя]&amp;Исходные_данные_2__2[Наименование товара],0))</f>
        <v>44990</v>
      </c>
      <c r="F49" t="str">
        <f t="array" ref="F49">INDEX(Исходные_данные_2__2[[Город отправки ]],MATCH('Исходные данные 2'!B49&amp;'Исходные данные 2'!C49,Исходные_данные_2__2[ФИО покупателя]&amp;Исходные_данные_2__2[Наименование товара],0))</f>
        <v>Москва</v>
      </c>
    </row>
    <row r="50" spans="1:6" x14ac:dyDescent="0.25">
      <c r="A50" s="2" t="s">
        <v>418</v>
      </c>
      <c r="B50" t="s">
        <v>42</v>
      </c>
      <c r="C50" t="s">
        <v>17</v>
      </c>
      <c r="D50">
        <v>0</v>
      </c>
      <c r="E50" s="1">
        <f t="array" ref="E50">INDEX(Исходные_данные_2__2[Дата продажи],MATCH('Исходные данные 2'!B50&amp;'Исходные данные 2'!C50,Исходные_данные_2__2[ФИО покупателя]&amp;Исходные_данные_2__2[Наименование товара],0))</f>
        <v>44934</v>
      </c>
      <c r="F50" t="str">
        <f t="array" ref="F50">INDEX(Исходные_данные_2__2[[Город отправки ]],MATCH('Исходные данные 2'!B50&amp;'Исходные данные 2'!C50,Исходные_данные_2__2[ФИО покупателя]&amp;Исходные_данные_2__2[Наименование товара],0))</f>
        <v>Москва</v>
      </c>
    </row>
    <row r="51" spans="1:6" x14ac:dyDescent="0.25">
      <c r="A51" s="2" t="s">
        <v>418</v>
      </c>
      <c r="B51" t="s">
        <v>69</v>
      </c>
      <c r="C51" t="s">
        <v>8</v>
      </c>
      <c r="D51">
        <v>0</v>
      </c>
      <c r="E51" s="1">
        <f t="array" ref="E51">INDEX(Исходные_данные_2__2[Дата продажи],MATCH('Исходные данные 2'!B51&amp;'Исходные данные 2'!C51,Исходные_данные_2__2[ФИО покупателя]&amp;Исходные_данные_2__2[Наименование товара],0))</f>
        <v>44939</v>
      </c>
      <c r="F51" t="str">
        <f t="array" ref="F51">INDEX(Исходные_данные_2__2[[Город отправки ]],MATCH('Исходные данные 2'!B51&amp;'Исходные данные 2'!C51,Исходные_данные_2__2[ФИО покупателя]&amp;Исходные_данные_2__2[Наименование товара],0))</f>
        <v>Владимир</v>
      </c>
    </row>
    <row r="52" spans="1:6" x14ac:dyDescent="0.25">
      <c r="A52" s="2" t="s">
        <v>418</v>
      </c>
      <c r="B52" t="s">
        <v>192</v>
      </c>
      <c r="C52" t="s">
        <v>37</v>
      </c>
      <c r="D52">
        <v>0</v>
      </c>
      <c r="E52" s="1">
        <f t="array" ref="E52">INDEX(Исходные_данные_2__2[Дата продажи],MATCH('Исходные данные 2'!B52&amp;'Исходные данные 2'!C52,Исходные_данные_2__2[ФИО покупателя]&amp;Исходные_данные_2__2[Наименование товара],0))</f>
        <v>44965</v>
      </c>
      <c r="F52" t="str">
        <f t="array" ref="F52">INDEX(Исходные_данные_2__2[[Город отправки ]],MATCH('Исходные данные 2'!B52&amp;'Исходные данные 2'!C52,Исходные_данные_2__2[ФИО покупателя]&amp;Исходные_данные_2__2[Наименование товара],0))</f>
        <v>Тула</v>
      </c>
    </row>
    <row r="53" spans="1:6" x14ac:dyDescent="0.25">
      <c r="A53" s="2" t="s">
        <v>418</v>
      </c>
      <c r="B53" t="s">
        <v>176</v>
      </c>
      <c r="C53" t="s">
        <v>8</v>
      </c>
      <c r="D53">
        <v>0</v>
      </c>
      <c r="E53" s="1">
        <f t="array" ref="E53">INDEX(Исходные_данные_2__2[Дата продажи],MATCH('Исходные данные 2'!B53&amp;'Исходные данные 2'!C53,Исходные_данные_2__2[ФИО покупателя]&amp;Исходные_данные_2__2[Наименование товара],0))</f>
        <v>44962</v>
      </c>
      <c r="F53" t="str">
        <f t="array" ref="F53">INDEX(Исходные_данные_2__2[[Город отправки ]],MATCH('Исходные данные 2'!B53&amp;'Исходные данные 2'!C53,Исходные_данные_2__2[ФИО покупателя]&amp;Исходные_данные_2__2[Наименование товара],0))</f>
        <v>Владимир</v>
      </c>
    </row>
    <row r="54" spans="1:6" x14ac:dyDescent="0.25">
      <c r="A54" s="2" t="s">
        <v>418</v>
      </c>
      <c r="B54" t="s">
        <v>148</v>
      </c>
      <c r="C54" t="s">
        <v>17</v>
      </c>
      <c r="D54">
        <v>0</v>
      </c>
      <c r="E54" s="1">
        <f t="array" ref="E54">INDEX(Исходные_данные_2__2[Дата продажи],MATCH('Исходные данные 2'!B54&amp;'Исходные данные 2'!C54,Исходные_данные_2__2[ФИО покупателя]&amp;Исходные_данные_2__2[Наименование товара],0))</f>
        <v>44957</v>
      </c>
      <c r="F54" t="str">
        <f t="array" ref="F54">INDEX(Исходные_данные_2__2[[Город отправки ]],MATCH('Исходные данные 2'!B54&amp;'Исходные данные 2'!C54,Исходные_данные_2__2[ФИО покупателя]&amp;Исходные_данные_2__2[Наименование товара],0))</f>
        <v>Москва</v>
      </c>
    </row>
    <row r="55" spans="1:6" x14ac:dyDescent="0.25">
      <c r="A55" s="2" t="s">
        <v>418</v>
      </c>
      <c r="B55" t="s">
        <v>79</v>
      </c>
      <c r="C55" t="s">
        <v>5</v>
      </c>
      <c r="D55">
        <v>0</v>
      </c>
      <c r="E55" s="1">
        <f t="array" ref="E55">INDEX(Исходные_данные_2__2[Дата продажи],MATCH('Исходные данные 2'!B55&amp;'Исходные данные 2'!C55,Исходные_данные_2__2[ФИО покупателя]&amp;Исходные_данные_2__2[Наименование товара],0))</f>
        <v>44941</v>
      </c>
      <c r="F55" t="str">
        <f t="array" ref="F55">INDEX(Исходные_данные_2__2[[Город отправки ]],MATCH('Исходные данные 2'!B55&amp;'Исходные данные 2'!C55,Исходные_данные_2__2[ФИО покупателя]&amp;Исходные_данные_2__2[Наименование товара],0))</f>
        <v>Воронеж</v>
      </c>
    </row>
    <row r="56" spans="1:6" x14ac:dyDescent="0.25">
      <c r="A56" s="2" t="s">
        <v>418</v>
      </c>
      <c r="B56" t="s">
        <v>182</v>
      </c>
      <c r="C56" t="s">
        <v>5</v>
      </c>
      <c r="D56">
        <v>0</v>
      </c>
      <c r="E56" s="1">
        <f t="array" ref="E56">INDEX(Исходные_данные_2__2[Дата продажи],MATCH('Исходные данные 2'!B56&amp;'Исходные данные 2'!C56,Исходные_данные_2__2[ФИО покупателя]&amp;Исходные_данные_2__2[Наименование товара],0))</f>
        <v>44964</v>
      </c>
      <c r="F56" t="str">
        <f t="array" ref="F56">INDEX(Исходные_данные_2__2[[Город отправки ]],MATCH('Исходные данные 2'!B56&amp;'Исходные данные 2'!C56,Исходные_данные_2__2[ФИО покупателя]&amp;Исходные_данные_2__2[Наименование товара],0))</f>
        <v>Москва</v>
      </c>
    </row>
    <row r="57" spans="1:6" x14ac:dyDescent="0.25">
      <c r="A57" s="2" t="s">
        <v>418</v>
      </c>
      <c r="B57" t="s">
        <v>312</v>
      </c>
      <c r="C57" t="s">
        <v>5</v>
      </c>
      <c r="D57">
        <v>0</v>
      </c>
      <c r="E57" s="1">
        <f t="array" ref="E57">INDEX(Исходные_данные_2__2[Дата продажи],MATCH('Исходные данные 2'!B57&amp;'Исходные данные 2'!C57,Исходные_данные_2__2[ФИО покупателя]&amp;Исходные_данные_2__2[Наименование товара],0))</f>
        <v>44995</v>
      </c>
      <c r="F57" t="str">
        <f t="array" ref="F57">INDEX(Исходные_данные_2__2[[Город отправки ]],MATCH('Исходные данные 2'!B57&amp;'Исходные данные 2'!C57,Исходные_данные_2__2[ФИО покупателя]&amp;Исходные_данные_2__2[Наименование товара],0))</f>
        <v>Воронеж</v>
      </c>
    </row>
    <row r="58" spans="1:6" x14ac:dyDescent="0.25">
      <c r="A58" s="2" t="s">
        <v>418</v>
      </c>
      <c r="B58" t="s">
        <v>149</v>
      </c>
      <c r="C58" t="s">
        <v>8</v>
      </c>
      <c r="D58">
        <v>0</v>
      </c>
      <c r="E58" s="1">
        <f t="array" ref="E58">INDEX(Исходные_данные_2__2[Дата продажи],MATCH('Исходные данные 2'!B58&amp;'Исходные данные 2'!C58,Исходные_данные_2__2[ФИО покупателя]&amp;Исходные_данные_2__2[Наименование товара],0))</f>
        <v>44957</v>
      </c>
      <c r="F58" t="str">
        <f t="array" ref="F58">INDEX(Исходные_данные_2__2[[Город отправки ]],MATCH('Исходные данные 2'!B58&amp;'Исходные данные 2'!C58,Исходные_данные_2__2[ФИО покупателя]&amp;Исходные_данные_2__2[Наименование товара],0))</f>
        <v>Москва</v>
      </c>
    </row>
    <row r="59" spans="1:6" x14ac:dyDescent="0.25">
      <c r="A59" s="2" t="s">
        <v>418</v>
      </c>
      <c r="B59" t="s">
        <v>91</v>
      </c>
      <c r="C59" t="s">
        <v>8</v>
      </c>
      <c r="D59">
        <v>0</v>
      </c>
      <c r="E59" s="1">
        <f t="array" ref="E59">INDEX(Исходные_данные_2__2[Дата продажи],MATCH('Исходные данные 2'!B59&amp;'Исходные данные 2'!C59,Исходные_данные_2__2[ФИО покупателя]&amp;Исходные_данные_2__2[Наименование товара],0))</f>
        <v>44944</v>
      </c>
      <c r="F59" t="str">
        <f t="array" ref="F59">INDEX(Исходные_данные_2__2[[Город отправки ]],MATCH('Исходные данные 2'!B59&amp;'Исходные данные 2'!C59,Исходные_данные_2__2[ФИО покупателя]&amp;Исходные_данные_2__2[Наименование товара],0))</f>
        <v>Кострома</v>
      </c>
    </row>
    <row r="60" spans="1:6" x14ac:dyDescent="0.25">
      <c r="A60" s="2" t="s">
        <v>418</v>
      </c>
      <c r="B60" t="s">
        <v>43</v>
      </c>
      <c r="C60" t="s">
        <v>17</v>
      </c>
      <c r="D60">
        <v>0</v>
      </c>
      <c r="E60" s="1">
        <f t="array" ref="E60">INDEX(Исходные_данные_2__2[Дата продажи],MATCH('Исходные данные 2'!B60&amp;'Исходные данные 2'!C60,Исходные_данные_2__2[ФИО покупателя]&amp;Исходные_данные_2__2[Наименование товара],0))</f>
        <v>44934</v>
      </c>
      <c r="F60" t="str">
        <f t="array" ref="F60">INDEX(Исходные_данные_2__2[[Город отправки ]],MATCH('Исходные данные 2'!B60&amp;'Исходные данные 2'!C60,Исходные_данные_2__2[ФИО покупателя]&amp;Исходные_данные_2__2[Наименование товара],0))</f>
        <v>Москва</v>
      </c>
    </row>
    <row r="61" spans="1:6" x14ac:dyDescent="0.25">
      <c r="A61" s="2" t="s">
        <v>418</v>
      </c>
      <c r="B61" t="s">
        <v>108</v>
      </c>
      <c r="C61" t="s">
        <v>17</v>
      </c>
      <c r="D61">
        <v>0</v>
      </c>
      <c r="E61" s="1">
        <f t="array" ref="E61">INDEX(Исходные_данные_2__2[Дата продажи],MATCH('Исходные данные 2'!B61&amp;'Исходные данные 2'!C61,Исходные_данные_2__2[ФИО покупателя]&amp;Исходные_данные_2__2[Наименование товара],0))</f>
        <v>44948</v>
      </c>
      <c r="F61" t="str">
        <f t="array" ref="F61">INDEX(Исходные_данные_2__2[[Город отправки ]],MATCH('Исходные данные 2'!B61&amp;'Исходные данные 2'!C61,Исходные_данные_2__2[ФИО покупателя]&amp;Исходные_данные_2__2[Наименование товара],0))</f>
        <v>Воронеж</v>
      </c>
    </row>
    <row r="62" spans="1:6" x14ac:dyDescent="0.25">
      <c r="A62" s="2" t="s">
        <v>418</v>
      </c>
      <c r="B62" t="s">
        <v>308</v>
      </c>
      <c r="C62" t="s">
        <v>37</v>
      </c>
      <c r="D62">
        <v>0</v>
      </c>
      <c r="E62" s="1">
        <f t="array" ref="E62">INDEX(Исходные_данные_2__2[Дата продажи],MATCH('Исходные данные 2'!B62&amp;'Исходные данные 2'!C62,Исходные_данные_2__2[ФИО покупателя]&amp;Исходные_данные_2__2[Наименование товара],0))</f>
        <v>44994</v>
      </c>
      <c r="F62" t="str">
        <f t="array" ref="F62">INDEX(Исходные_данные_2__2[[Город отправки ]],MATCH('Исходные данные 2'!B62&amp;'Исходные данные 2'!C62,Исходные_данные_2__2[ФИО покупателя]&amp;Исходные_данные_2__2[Наименование товара],0))</f>
        <v>Тула</v>
      </c>
    </row>
    <row r="63" spans="1:6" x14ac:dyDescent="0.25">
      <c r="A63" s="2" t="s">
        <v>418</v>
      </c>
      <c r="B63" t="s">
        <v>413</v>
      </c>
      <c r="C63" t="s">
        <v>8</v>
      </c>
      <c r="D63">
        <v>0</v>
      </c>
      <c r="E63" s="1">
        <f t="array" ref="E63">INDEX(Исходные_данные_2__2[Дата продажи],MATCH('Исходные данные 2'!B63&amp;'Исходные данные 2'!C63,Исходные_данные_2__2[ФИО покупателя]&amp;Исходные_данные_2__2[Наименование товара],0))</f>
        <v>45015</v>
      </c>
      <c r="F63" t="str">
        <f t="array" ref="F63">INDEX(Исходные_данные_2__2[[Город отправки ]],MATCH('Исходные данные 2'!B63&amp;'Исходные данные 2'!C63,Исходные_данные_2__2[ФИО покупателя]&amp;Исходные_данные_2__2[Наименование товара],0))</f>
        <v>Владимир</v>
      </c>
    </row>
    <row r="64" spans="1:6" x14ac:dyDescent="0.25">
      <c r="A64" s="2" t="s">
        <v>418</v>
      </c>
      <c r="B64" t="s">
        <v>10</v>
      </c>
      <c r="C64" t="s">
        <v>8</v>
      </c>
      <c r="D64">
        <v>0</v>
      </c>
      <c r="E64" s="1">
        <f t="array" ref="E64">INDEX(Исходные_данные_2__2[Дата продажи],MATCH('Исходные данные 2'!B64&amp;'Исходные данные 2'!C64,Исходные_данные_2__2[ФИО покупателя]&amp;Исходные_данные_2__2[Наименование товара],0))</f>
        <v>44927</v>
      </c>
      <c r="F64" t="str">
        <f t="array" ref="F64">INDEX(Исходные_данные_2__2[[Город отправки ]],MATCH('Исходные данные 2'!B64&amp;'Исходные данные 2'!C64,Исходные_данные_2__2[ФИО покупателя]&amp;Исходные_данные_2__2[Наименование товара],0))</f>
        <v>Москва</v>
      </c>
    </row>
    <row r="65" spans="1:6" x14ac:dyDescent="0.25">
      <c r="A65" s="2" t="s">
        <v>418</v>
      </c>
      <c r="B65" t="s">
        <v>333</v>
      </c>
      <c r="C65" t="s">
        <v>8</v>
      </c>
      <c r="D65">
        <v>0</v>
      </c>
      <c r="E65" s="1">
        <f t="array" ref="E65">INDEX(Исходные_данные_2__2[Дата продажи],MATCH('Исходные данные 2'!B65&amp;'Исходные данные 2'!C65,Исходные_данные_2__2[ФИО покупателя]&amp;Исходные_данные_2__2[Наименование товара],0))</f>
        <v>44999</v>
      </c>
      <c r="F65" t="str">
        <f t="array" ref="F65">INDEX(Исходные_данные_2__2[[Город отправки ]],MATCH('Исходные данные 2'!B65&amp;'Исходные данные 2'!C65,Исходные_данные_2__2[ФИО покупателя]&amp;Исходные_данные_2__2[Наименование товара],0))</f>
        <v>Ярославль</v>
      </c>
    </row>
    <row r="66" spans="1:6" x14ac:dyDescent="0.25">
      <c r="A66" s="2" t="s">
        <v>418</v>
      </c>
      <c r="B66" t="s">
        <v>67</v>
      </c>
      <c r="C66" t="s">
        <v>8</v>
      </c>
      <c r="D66">
        <v>0</v>
      </c>
      <c r="E66" s="1">
        <f t="array" ref="E66">INDEX(Исходные_данные_2__2[Дата продажи],MATCH('Исходные данные 2'!B66&amp;'Исходные данные 2'!C66,Исходные_данные_2__2[ФИО покупателя]&amp;Исходные_данные_2__2[Наименование товара],0))</f>
        <v>44938</v>
      </c>
      <c r="F66" t="str">
        <f t="array" ref="F66">INDEX(Исходные_данные_2__2[[Город отправки ]],MATCH('Исходные данные 2'!B66&amp;'Исходные данные 2'!C66,Исходные_данные_2__2[ФИО покупателя]&amp;Исходные_данные_2__2[Наименование товара],0))</f>
        <v>Тула</v>
      </c>
    </row>
    <row r="67" spans="1:6" x14ac:dyDescent="0.25">
      <c r="A67" s="2" t="s">
        <v>418</v>
      </c>
      <c r="B67" t="s">
        <v>51</v>
      </c>
      <c r="C67" t="s">
        <v>5</v>
      </c>
      <c r="D67">
        <v>0</v>
      </c>
      <c r="E67" s="1">
        <f t="array" ref="E67">INDEX(Исходные_данные_2__2[Дата продажи],MATCH('Исходные данные 2'!B67&amp;'Исходные данные 2'!C67,Исходные_данные_2__2[ФИО покупателя]&amp;Исходные_данные_2__2[Наименование товара],0))</f>
        <v>44935</v>
      </c>
      <c r="F67" t="str">
        <f t="array" ref="F67">INDEX(Исходные_данные_2__2[[Город отправки ]],MATCH('Исходные данные 2'!B67&amp;'Исходные данные 2'!C67,Исходные_данные_2__2[ФИО покупателя]&amp;Исходные_данные_2__2[Наименование товара],0))</f>
        <v>Кострома</v>
      </c>
    </row>
    <row r="68" spans="1:6" x14ac:dyDescent="0.25">
      <c r="A68" s="2" t="s">
        <v>419</v>
      </c>
      <c r="B68" t="s">
        <v>52</v>
      </c>
      <c r="C68" t="s">
        <v>15</v>
      </c>
      <c r="D68">
        <v>0</v>
      </c>
      <c r="E68" s="1">
        <f t="array" ref="E68">INDEX(Исходные_данные_2__2[Дата продажи],MATCH('Исходные данные 2'!B68&amp;'Исходные данные 2'!C68,Исходные_данные_2__2[ФИО покупателя]&amp;Исходные_данные_2__2[Наименование товара],0))</f>
        <v>44936</v>
      </c>
      <c r="F68" t="str">
        <f t="array" ref="F68">INDEX(Исходные_данные_2__2[[Город отправки ]],MATCH('Исходные данные 2'!B68&amp;'Исходные данные 2'!C68,Исходные_данные_2__2[ФИО покупателя]&amp;Исходные_данные_2__2[Наименование товара],0))</f>
        <v>Мурманск</v>
      </c>
    </row>
    <row r="69" spans="1:6" x14ac:dyDescent="0.25">
      <c r="A69" s="2" t="s">
        <v>419</v>
      </c>
      <c r="B69" t="s">
        <v>316</v>
      </c>
      <c r="C69" t="s">
        <v>15</v>
      </c>
      <c r="D69">
        <v>0</v>
      </c>
      <c r="E69" s="1">
        <f t="array" ref="E69">INDEX(Исходные_данные_2__2[Дата продажи],MATCH('Исходные данные 2'!B69&amp;'Исходные данные 2'!C69,Исходные_данные_2__2[ФИО покупателя]&amp;Исходные_данные_2__2[Наименование товара],0))</f>
        <v>44997</v>
      </c>
      <c r="F69" t="str">
        <f t="array" ref="F69">INDEX(Исходные_данные_2__2[[Город отправки ]],MATCH('Исходные данные 2'!B69&amp;'Исходные данные 2'!C69,Исходные_данные_2__2[ФИО покупателя]&amp;Исходные_данные_2__2[Наименование товара],0))</f>
        <v>Мурманск</v>
      </c>
    </row>
    <row r="70" spans="1:6" x14ac:dyDescent="0.25">
      <c r="A70" s="2" t="s">
        <v>419</v>
      </c>
      <c r="B70" t="s">
        <v>135</v>
      </c>
      <c r="C70" t="s">
        <v>22</v>
      </c>
      <c r="D70">
        <v>0</v>
      </c>
      <c r="E70" s="1">
        <f t="array" ref="E70">INDEX(Исходные_данные_2__2[Дата продажи],MATCH('Исходные данные 2'!B70&amp;'Исходные данные 2'!C70,Исходные_данные_2__2[ФИО покупателя]&amp;Исходные_данные_2__2[Наименование товара],0))</f>
        <v>44955</v>
      </c>
      <c r="F70" t="str">
        <f t="array" ref="F70">INDEX(Исходные_данные_2__2[[Город отправки ]],MATCH('Исходные данные 2'!B70&amp;'Исходные данные 2'!C70,Исходные_данные_2__2[ФИО покупателя]&amp;Исходные_данные_2__2[Наименование товара],0))</f>
        <v>Мурманск</v>
      </c>
    </row>
    <row r="71" spans="1:6" x14ac:dyDescent="0.25">
      <c r="A71" s="2" t="s">
        <v>419</v>
      </c>
      <c r="B71" t="s">
        <v>86</v>
      </c>
      <c r="C71" t="s">
        <v>8</v>
      </c>
      <c r="D71">
        <v>0</v>
      </c>
      <c r="E71" s="1">
        <f t="array" ref="E71">INDEX(Исходные_данные_2__2[Дата продажи],MATCH('Исходные данные 2'!B71&amp;'Исходные данные 2'!C71,Исходные_данные_2__2[ФИО покупателя]&amp;Исходные_данные_2__2[Наименование товара],0))</f>
        <v>44944</v>
      </c>
      <c r="F71" t="str">
        <f t="array" ref="F71">INDEX(Исходные_данные_2__2[[Город отправки ]],MATCH('Исходные данные 2'!B71&amp;'Исходные данные 2'!C71,Исходные_данные_2__2[ФИО покупателя]&amp;Исходные_данные_2__2[Наименование товара],0))</f>
        <v>Петрозаводск</v>
      </c>
    </row>
    <row r="72" spans="1:6" x14ac:dyDescent="0.25">
      <c r="A72" s="2" t="s">
        <v>419</v>
      </c>
      <c r="B72" t="s">
        <v>33</v>
      </c>
      <c r="C72" t="s">
        <v>15</v>
      </c>
      <c r="D72">
        <v>0</v>
      </c>
      <c r="E72" s="1">
        <f t="array" ref="E72">INDEX(Исходные_данные_2__2[Дата продажи],MATCH('Исходные данные 2'!B72&amp;'Исходные данные 2'!C72,Исходные_данные_2__2[ФИО покупателя]&amp;Исходные_данные_2__2[Наименование товара],0))</f>
        <v>44933</v>
      </c>
      <c r="F72" t="str">
        <f t="array" ref="F72">INDEX(Исходные_данные_2__2[[Город отправки ]],MATCH('Исходные данные 2'!B72&amp;'Исходные данные 2'!C72,Исходные_данные_2__2[ФИО покупателя]&amp;Исходные_данные_2__2[Наименование товара],0))</f>
        <v>Петрозаводск</v>
      </c>
    </row>
    <row r="73" spans="1:6" x14ac:dyDescent="0.25">
      <c r="A73" s="2" t="s">
        <v>419</v>
      </c>
      <c r="B73" t="s">
        <v>130</v>
      </c>
      <c r="C73" t="s">
        <v>15</v>
      </c>
      <c r="D73">
        <v>0</v>
      </c>
      <c r="E73" s="1">
        <f t="array" ref="E73">INDEX(Исходные_данные_2__2[Дата продажи],MATCH('Исходные данные 2'!B73&amp;'Исходные данные 2'!C73,Исходные_данные_2__2[ФИО покупателя]&amp;Исходные_данные_2__2[Наименование товара],0))</f>
        <v>44954</v>
      </c>
      <c r="F73" t="str">
        <f t="array" ref="F73">INDEX(Исходные_данные_2__2[[Город отправки ]],MATCH('Исходные данные 2'!B73&amp;'Исходные данные 2'!C73,Исходные_данные_2__2[ФИО покупателя]&amp;Исходные_данные_2__2[Наименование товара],0))</f>
        <v>Вологда</v>
      </c>
    </row>
    <row r="74" spans="1:6" x14ac:dyDescent="0.25">
      <c r="A74" s="2" t="s">
        <v>419</v>
      </c>
      <c r="B74" t="s">
        <v>406</v>
      </c>
      <c r="C74" t="s">
        <v>22</v>
      </c>
      <c r="D74">
        <v>0</v>
      </c>
      <c r="E74" s="1">
        <f t="array" ref="E74">INDEX(Исходные_данные_2__2[Дата продажи],MATCH('Исходные данные 2'!B74&amp;'Исходные данные 2'!C74,Исходные_данные_2__2[ФИО покупателя]&amp;Исходные_данные_2__2[Наименование товара],0))</f>
        <v>45015</v>
      </c>
      <c r="F74" t="str">
        <f t="array" ref="F74">INDEX(Исходные_данные_2__2[[Город отправки ]],MATCH('Исходные данные 2'!B74&amp;'Исходные данные 2'!C74,Исходные_данные_2__2[ФИО покупателя]&amp;Исходные_данные_2__2[Наименование товара],0))</f>
        <v>Псков</v>
      </c>
    </row>
    <row r="75" spans="1:6" x14ac:dyDescent="0.25">
      <c r="A75" s="2" t="s">
        <v>419</v>
      </c>
      <c r="B75" t="s">
        <v>213</v>
      </c>
      <c r="C75" t="s">
        <v>8</v>
      </c>
      <c r="D75">
        <v>0</v>
      </c>
      <c r="E75" s="1">
        <f t="array" ref="E75">INDEX(Исходные_данные_2__2[Дата продажи],MATCH('Исходные данные 2'!B75&amp;'Исходные данные 2'!C75,Исходные_данные_2__2[ФИО покупателя]&amp;Исходные_данные_2__2[Наименование товара],0))</f>
        <v>44971</v>
      </c>
      <c r="F75" t="str">
        <f t="array" ref="F75">INDEX(Исходные_данные_2__2[[Город отправки ]],MATCH('Исходные данные 2'!B75&amp;'Исходные данные 2'!C75,Исходные_данные_2__2[ФИО покупателя]&amp;Исходные_данные_2__2[Наименование товара],0))</f>
        <v>Санкт-Петерубрг</v>
      </c>
    </row>
    <row r="76" spans="1:6" x14ac:dyDescent="0.25">
      <c r="A76" s="2" t="s">
        <v>419</v>
      </c>
      <c r="B76" t="s">
        <v>162</v>
      </c>
      <c r="C76" t="s">
        <v>22</v>
      </c>
      <c r="D76">
        <v>0</v>
      </c>
      <c r="E76" s="1">
        <f t="array" ref="E76">INDEX(Исходные_данные_2__2[Дата продажи],MATCH('Исходные данные 2'!B76&amp;'Исходные данные 2'!C76,Исходные_данные_2__2[ФИО покупателя]&amp;Исходные_данные_2__2[Наименование товара],0))</f>
        <v>44961</v>
      </c>
      <c r="F76" t="str">
        <f t="array" ref="F76">INDEX(Исходные_данные_2__2[[Город отправки ]],MATCH('Исходные данные 2'!B76&amp;'Исходные данные 2'!C76,Исходные_данные_2__2[ФИО покупателя]&amp;Исходные_данные_2__2[Наименование товара],0))</f>
        <v>Великий Новгород</v>
      </c>
    </row>
    <row r="77" spans="1:6" x14ac:dyDescent="0.25">
      <c r="A77" s="2" t="s">
        <v>419</v>
      </c>
      <c r="B77" t="s">
        <v>387</v>
      </c>
      <c r="C77" t="s">
        <v>8</v>
      </c>
      <c r="D77">
        <v>0</v>
      </c>
      <c r="E77" s="1">
        <f t="array" ref="E77">INDEX(Исходные_данные_2__2[Дата продажи],MATCH('Исходные данные 2'!B77&amp;'Исходные данные 2'!C77,Исходные_данные_2__2[ФИО покупателя]&amp;Исходные_данные_2__2[Наименование товара],0))</f>
        <v>45010</v>
      </c>
      <c r="F77" t="str">
        <f t="array" ref="F77">INDEX(Исходные_данные_2__2[[Город отправки ]],MATCH('Исходные данные 2'!B77&amp;'Исходные данные 2'!C77,Исходные_данные_2__2[ФИО покупателя]&amp;Исходные_данные_2__2[Наименование товара],0))</f>
        <v>Псков</v>
      </c>
    </row>
    <row r="78" spans="1:6" x14ac:dyDescent="0.25">
      <c r="A78" s="2" t="s">
        <v>419</v>
      </c>
      <c r="B78" t="s">
        <v>25</v>
      </c>
      <c r="C78" t="s">
        <v>8</v>
      </c>
      <c r="D78">
        <v>0</v>
      </c>
      <c r="E78" s="1">
        <f t="array" ref="E78">INDEX(Исходные_данные_2__2[Дата продажи],MATCH('Исходные данные 2'!B78&amp;'Исходные данные 2'!C78,Исходные_данные_2__2[ФИО покупателя]&amp;Исходные_данные_2__2[Наименование товара],0))</f>
        <v>44929</v>
      </c>
      <c r="F78" t="str">
        <f t="array" ref="F78">INDEX(Исходные_данные_2__2[[Город отправки ]],MATCH('Исходные данные 2'!B78&amp;'Исходные данные 2'!C78,Исходные_данные_2__2[ФИО покупателя]&amp;Исходные_данные_2__2[Наименование товара],0))</f>
        <v>Санкт-Петерубрг</v>
      </c>
    </row>
    <row r="79" spans="1:6" x14ac:dyDescent="0.25">
      <c r="A79" s="2" t="s">
        <v>419</v>
      </c>
      <c r="B79" t="s">
        <v>231</v>
      </c>
      <c r="C79" t="s">
        <v>15</v>
      </c>
      <c r="D79">
        <v>0</v>
      </c>
      <c r="E79" s="1">
        <f t="array" ref="E79">INDEX(Исходные_данные_2__2[Дата продажи],MATCH('Исходные данные 2'!B79&amp;'Исходные данные 2'!C79,Исходные_данные_2__2[ФИО покупателя]&amp;Исходные_данные_2__2[Наименование товара],0))</f>
        <v>44977</v>
      </c>
      <c r="F79" t="str">
        <f t="array" ref="F79">INDEX(Исходные_данные_2__2[[Город отправки ]],MATCH('Исходные данные 2'!B79&amp;'Исходные данные 2'!C79,Исходные_данные_2__2[ФИО покупателя]&amp;Исходные_данные_2__2[Наименование товара],0))</f>
        <v>Вологда</v>
      </c>
    </row>
    <row r="80" spans="1:6" x14ac:dyDescent="0.25">
      <c r="A80" s="2" t="s">
        <v>419</v>
      </c>
      <c r="B80" t="s">
        <v>231</v>
      </c>
      <c r="C80" t="s">
        <v>8</v>
      </c>
      <c r="D80">
        <v>0.05</v>
      </c>
      <c r="E80" s="1">
        <f t="array" ref="E80">INDEX(Исходные_данные_2__2[Дата продажи],MATCH('Исходные данные 2'!B80&amp;'Исходные данные 2'!C80,Исходные_данные_2__2[ФИО покупателя]&amp;Исходные_данные_2__2[Наименование товара],0))</f>
        <v>44977</v>
      </c>
      <c r="F80" t="str">
        <f t="array" ref="F80">INDEX(Исходные_данные_2__2[[Город отправки ]],MATCH('Исходные данные 2'!B80&amp;'Исходные данные 2'!C80,Исходные_данные_2__2[ФИО покупателя]&amp;Исходные_данные_2__2[Наименование товара],0))</f>
        <v>Вологда</v>
      </c>
    </row>
    <row r="81" spans="1:6" x14ac:dyDescent="0.25">
      <c r="A81" s="2" t="s">
        <v>419</v>
      </c>
      <c r="B81" t="s">
        <v>349</v>
      </c>
      <c r="C81" t="s">
        <v>8</v>
      </c>
      <c r="D81">
        <v>0</v>
      </c>
      <c r="E81" s="1">
        <f t="array" ref="E81">INDEX(Исходные_данные_2__2[Дата продажи],MATCH('Исходные данные 2'!B81&amp;'Исходные данные 2'!C81,Исходные_данные_2__2[ФИО покупателя]&amp;Исходные_данные_2__2[Наименование товара],0))</f>
        <v>45003</v>
      </c>
      <c r="F81" t="str">
        <f t="array" ref="F81">INDEX(Исходные_данные_2__2[[Город отправки ]],MATCH('Исходные данные 2'!B81&amp;'Исходные данные 2'!C81,Исходные_данные_2__2[ФИО покупателя]&amp;Исходные_данные_2__2[Наименование товара],0))</f>
        <v>Петрозаводск</v>
      </c>
    </row>
    <row r="82" spans="1:6" x14ac:dyDescent="0.25">
      <c r="A82" s="2" t="s">
        <v>419</v>
      </c>
      <c r="B82" t="s">
        <v>177</v>
      </c>
      <c r="C82" t="s">
        <v>17</v>
      </c>
      <c r="D82">
        <v>0</v>
      </c>
      <c r="E82" s="1">
        <f t="array" ref="E82">INDEX(Исходные_данные_2__2[Дата продажи],MATCH('Исходные данные 2'!B82&amp;'Исходные данные 2'!C82,Исходные_данные_2__2[ФИО покупателя]&amp;Исходные_данные_2__2[Наименование товара],0))</f>
        <v>44963</v>
      </c>
      <c r="F82" t="str">
        <f t="array" ref="F82">INDEX(Исходные_данные_2__2[[Город отправки ]],MATCH('Исходные данные 2'!B82&amp;'Исходные данные 2'!C82,Исходные_данные_2__2[ФИО покупателя]&amp;Исходные_данные_2__2[Наименование товара],0))</f>
        <v>Мурманск</v>
      </c>
    </row>
    <row r="83" spans="1:6" x14ac:dyDescent="0.25">
      <c r="A83" s="2" t="s">
        <v>419</v>
      </c>
      <c r="B83" t="s">
        <v>170</v>
      </c>
      <c r="C83" t="s">
        <v>8</v>
      </c>
      <c r="D83">
        <v>0</v>
      </c>
      <c r="E83" s="1">
        <f t="array" ref="E83">INDEX(Исходные_данные_2__2[Дата продажи],MATCH('Исходные данные 2'!B83&amp;'Исходные данные 2'!C83,Исходные_данные_2__2[ФИО покупателя]&amp;Исходные_данные_2__2[Наименование товара],0))</f>
        <v>44962</v>
      </c>
      <c r="F83" t="str">
        <f t="array" ref="F83">INDEX(Исходные_данные_2__2[[Город отправки ]],MATCH('Исходные данные 2'!B83&amp;'Исходные данные 2'!C83,Исходные_данные_2__2[ФИО покупателя]&amp;Исходные_данные_2__2[Наименование товара],0))</f>
        <v>Санкт-Петерубрг</v>
      </c>
    </row>
    <row r="84" spans="1:6" x14ac:dyDescent="0.25">
      <c r="A84" s="2" t="s">
        <v>419</v>
      </c>
      <c r="B84" t="s">
        <v>72</v>
      </c>
      <c r="C84" t="s">
        <v>8</v>
      </c>
      <c r="D84">
        <v>0</v>
      </c>
      <c r="E84" s="1">
        <f t="array" ref="E84">INDEX(Исходные_данные_2__2[Дата продажи],MATCH('Исходные данные 2'!B84&amp;'Исходные данные 2'!C84,Исходные_данные_2__2[ФИО покупателя]&amp;Исходные_данные_2__2[Наименование товара],0))</f>
        <v>44940</v>
      </c>
      <c r="F84" t="str">
        <f t="array" ref="F84">INDEX(Исходные_данные_2__2[[Город отправки ]],MATCH('Исходные данные 2'!B84&amp;'Исходные данные 2'!C84,Исходные_данные_2__2[ФИО покупателя]&amp;Исходные_данные_2__2[Наименование товара],0))</f>
        <v>Санкт-Петерубрг</v>
      </c>
    </row>
    <row r="85" spans="1:6" x14ac:dyDescent="0.25">
      <c r="A85" s="2" t="s">
        <v>419</v>
      </c>
      <c r="B85" t="s">
        <v>407</v>
      </c>
      <c r="C85" t="s">
        <v>8</v>
      </c>
      <c r="D85">
        <v>0</v>
      </c>
      <c r="E85" s="1">
        <f t="array" ref="E85">INDEX(Исходные_данные_2__2[Дата продажи],MATCH('Исходные данные 2'!B85&amp;'Исходные данные 2'!C85,Исходные_данные_2__2[ФИО покупателя]&amp;Исходные_данные_2__2[Наименование товара],0))</f>
        <v>45015</v>
      </c>
      <c r="F85" t="str">
        <f t="array" ref="F85">INDEX(Исходные_данные_2__2[[Город отправки ]],MATCH('Исходные данные 2'!B85&amp;'Исходные данные 2'!C85,Исходные_данные_2__2[ФИО покупателя]&amp;Исходные_данные_2__2[Наименование товара],0))</f>
        <v>Псков</v>
      </c>
    </row>
    <row r="86" spans="1:6" x14ac:dyDescent="0.25">
      <c r="A86" s="2" t="s">
        <v>419</v>
      </c>
      <c r="B86" t="s">
        <v>232</v>
      </c>
      <c r="C86" t="s">
        <v>8</v>
      </c>
      <c r="D86">
        <v>0</v>
      </c>
      <c r="E86" s="1">
        <f t="array" ref="E86">INDEX(Исходные_данные_2__2[Дата продажи],MATCH('Исходные данные 2'!B86&amp;'Исходные данные 2'!C86,Исходные_данные_2__2[ФИО покупателя]&amp;Исходные_данные_2__2[Наименование товара],0))</f>
        <v>44977</v>
      </c>
      <c r="F86" t="str">
        <f t="array" ref="F86">INDEX(Исходные_данные_2__2[[Город отправки ]],MATCH('Исходные данные 2'!B86&amp;'Исходные данные 2'!C86,Исходные_данные_2__2[ФИО покупателя]&amp;Исходные_данные_2__2[Наименование товара],0))</f>
        <v>Петрозаводск</v>
      </c>
    </row>
    <row r="87" spans="1:6" x14ac:dyDescent="0.25">
      <c r="A87" s="2" t="s">
        <v>419</v>
      </c>
      <c r="B87" t="s">
        <v>388</v>
      </c>
      <c r="C87" t="s">
        <v>15</v>
      </c>
      <c r="D87">
        <v>0</v>
      </c>
      <c r="E87" s="1">
        <f t="array" ref="E87">INDEX(Исходные_данные_2__2[Дата продажи],MATCH('Исходные данные 2'!B87&amp;'Исходные данные 2'!C87,Исходные_данные_2__2[ФИО покупателя]&amp;Исходные_данные_2__2[Наименование товара],0))</f>
        <v>45010</v>
      </c>
      <c r="F87" t="str">
        <f t="array" ref="F87">INDEX(Исходные_данные_2__2[[Город отправки ]],MATCH('Исходные данные 2'!B87&amp;'Исходные данные 2'!C87,Исходные_данные_2__2[ФИО покупателя]&amp;Исходные_данные_2__2[Наименование товара],0))</f>
        <v>Псков</v>
      </c>
    </row>
    <row r="88" spans="1:6" x14ac:dyDescent="0.25">
      <c r="A88" s="2" t="s">
        <v>419</v>
      </c>
      <c r="B88" t="s">
        <v>35</v>
      </c>
      <c r="C88" t="s">
        <v>22</v>
      </c>
      <c r="D88">
        <v>0</v>
      </c>
      <c r="E88" s="1">
        <f t="array" ref="E88">INDEX(Исходные_данные_2__2[Дата продажи],MATCH('Исходные данные 2'!B88&amp;'Исходные данные 2'!C88,Исходные_данные_2__2[ФИО покупателя]&amp;Исходные_данные_2__2[Наименование товара],0))</f>
        <v>44933</v>
      </c>
      <c r="F88" t="str">
        <f t="array" ref="F88">INDEX(Исходные_данные_2__2[[Город отправки ]],MATCH('Исходные данные 2'!B88&amp;'Исходные данные 2'!C88,Исходные_данные_2__2[ФИО покупателя]&amp;Исходные_данные_2__2[Наименование товара],0))</f>
        <v>Санкт-Петерубрг</v>
      </c>
    </row>
    <row r="89" spans="1:6" x14ac:dyDescent="0.25">
      <c r="A89" s="2" t="s">
        <v>419</v>
      </c>
      <c r="B89" t="s">
        <v>282</v>
      </c>
      <c r="C89" t="s">
        <v>22</v>
      </c>
      <c r="D89">
        <v>0</v>
      </c>
      <c r="E89" s="1">
        <f t="array" ref="E89">INDEX(Исходные_данные_2__2[Дата продажи],MATCH('Исходные данные 2'!B89&amp;'Исходные данные 2'!C89,Исходные_данные_2__2[ФИО покупателя]&amp;Исходные_данные_2__2[Наименование товара],0))</f>
        <v>44989</v>
      </c>
      <c r="F89" t="str">
        <f t="array" ref="F89">INDEX(Исходные_данные_2__2[[Город отправки ]],MATCH('Исходные данные 2'!B89&amp;'Исходные данные 2'!C89,Исходные_данные_2__2[ФИО покупателя]&amp;Исходные_данные_2__2[Наименование товара],0))</f>
        <v>Санкт-Петерубрг</v>
      </c>
    </row>
    <row r="90" spans="1:6" x14ac:dyDescent="0.25">
      <c r="A90" s="2" t="s">
        <v>419</v>
      </c>
      <c r="B90" t="s">
        <v>283</v>
      </c>
      <c r="C90" t="s">
        <v>22</v>
      </c>
      <c r="D90">
        <v>0</v>
      </c>
      <c r="E90" s="1">
        <f t="array" ref="E90">INDEX(Исходные_данные_2__2[Дата продажи],MATCH('Исходные данные 2'!B90&amp;'Исходные данные 2'!C90,Исходные_данные_2__2[ФИО покупателя]&amp;Исходные_данные_2__2[Наименование товара],0))</f>
        <v>44989</v>
      </c>
      <c r="F90" t="str">
        <f t="array" ref="F90">INDEX(Исходные_данные_2__2[[Город отправки ]],MATCH('Исходные данные 2'!B90&amp;'Исходные данные 2'!C90,Исходные_данные_2__2[ФИО покупателя]&amp;Исходные_данные_2__2[Наименование товара],0))</f>
        <v>Санкт-Петерубрг</v>
      </c>
    </row>
    <row r="91" spans="1:6" x14ac:dyDescent="0.25">
      <c r="A91" s="2" t="s">
        <v>419</v>
      </c>
      <c r="B91" t="s">
        <v>59</v>
      </c>
      <c r="C91" t="s">
        <v>8</v>
      </c>
      <c r="D91">
        <v>0</v>
      </c>
      <c r="E91" s="1">
        <f t="array" ref="E91">INDEX(Исходные_данные_2__2[Дата продажи],MATCH('Исходные данные 2'!B91&amp;'Исходные данные 2'!C91,Исходные_данные_2__2[ФИО покупателя]&amp;Исходные_данные_2__2[Наименование товара],0))</f>
        <v>44938</v>
      </c>
      <c r="F91" t="str">
        <f t="array" ref="F91">INDEX(Исходные_данные_2__2[[Город отправки ]],MATCH('Исходные данные 2'!B91&amp;'Исходные данные 2'!C91,Исходные_данные_2__2[ФИО покупателя]&amp;Исходные_данные_2__2[Наименование товара],0))</f>
        <v>Вологда</v>
      </c>
    </row>
    <row r="92" spans="1:6" x14ac:dyDescent="0.25">
      <c r="A92" s="2" t="s">
        <v>419</v>
      </c>
      <c r="B92" t="s">
        <v>219</v>
      </c>
      <c r="C92" t="s">
        <v>15</v>
      </c>
      <c r="D92">
        <v>0</v>
      </c>
      <c r="E92" s="1">
        <f t="array" ref="E92">INDEX(Исходные_данные_2__2[Дата продажи],MATCH('Исходные данные 2'!B92&amp;'Исходные данные 2'!C92,Исходные_данные_2__2[ФИО покупателя]&amp;Исходные_данные_2__2[Наименование товара],0))</f>
        <v>44972</v>
      </c>
      <c r="F92" t="str">
        <f t="array" ref="F92">INDEX(Исходные_данные_2__2[[Город отправки ]],MATCH('Исходные данные 2'!B92&amp;'Исходные данные 2'!C92,Исходные_данные_2__2[ФИО покупателя]&amp;Исходные_данные_2__2[Наименование товара],0))</f>
        <v>Великий Новгород</v>
      </c>
    </row>
    <row r="93" spans="1:6" x14ac:dyDescent="0.25">
      <c r="A93" s="2" t="s">
        <v>419</v>
      </c>
      <c r="B93" t="s">
        <v>340</v>
      </c>
      <c r="C93" t="s">
        <v>5</v>
      </c>
      <c r="D93">
        <v>0</v>
      </c>
      <c r="E93" s="1">
        <f t="array" ref="E93">INDEX(Исходные_данные_2__2[Дата продажи],MATCH('Исходные данные 2'!B93&amp;'Исходные данные 2'!C93,Исходные_данные_2__2[ФИО покупателя]&amp;Исходные_данные_2__2[Наименование товара],0))</f>
        <v>45001</v>
      </c>
      <c r="F93" t="str">
        <f t="array" ref="F93">INDEX(Исходные_данные_2__2[[Город отправки ]],MATCH('Исходные данные 2'!B93&amp;'Исходные данные 2'!C93,Исходные_данные_2__2[ФИО покупателя]&amp;Исходные_данные_2__2[Наименование товара],0))</f>
        <v>Петрозаводск</v>
      </c>
    </row>
    <row r="94" spans="1:6" x14ac:dyDescent="0.25">
      <c r="A94" s="2" t="s">
        <v>419</v>
      </c>
      <c r="B94" t="s">
        <v>287</v>
      </c>
      <c r="C94" t="s">
        <v>15</v>
      </c>
      <c r="D94">
        <v>0</v>
      </c>
      <c r="E94" s="1">
        <f t="array" ref="E94">INDEX(Исходные_данные_2__2[Дата продажи],MATCH('Исходные данные 2'!B94&amp;'Исходные данные 2'!C94,Исходные_данные_2__2[ФИО покупателя]&amp;Исходные_данные_2__2[Наименование товара],0))</f>
        <v>44990</v>
      </c>
      <c r="F94" t="str">
        <f t="array" ref="F94">INDEX(Исходные_данные_2__2[[Город отправки ]],MATCH('Исходные данные 2'!B94&amp;'Исходные данные 2'!C94,Исходные_данные_2__2[ФИО покупателя]&amp;Исходные_данные_2__2[Наименование товара],0))</f>
        <v>Санкт-Петерубрг</v>
      </c>
    </row>
    <row r="95" spans="1:6" x14ac:dyDescent="0.25">
      <c r="A95" s="2" t="s">
        <v>419</v>
      </c>
      <c r="B95" t="s">
        <v>200</v>
      </c>
      <c r="C95" t="s">
        <v>15</v>
      </c>
      <c r="D95">
        <v>0</v>
      </c>
      <c r="E95" s="1">
        <f t="array" ref="E95">INDEX(Исходные_данные_2__2[Дата продажи],MATCH('Исходные данные 2'!B95&amp;'Исходные данные 2'!C95,Исходные_данные_2__2[ФИО покупателя]&amp;Исходные_данные_2__2[Наименование товара],0))</f>
        <v>44967</v>
      </c>
      <c r="F95" t="str">
        <f t="array" ref="F95">INDEX(Исходные_данные_2__2[[Город отправки ]],MATCH('Исходные данные 2'!B95&amp;'Исходные данные 2'!C95,Исходные_данные_2__2[ФИО покупателя]&amp;Исходные_данные_2__2[Наименование товара],0))</f>
        <v>Санкт-Петерубрг</v>
      </c>
    </row>
    <row r="96" spans="1:6" x14ac:dyDescent="0.25">
      <c r="A96" s="2" t="s">
        <v>419</v>
      </c>
      <c r="B96" t="s">
        <v>390</v>
      </c>
      <c r="C96" t="s">
        <v>17</v>
      </c>
      <c r="D96">
        <v>0</v>
      </c>
      <c r="E96" s="1">
        <f t="array" ref="E96">INDEX(Исходные_данные_2__2[Дата продажи],MATCH('Исходные данные 2'!B96&amp;'Исходные данные 2'!C96,Исходные_данные_2__2[ФИО покупателя]&amp;Исходные_данные_2__2[Наименование товара],0))</f>
        <v>45010</v>
      </c>
      <c r="F96" t="str">
        <f t="array" ref="F96">INDEX(Исходные_данные_2__2[[Город отправки ]],MATCH('Исходные данные 2'!B96&amp;'Исходные данные 2'!C96,Исходные_данные_2__2[ФИО покупателя]&amp;Исходные_данные_2__2[Наименование товара],0))</f>
        <v>Псков</v>
      </c>
    </row>
    <row r="97" spans="1:6" x14ac:dyDescent="0.25">
      <c r="A97" s="2" t="s">
        <v>419</v>
      </c>
      <c r="B97" t="s">
        <v>309</v>
      </c>
      <c r="C97" t="s">
        <v>15</v>
      </c>
      <c r="D97">
        <v>0</v>
      </c>
      <c r="E97" s="1">
        <f t="array" ref="E97">INDEX(Исходные_данные_2__2[Дата продажи],MATCH('Исходные данные 2'!B97&amp;'Исходные данные 2'!C97,Исходные_данные_2__2[ФИО покупателя]&amp;Исходные_данные_2__2[Наименование товара],0))</f>
        <v>44995</v>
      </c>
      <c r="F97" t="str">
        <f t="array" ref="F97">INDEX(Исходные_данные_2__2[[Город отправки ]],MATCH('Исходные данные 2'!B97&amp;'Исходные данные 2'!C97,Исходные_данные_2__2[ФИО покупателя]&amp;Исходные_данные_2__2[Наименование товара],0))</f>
        <v>Санкт-Петерубрг</v>
      </c>
    </row>
    <row r="98" spans="1:6" x14ac:dyDescent="0.25">
      <c r="A98" s="2" t="s">
        <v>419</v>
      </c>
      <c r="B98" t="s">
        <v>27</v>
      </c>
      <c r="C98" t="s">
        <v>15</v>
      </c>
      <c r="D98">
        <v>0</v>
      </c>
      <c r="E98" s="1">
        <f t="array" ref="E98">INDEX(Исходные_данные_2__2[Дата продажи],MATCH('Исходные данные 2'!B98&amp;'Исходные данные 2'!C98,Исходные_данные_2__2[ФИО покупателя]&amp;Исходные_данные_2__2[Наименование товара],0))</f>
        <v>44930</v>
      </c>
      <c r="F98" t="str">
        <f t="array" ref="F98">INDEX(Исходные_данные_2__2[[Город отправки ]],MATCH('Исходные данные 2'!B98&amp;'Исходные данные 2'!C98,Исходные_данные_2__2[ФИО покупателя]&amp;Исходные_данные_2__2[Наименование товара],0))</f>
        <v>Санкт-Петерубрг</v>
      </c>
    </row>
    <row r="99" spans="1:6" x14ac:dyDescent="0.25">
      <c r="A99" s="2" t="s">
        <v>419</v>
      </c>
      <c r="B99" t="s">
        <v>117</v>
      </c>
      <c r="C99" t="s">
        <v>15</v>
      </c>
      <c r="D99">
        <v>0</v>
      </c>
      <c r="E99" s="1">
        <f t="array" ref="E99">INDEX(Исходные_данные_2__2[Дата продажи],MATCH('Исходные данные 2'!B99&amp;'Исходные данные 2'!C99,Исходные_данные_2__2[ФИО покупателя]&amp;Исходные_данные_2__2[Наименование товара],0))</f>
        <v>44950</v>
      </c>
      <c r="F99" t="str">
        <f t="array" ref="F99">INDEX(Исходные_данные_2__2[[Город отправки ]],MATCH('Исходные данные 2'!B99&amp;'Исходные данные 2'!C99,Исходные_данные_2__2[ФИО покупателя]&amp;Исходные_данные_2__2[Наименование товара],0))</f>
        <v>Великий Новгород</v>
      </c>
    </row>
    <row r="100" spans="1:6" x14ac:dyDescent="0.25">
      <c r="A100" s="2" t="s">
        <v>419</v>
      </c>
      <c r="B100" t="s">
        <v>391</v>
      </c>
      <c r="C100" t="s">
        <v>8</v>
      </c>
      <c r="D100">
        <v>0</v>
      </c>
      <c r="E100" s="1">
        <f t="array" ref="E100">INDEX(Исходные_данные_2__2[Дата продажи],MATCH('Исходные данные 2'!B100&amp;'Исходные данные 2'!C100,Исходные_данные_2__2[ФИО покупателя]&amp;Исходные_данные_2__2[Наименование товара],0))</f>
        <v>45010</v>
      </c>
      <c r="F100" t="str">
        <f t="array" ref="F100">INDEX(Исходные_данные_2__2[[Город отправки ]],MATCH('Исходные данные 2'!B100&amp;'Исходные данные 2'!C100,Исходные_данные_2__2[ФИО покупателя]&amp;Исходные_данные_2__2[Наименование товара],0))</f>
        <v>Псков</v>
      </c>
    </row>
    <row r="101" spans="1:6" x14ac:dyDescent="0.25">
      <c r="A101" s="2" t="s">
        <v>419</v>
      </c>
      <c r="B101" t="s">
        <v>188</v>
      </c>
      <c r="C101" t="s">
        <v>17</v>
      </c>
      <c r="D101">
        <v>0</v>
      </c>
      <c r="E101" s="1">
        <f t="array" ref="E101">INDEX(Исходные_данные_2__2[Дата продажи],MATCH('Исходные данные 2'!B101&amp;'Исходные данные 2'!C101,Исходные_данные_2__2[ФИО покупателя]&amp;Исходные_данные_2__2[Наименование товара],0))</f>
        <v>44965</v>
      </c>
      <c r="F101" t="str">
        <f t="array" ref="F101">INDEX(Исходные_данные_2__2[[Город отправки ]],MATCH('Исходные данные 2'!B101&amp;'Исходные данные 2'!C101,Исходные_данные_2__2[ФИО покупателя]&amp;Исходные_данные_2__2[Наименование товара],0))</f>
        <v>Санкт-Петерубрг</v>
      </c>
    </row>
    <row r="102" spans="1:6" x14ac:dyDescent="0.25">
      <c r="A102" s="2" t="s">
        <v>419</v>
      </c>
      <c r="B102" t="s">
        <v>401</v>
      </c>
      <c r="C102" t="s">
        <v>17</v>
      </c>
      <c r="D102">
        <v>0</v>
      </c>
      <c r="E102" s="1">
        <f t="array" ref="E102">INDEX(Исходные_данные_2__2[Дата продажи],MATCH('Исходные данные 2'!B102&amp;'Исходные данные 2'!C102,Исходные_данные_2__2[ФИО покупателя]&amp;Исходные_данные_2__2[Наименование товара],0))</f>
        <v>45012</v>
      </c>
      <c r="F102" t="str">
        <f t="array" ref="F102">INDEX(Исходные_данные_2__2[[Город отправки ]],MATCH('Исходные данные 2'!B102&amp;'Исходные данные 2'!C102,Исходные_данные_2__2[ФИО покупателя]&amp;Исходные_данные_2__2[Наименование товара],0))</f>
        <v>Псков</v>
      </c>
    </row>
    <row r="103" spans="1:6" x14ac:dyDescent="0.25">
      <c r="A103" s="2" t="s">
        <v>419</v>
      </c>
      <c r="B103" t="s">
        <v>84</v>
      </c>
      <c r="C103" t="s">
        <v>22</v>
      </c>
      <c r="D103">
        <v>0</v>
      </c>
      <c r="E103" s="1">
        <f t="array" ref="E103">INDEX(Исходные_данные_2__2[Дата продажи],MATCH('Исходные данные 2'!B103&amp;'Исходные данные 2'!C103,Исходные_данные_2__2[ФИО покупателя]&amp;Исходные_данные_2__2[Наименование товара],0))</f>
        <v>44943</v>
      </c>
      <c r="F103" t="str">
        <f t="array" ref="F103">INDEX(Исходные_данные_2__2[[Город отправки ]],MATCH('Исходные данные 2'!B103&amp;'Исходные данные 2'!C103,Исходные_данные_2__2[ФИО покупателя]&amp;Исходные_данные_2__2[Наименование товара],0))</f>
        <v>Санкт-Петерубрг</v>
      </c>
    </row>
    <row r="104" spans="1:6" x14ac:dyDescent="0.25">
      <c r="A104" s="2" t="s">
        <v>419</v>
      </c>
      <c r="B104" t="s">
        <v>36</v>
      </c>
      <c r="C104" t="s">
        <v>37</v>
      </c>
      <c r="D104">
        <v>0</v>
      </c>
      <c r="E104" s="1">
        <f t="array" ref="E104">INDEX(Исходные_данные_2__2[Дата продажи],MATCH('Исходные данные 2'!B104&amp;'Исходные данные 2'!C104,Исходные_данные_2__2[ФИО покупателя]&amp;Исходные_данные_2__2[Наименование товара],0))</f>
        <v>44933</v>
      </c>
      <c r="F104" t="str">
        <f t="array" ref="F104">INDEX(Исходные_данные_2__2[[Город отправки ]],MATCH('Исходные данные 2'!B104&amp;'Исходные данные 2'!C104,Исходные_данные_2__2[ФИО покупателя]&amp;Исходные_данные_2__2[Наименование товара],0))</f>
        <v>Вологда</v>
      </c>
    </row>
    <row r="105" spans="1:6" x14ac:dyDescent="0.25">
      <c r="A105" s="2" t="s">
        <v>419</v>
      </c>
      <c r="B105" t="s">
        <v>326</v>
      </c>
      <c r="C105" t="s">
        <v>17</v>
      </c>
      <c r="D105">
        <v>0</v>
      </c>
      <c r="E105" s="1">
        <f t="array" ref="E105">INDEX(Исходные_данные_2__2[Дата продажи],MATCH('Исходные данные 2'!B105&amp;'Исходные данные 2'!C105,Исходные_данные_2__2[ФИО покупателя]&amp;Исходные_данные_2__2[Наименование товара],0))</f>
        <v>44998</v>
      </c>
      <c r="F105" t="str">
        <f t="array" ref="F105">INDEX(Исходные_данные_2__2[[Город отправки ]],MATCH('Исходные данные 2'!B105&amp;'Исходные данные 2'!C105,Исходные_данные_2__2[ФИО покупателя]&amp;Исходные_данные_2__2[Наименование товара],0))</f>
        <v>Великий Новгород</v>
      </c>
    </row>
    <row r="106" spans="1:6" x14ac:dyDescent="0.25">
      <c r="A106" s="2" t="s">
        <v>419</v>
      </c>
      <c r="B106" t="s">
        <v>190</v>
      </c>
      <c r="C106" t="s">
        <v>17</v>
      </c>
      <c r="D106">
        <v>0</v>
      </c>
      <c r="E106" s="1">
        <f t="array" ref="E106">INDEX(Исходные_данные_2__2[Дата продажи],MATCH('Исходные данные 2'!B106&amp;'Исходные данные 2'!C106,Исходные_данные_2__2[ФИО покупателя]&amp;Исходные_данные_2__2[Наименование товара],0))</f>
        <v>44965</v>
      </c>
      <c r="F106" t="str">
        <f t="array" ref="F106">INDEX(Исходные_данные_2__2[[Город отправки ]],MATCH('Исходные данные 2'!B106&amp;'Исходные данные 2'!C106,Исходные_данные_2__2[ФИО покупателя]&amp;Исходные_данные_2__2[Наименование товара],0))</f>
        <v>Санкт-Петерубрг</v>
      </c>
    </row>
    <row r="107" spans="1:6" x14ac:dyDescent="0.25">
      <c r="A107" s="2" t="s">
        <v>419</v>
      </c>
      <c r="B107" t="s">
        <v>372</v>
      </c>
      <c r="C107" t="s">
        <v>17</v>
      </c>
      <c r="D107">
        <v>0</v>
      </c>
      <c r="E107" s="1">
        <f t="array" ref="E107">INDEX(Исходные_данные_2__2[Дата продажи],MATCH('Исходные данные 2'!B107&amp;'Исходные данные 2'!C107,Исходные_данные_2__2[ФИО покупателя]&amp;Исходные_данные_2__2[Наименование товара],0))</f>
        <v>45007</v>
      </c>
      <c r="F107" t="str">
        <f t="array" ref="F107">INDEX(Исходные_данные_2__2[[Город отправки ]],MATCH('Исходные данные 2'!B107&amp;'Исходные данные 2'!C107,Исходные_данные_2__2[ФИО покупателя]&amp;Исходные_данные_2__2[Наименование товара],0))</f>
        <v>Псков</v>
      </c>
    </row>
    <row r="108" spans="1:6" x14ac:dyDescent="0.25">
      <c r="A108" s="2" t="s">
        <v>419</v>
      </c>
      <c r="B108" t="s">
        <v>123</v>
      </c>
      <c r="C108" t="s">
        <v>17</v>
      </c>
      <c r="D108">
        <v>0</v>
      </c>
      <c r="E108" s="1">
        <f t="array" ref="E108">INDEX(Исходные_данные_2__2[Дата продажи],MATCH('Исходные данные 2'!B108&amp;'Исходные данные 2'!C108,Исходные_данные_2__2[ФИО покупателя]&amp;Исходные_данные_2__2[Наименование товара],0))</f>
        <v>44952</v>
      </c>
      <c r="F108" t="str">
        <f t="array" ref="F108">INDEX(Исходные_данные_2__2[[Город отправки ]],MATCH('Исходные данные 2'!B108&amp;'Исходные данные 2'!C108,Исходные_данные_2__2[ФИО покупателя]&amp;Исходные_данные_2__2[Наименование товара],0))</f>
        <v>Великий Новгород</v>
      </c>
    </row>
    <row r="109" spans="1:6" x14ac:dyDescent="0.25">
      <c r="A109" s="2" t="s">
        <v>419</v>
      </c>
      <c r="B109" t="s">
        <v>19</v>
      </c>
      <c r="C109" t="s">
        <v>8</v>
      </c>
      <c r="D109">
        <v>0</v>
      </c>
      <c r="E109" s="1">
        <f t="array" ref="E109">INDEX(Исходные_данные_2__2[Дата продажи],MATCH('Исходные данные 2'!B109&amp;'Исходные данные 2'!C109,Исходные_данные_2__2[ФИО покупателя]&amp;Исходные_данные_2__2[Наименование товара],0))</f>
        <v>44928</v>
      </c>
      <c r="F109" t="str">
        <f t="array" ref="F109">INDEX(Исходные_данные_2__2[[Город отправки ]],MATCH('Исходные данные 2'!B109&amp;'Исходные данные 2'!C109,Исходные_данные_2__2[ФИО покупателя]&amp;Исходные_данные_2__2[Наименование товара],0))</f>
        <v>Вологда</v>
      </c>
    </row>
    <row r="110" spans="1:6" x14ac:dyDescent="0.25">
      <c r="A110" s="2" t="s">
        <v>419</v>
      </c>
      <c r="B110" t="s">
        <v>380</v>
      </c>
      <c r="C110" t="s">
        <v>8</v>
      </c>
      <c r="D110">
        <v>0</v>
      </c>
      <c r="E110" s="1">
        <f t="array" ref="E110">INDEX(Исходные_данные_2__2[Дата продажи],MATCH('Исходные данные 2'!B110&amp;'Исходные данные 2'!C110,Исходные_данные_2__2[ФИО покупателя]&amp;Исходные_данные_2__2[Наименование товара],0))</f>
        <v>45009</v>
      </c>
      <c r="F110" t="str">
        <f t="array" ref="F110">INDEX(Исходные_данные_2__2[[Город отправки ]],MATCH('Исходные данные 2'!B110&amp;'Исходные данные 2'!C110,Исходные_данные_2__2[ФИО покупателя]&amp;Исходные_данные_2__2[Наименование товара],0))</f>
        <v>Псков</v>
      </c>
    </row>
    <row r="111" spans="1:6" x14ac:dyDescent="0.25">
      <c r="A111" s="2" t="s">
        <v>419</v>
      </c>
      <c r="B111" t="s">
        <v>191</v>
      </c>
      <c r="C111" t="s">
        <v>37</v>
      </c>
      <c r="D111">
        <v>0</v>
      </c>
      <c r="E111" s="1">
        <f t="array" ref="E111">INDEX(Исходные_данные_2__2[Дата продажи],MATCH('Исходные данные 2'!B111&amp;'Исходные данные 2'!C111,Исходные_данные_2__2[ФИО покупателя]&amp;Исходные_данные_2__2[Наименование товара],0))</f>
        <v>44965</v>
      </c>
      <c r="F111" t="str">
        <f t="array" ref="F111">INDEX(Исходные_данные_2__2[[Город отправки ]],MATCH('Исходные данные 2'!B111&amp;'Исходные данные 2'!C111,Исходные_данные_2__2[ФИО покупателя]&amp;Исходные_данные_2__2[Наименование товара],0))</f>
        <v>Санкт-Петерубрг</v>
      </c>
    </row>
    <row r="112" spans="1:6" x14ac:dyDescent="0.25">
      <c r="A112" s="2" t="s">
        <v>419</v>
      </c>
      <c r="B112" t="s">
        <v>315</v>
      </c>
      <c r="C112" t="s">
        <v>17</v>
      </c>
      <c r="D112">
        <v>0</v>
      </c>
      <c r="E112" s="1">
        <f t="array" ref="E112">INDEX(Исходные_данные_2__2[Дата продажи],MATCH('Исходные данные 2'!B112&amp;'Исходные данные 2'!C112,Исходные_данные_2__2[ФИО покупателя]&amp;Исходные_данные_2__2[Наименование товара],0))</f>
        <v>44996</v>
      </c>
      <c r="F112" t="str">
        <f t="array" ref="F112">INDEX(Исходные_данные_2__2[[Город отправки ]],MATCH('Исходные данные 2'!B112&amp;'Исходные данные 2'!C112,Исходные_данные_2__2[ФИО покупателя]&amp;Исходные_данные_2__2[Наименование товара],0))</f>
        <v>Санкт-Петерубрг</v>
      </c>
    </row>
    <row r="113" spans="1:6" x14ac:dyDescent="0.25">
      <c r="A113" s="2" t="s">
        <v>419</v>
      </c>
      <c r="B113" t="s">
        <v>62</v>
      </c>
      <c r="C113" t="s">
        <v>37</v>
      </c>
      <c r="D113">
        <v>0</v>
      </c>
      <c r="E113" s="1">
        <f t="array" ref="E113">INDEX(Исходные_данные_2__2[Дата продажи],MATCH('Исходные данные 2'!B113&amp;'Исходные данные 2'!C113,Исходные_данные_2__2[ФИО покупателя]&amp;Исходные_данные_2__2[Наименование товара],0))</f>
        <v>44938</v>
      </c>
      <c r="F113" t="str">
        <f t="array" ref="F113">INDEX(Исходные_данные_2__2[[Город отправки ]],MATCH('Исходные данные 2'!B113&amp;'Исходные данные 2'!C113,Исходные_данные_2__2[ФИО покупателя]&amp;Исходные_данные_2__2[Наименование товара],0))</f>
        <v>Мурманск</v>
      </c>
    </row>
    <row r="114" spans="1:6" x14ac:dyDescent="0.25">
      <c r="A114" s="2" t="s">
        <v>419</v>
      </c>
      <c r="B114" t="s">
        <v>138</v>
      </c>
      <c r="C114" t="s">
        <v>22</v>
      </c>
      <c r="D114">
        <v>0.05</v>
      </c>
      <c r="E114" s="1">
        <f t="array" ref="E114">INDEX(Исходные_данные_2__2[Дата продажи],MATCH('Исходные данные 2'!B114&amp;'Исходные данные 2'!C114,Исходные_данные_2__2[ФИО покупателя]&amp;Исходные_данные_2__2[Наименование товара],0))</f>
        <v>44955</v>
      </c>
      <c r="F114" t="str">
        <f t="array" ref="F114">INDEX(Исходные_данные_2__2[[Город отправки ]],MATCH('Исходные данные 2'!B114&amp;'Исходные данные 2'!C114,Исходные_данные_2__2[ФИО покупателя]&amp;Исходные_данные_2__2[Наименование товара],0))</f>
        <v>Санкт-Петерубрг</v>
      </c>
    </row>
    <row r="115" spans="1:6" x14ac:dyDescent="0.25">
      <c r="A115" s="2" t="s">
        <v>419</v>
      </c>
      <c r="B115" t="s">
        <v>138</v>
      </c>
      <c r="C115" t="s">
        <v>15</v>
      </c>
      <c r="D115">
        <v>0</v>
      </c>
      <c r="E115" s="1">
        <f t="array" ref="E115">INDEX(Исходные_данные_2__2[Дата продажи],MATCH('Исходные данные 2'!B115&amp;'Исходные данные 2'!C115,Исходные_данные_2__2[ФИО покупателя]&amp;Исходные_данные_2__2[Наименование товара],0))</f>
        <v>44955</v>
      </c>
      <c r="F115" t="str">
        <f t="array" ref="F115">INDEX(Исходные_данные_2__2[[Город отправки ]],MATCH('Исходные данные 2'!B115&amp;'Исходные данные 2'!C115,Исходные_данные_2__2[ФИО покупателя]&amp;Исходные_данные_2__2[Наименование товара],0))</f>
        <v>Санкт-Петерубрг</v>
      </c>
    </row>
    <row r="116" spans="1:6" x14ac:dyDescent="0.25">
      <c r="A116" s="2" t="s">
        <v>419</v>
      </c>
      <c r="B116" t="s">
        <v>376</v>
      </c>
      <c r="C116" t="s">
        <v>8</v>
      </c>
      <c r="D116">
        <v>0</v>
      </c>
      <c r="E116" s="1">
        <f t="array" ref="E116">INDEX(Исходные_данные_2__2[Дата продажи],MATCH('Исходные данные 2'!B116&amp;'Исходные данные 2'!C116,Исходные_данные_2__2[ФИО покупателя]&amp;Исходные_данные_2__2[Наименование товара],0))</f>
        <v>45008</v>
      </c>
      <c r="F116" t="str">
        <f t="array" ref="F116">INDEX(Исходные_данные_2__2[[Город отправки ]],MATCH('Исходные данные 2'!B116&amp;'Исходные данные 2'!C116,Исходные_данные_2__2[ФИО покупателя]&amp;Исходные_данные_2__2[Наименование товара],0))</f>
        <v>Псков</v>
      </c>
    </row>
    <row r="117" spans="1:6" x14ac:dyDescent="0.25">
      <c r="A117" s="2" t="s">
        <v>419</v>
      </c>
      <c r="B117" t="s">
        <v>99</v>
      </c>
      <c r="C117" t="s">
        <v>8</v>
      </c>
      <c r="D117">
        <v>0</v>
      </c>
      <c r="E117" s="1">
        <f t="array" ref="E117">INDEX(Исходные_данные_2__2[Дата продажи],MATCH('Исходные данные 2'!B117&amp;'Исходные данные 2'!C117,Исходные_данные_2__2[ФИО покупателя]&amp;Исходные_данные_2__2[Наименование товара],0))</f>
        <v>44946</v>
      </c>
      <c r="F117" t="str">
        <f t="array" ref="F117">INDEX(Исходные_данные_2__2[[Город отправки ]],MATCH('Исходные данные 2'!B117&amp;'Исходные данные 2'!C117,Исходные_данные_2__2[ФИО покупателя]&amp;Исходные_данные_2__2[Наименование товара],0))</f>
        <v>Санкт-Петерубрг</v>
      </c>
    </row>
    <row r="118" spans="1:6" x14ac:dyDescent="0.25">
      <c r="A118" s="2" t="s">
        <v>419</v>
      </c>
      <c r="B118" t="s">
        <v>275</v>
      </c>
      <c r="C118" t="s">
        <v>22</v>
      </c>
      <c r="D118">
        <v>0</v>
      </c>
      <c r="E118" s="1">
        <f t="array" ref="E118">INDEX(Исходные_данные_2__2[Дата продажи],MATCH('Исходные данные 2'!B118&amp;'Исходные данные 2'!C118,Исходные_данные_2__2[ФИО покупателя]&amp;Исходные_данные_2__2[Наименование товара],0))</f>
        <v>44987</v>
      </c>
      <c r="F118" t="str">
        <f t="array" ref="F118">INDEX(Исходные_данные_2__2[[Город отправки ]],MATCH('Исходные данные 2'!B118&amp;'Исходные данные 2'!C118,Исходные_данные_2__2[ФИО покупателя]&amp;Исходные_данные_2__2[Наименование товара],0))</f>
        <v>Вологда</v>
      </c>
    </row>
    <row r="119" spans="1:6" x14ac:dyDescent="0.25">
      <c r="A119" s="2" t="s">
        <v>419</v>
      </c>
      <c r="B119" t="s">
        <v>301</v>
      </c>
      <c r="C119" t="s">
        <v>17</v>
      </c>
      <c r="D119">
        <v>0</v>
      </c>
      <c r="E119" s="1">
        <f t="array" ref="E119">INDEX(Исходные_данные_2__2[Дата продажи],MATCH('Исходные данные 2'!B119&amp;'Исходные данные 2'!C119,Исходные_данные_2__2[ФИО покупателя]&amp;Исходные_данные_2__2[Наименование товара],0))</f>
        <v>44992</v>
      </c>
      <c r="F119" t="str">
        <f t="array" ref="F119">INDEX(Исходные_данные_2__2[[Город отправки ]],MATCH('Исходные данные 2'!B119&amp;'Исходные данные 2'!C119,Исходные_данные_2__2[ФИО покупателя]&amp;Исходные_данные_2__2[Наименование товара],0))</f>
        <v>Санкт-Петерубрг</v>
      </c>
    </row>
    <row r="120" spans="1:6" x14ac:dyDescent="0.25">
      <c r="A120" s="2" t="s">
        <v>419</v>
      </c>
      <c r="B120" t="s">
        <v>26</v>
      </c>
      <c r="C120" t="s">
        <v>22</v>
      </c>
      <c r="D120">
        <v>0</v>
      </c>
      <c r="E120" s="1">
        <f t="array" ref="E120">INDEX(Исходные_данные_2__2[Дата продажи],MATCH('Исходные данные 2'!B120&amp;'Исходные данные 2'!C120,Исходные_данные_2__2[ФИО покупателя]&amp;Исходные_данные_2__2[Наименование товара],0))</f>
        <v>44929</v>
      </c>
      <c r="F120" t="str">
        <f t="array" ref="F120">INDEX(Исходные_данные_2__2[[Город отправки ]],MATCH('Исходные данные 2'!B120&amp;'Исходные данные 2'!C120,Исходные_данные_2__2[ФИО покупателя]&amp;Исходные_данные_2__2[Наименование товара],0))</f>
        <v>Санкт-Петерубрг</v>
      </c>
    </row>
    <row r="121" spans="1:6" x14ac:dyDescent="0.25">
      <c r="A121" s="2" t="s">
        <v>419</v>
      </c>
      <c r="B121" t="s">
        <v>220</v>
      </c>
      <c r="C121" t="s">
        <v>8</v>
      </c>
      <c r="D121">
        <v>0</v>
      </c>
      <c r="E121" s="1">
        <f t="array" ref="E121">INDEX(Исходные_данные_2__2[Дата продажи],MATCH('Исходные данные 2'!B121&amp;'Исходные данные 2'!C121,Исходные_данные_2__2[ФИО покупателя]&amp;Исходные_данные_2__2[Наименование товара],0))</f>
        <v>44972</v>
      </c>
      <c r="F121" t="str">
        <f t="array" ref="F121">INDEX(Исходные_данные_2__2[[Город отправки ]],MATCH('Исходные данные 2'!B121&amp;'Исходные данные 2'!C121,Исходные_данные_2__2[ФИО покупателя]&amp;Исходные_данные_2__2[Наименование товара],0))</f>
        <v>Великий Новгород</v>
      </c>
    </row>
    <row r="122" spans="1:6" x14ac:dyDescent="0.25">
      <c r="A122" s="2" t="s">
        <v>419</v>
      </c>
      <c r="B122" t="s">
        <v>7</v>
      </c>
      <c r="C122" t="s">
        <v>8</v>
      </c>
      <c r="D122">
        <v>0</v>
      </c>
      <c r="E122" s="1">
        <f t="array" ref="E122">INDEX(Исходные_данные_2__2[Дата продажи],MATCH('Исходные данные 2'!B122&amp;'Исходные данные 2'!C122,Исходные_данные_2__2[ФИО покупателя]&amp;Исходные_данные_2__2[Наименование товара],0))</f>
        <v>44927</v>
      </c>
      <c r="F122" t="str">
        <f t="array" ref="F122">INDEX(Исходные_данные_2__2[[Город отправки ]],MATCH('Исходные данные 2'!B122&amp;'Исходные данные 2'!C122,Исходные_данные_2__2[ФИО покупателя]&amp;Исходные_данные_2__2[Наименование товара],0))</f>
        <v>Санкт-Петерубрг</v>
      </c>
    </row>
    <row r="123" spans="1:6" x14ac:dyDescent="0.25">
      <c r="A123" s="2" t="s">
        <v>419</v>
      </c>
      <c r="B123" t="s">
        <v>133</v>
      </c>
      <c r="C123" t="s">
        <v>22</v>
      </c>
      <c r="D123">
        <v>0</v>
      </c>
      <c r="E123" s="1">
        <f t="array" ref="E123">INDEX(Исходные_данные_2__2[Дата продажи],MATCH('Исходные данные 2'!B123&amp;'Исходные данные 2'!C123,Исходные_данные_2__2[ФИО покупателя]&amp;Исходные_данные_2__2[Наименование товара],0))</f>
        <v>44954</v>
      </c>
      <c r="F123" t="str">
        <f t="array" ref="F123">INDEX(Исходные_данные_2__2[[Город отправки ]],MATCH('Исходные данные 2'!B123&amp;'Исходные данные 2'!C123,Исходные_данные_2__2[ФИО покупателя]&amp;Исходные_данные_2__2[Наименование товара],0))</f>
        <v>Великий Новгород</v>
      </c>
    </row>
    <row r="124" spans="1:6" x14ac:dyDescent="0.25">
      <c r="A124" s="2" t="s">
        <v>419</v>
      </c>
      <c r="B124" t="s">
        <v>236</v>
      </c>
      <c r="C124" t="s">
        <v>17</v>
      </c>
      <c r="D124">
        <v>0</v>
      </c>
      <c r="E124" s="1">
        <f t="array" ref="E124">INDEX(Исходные_данные_2__2[Дата продажи],MATCH('Исходные данные 2'!B124&amp;'Исходные данные 2'!C124,Исходные_данные_2__2[ФИО покупателя]&amp;Исходные_данные_2__2[Наименование товара],0))</f>
        <v>44977</v>
      </c>
      <c r="F124" t="str">
        <f t="array" ref="F124">INDEX(Исходные_данные_2__2[[Город отправки ]],MATCH('Исходные данные 2'!B124&amp;'Исходные данные 2'!C124,Исходные_данные_2__2[ФИО покупателя]&amp;Исходные_данные_2__2[Наименование товара],0))</f>
        <v>Петрозаводск</v>
      </c>
    </row>
    <row r="125" spans="1:6" x14ac:dyDescent="0.25">
      <c r="A125" s="2" t="s">
        <v>419</v>
      </c>
      <c r="B125" t="s">
        <v>293</v>
      </c>
      <c r="C125" t="s">
        <v>8</v>
      </c>
      <c r="D125">
        <v>0</v>
      </c>
      <c r="E125" s="1">
        <f t="array" ref="E125">INDEX(Исходные_данные_2__2[Дата продажи],MATCH('Исходные данные 2'!B125&amp;'Исходные данные 2'!C125,Исходные_данные_2__2[ФИО покупателя]&amp;Исходные_данные_2__2[Наименование товара],0))</f>
        <v>44991</v>
      </c>
      <c r="F125" t="str">
        <f t="array" ref="F125">INDEX(Исходные_данные_2__2[[Город отправки ]],MATCH('Исходные данные 2'!B125&amp;'Исходные данные 2'!C125,Исходные_данные_2__2[ФИО покупателя]&amp;Исходные_данные_2__2[Наименование товара],0))</f>
        <v>Санкт-Петерубрг</v>
      </c>
    </row>
    <row r="126" spans="1:6" x14ac:dyDescent="0.25">
      <c r="A126" s="2" t="s">
        <v>419</v>
      </c>
      <c r="B126" t="s">
        <v>355</v>
      </c>
      <c r="C126" t="s">
        <v>8</v>
      </c>
      <c r="D126">
        <v>0</v>
      </c>
      <c r="E126" s="1">
        <f t="array" ref="E126">INDEX(Исходные_данные_2__2[Дата продажи],MATCH('Исходные данные 2'!B126&amp;'Исходные данные 2'!C126,Исходные_данные_2__2[ФИО покупателя]&amp;Исходные_данные_2__2[Наименование товара],0))</f>
        <v>45004</v>
      </c>
      <c r="F126" t="str">
        <f t="array" ref="F126">INDEX(Исходные_данные_2__2[[Город отправки ]],MATCH('Исходные данные 2'!B126&amp;'Исходные данные 2'!C126,Исходные_данные_2__2[ФИО покупателя]&amp;Исходные_данные_2__2[Наименование товара],0))</f>
        <v>Псков</v>
      </c>
    </row>
    <row r="127" spans="1:6" x14ac:dyDescent="0.25">
      <c r="A127" s="2" t="s">
        <v>419</v>
      </c>
      <c r="B127" t="s">
        <v>142</v>
      </c>
      <c r="C127" t="s">
        <v>37</v>
      </c>
      <c r="D127">
        <v>0</v>
      </c>
      <c r="E127" s="1">
        <f t="array" ref="E127">INDEX(Исходные_данные_2__2[Дата продажи],MATCH('Исходные данные 2'!B127&amp;'Исходные данные 2'!C127,Исходные_данные_2__2[ФИО покупателя]&amp;Исходные_данные_2__2[Наименование товара],0))</f>
        <v>44956</v>
      </c>
      <c r="F127" t="str">
        <f t="array" ref="F127">INDEX(Исходные_данные_2__2[[Город отправки ]],MATCH('Исходные данные 2'!B127&amp;'Исходные данные 2'!C127,Исходные_данные_2__2[ФИО покупателя]&amp;Исходные_данные_2__2[Наименование товара],0))</f>
        <v>Санкт-Петерубрг</v>
      </c>
    </row>
    <row r="128" spans="1:6" x14ac:dyDescent="0.25">
      <c r="A128" s="2" t="s">
        <v>419</v>
      </c>
      <c r="B128" t="s">
        <v>38</v>
      </c>
      <c r="C128" t="s">
        <v>17</v>
      </c>
      <c r="D128">
        <v>0</v>
      </c>
      <c r="E128" s="1">
        <f t="array" ref="E128">INDEX(Исходные_данные_2__2[Дата продажи],MATCH('Исходные данные 2'!B128&amp;'Исходные данные 2'!C128,Исходные_данные_2__2[ФИО покупателя]&amp;Исходные_данные_2__2[Наименование товара],0))</f>
        <v>44933</v>
      </c>
      <c r="F128" t="str">
        <f t="array" ref="F128">INDEX(Исходные_данные_2__2[[Город отправки ]],MATCH('Исходные данные 2'!B128&amp;'Исходные данные 2'!C128,Исходные_данные_2__2[ФИО покупателя]&amp;Исходные_данные_2__2[Наименование товара],0))</f>
        <v>Санкт-Петерубрг</v>
      </c>
    </row>
    <row r="129" spans="1:6" x14ac:dyDescent="0.25">
      <c r="A129" s="2" t="s">
        <v>419</v>
      </c>
      <c r="B129" t="s">
        <v>202</v>
      </c>
      <c r="C129" t="s">
        <v>37</v>
      </c>
      <c r="D129">
        <v>0</v>
      </c>
      <c r="E129" s="1">
        <f t="array" ref="E129">INDEX(Исходные_данные_2__2[Дата продажи],MATCH('Исходные данные 2'!B129&amp;'Исходные данные 2'!C129,Исходные_данные_2__2[ФИО покупателя]&amp;Исходные_данные_2__2[Наименование товара],0))</f>
        <v>44967</v>
      </c>
      <c r="F129" t="str">
        <f t="array" ref="F129">INDEX(Исходные_данные_2__2[[Город отправки ]],MATCH('Исходные данные 2'!B129&amp;'Исходные данные 2'!C129,Исходные_данные_2__2[ФИО покупателя]&amp;Исходные_данные_2__2[Наименование товара],0))</f>
        <v>Санкт-Петерубрг</v>
      </c>
    </row>
    <row r="130" spans="1:6" x14ac:dyDescent="0.25">
      <c r="A130" s="2" t="s">
        <v>419</v>
      </c>
      <c r="B130" t="s">
        <v>106</v>
      </c>
      <c r="C130" t="s">
        <v>37</v>
      </c>
      <c r="D130">
        <v>0</v>
      </c>
      <c r="E130" s="1">
        <f t="array" ref="E130">INDEX(Исходные_данные_2__2[Дата продажи],MATCH('Исходные данные 2'!B130&amp;'Исходные данные 2'!C130,Исходные_данные_2__2[ФИО покупателя]&amp;Исходные_данные_2__2[Наименование товара],0))</f>
        <v>44948</v>
      </c>
      <c r="F130" t="str">
        <f t="array" ref="F130">INDEX(Исходные_данные_2__2[[Город отправки ]],MATCH('Исходные данные 2'!B130&amp;'Исходные данные 2'!C130,Исходные_данные_2__2[ФИО покупателя]&amp;Исходные_данные_2__2[Наименование товара],0))</f>
        <v>Вологда</v>
      </c>
    </row>
    <row r="131" spans="1:6" x14ac:dyDescent="0.25">
      <c r="A131" s="2" t="s">
        <v>419</v>
      </c>
      <c r="B131" t="s">
        <v>127</v>
      </c>
      <c r="C131" t="s">
        <v>15</v>
      </c>
      <c r="D131">
        <v>0</v>
      </c>
      <c r="E131" s="1">
        <f t="array" ref="E131">INDEX(Исходные_данные_2__2[Дата продажи],MATCH('Исходные данные 2'!B131&amp;'Исходные данные 2'!C131,Исходные_данные_2__2[ФИО покупателя]&amp;Исходные_данные_2__2[Наименование товара],0))</f>
        <v>44953</v>
      </c>
      <c r="F131" t="str">
        <f t="array" ref="F131">INDEX(Исходные_данные_2__2[[Город отправки ]],MATCH('Исходные данные 2'!B131&amp;'Исходные данные 2'!C131,Исходные_данные_2__2[ФИО покупателя]&amp;Исходные_данные_2__2[Наименование товара],0))</f>
        <v>Великий Новгород</v>
      </c>
    </row>
    <row r="132" spans="1:6" x14ac:dyDescent="0.25">
      <c r="A132" s="2" t="s">
        <v>419</v>
      </c>
      <c r="B132" t="s">
        <v>348</v>
      </c>
      <c r="C132" t="s">
        <v>37</v>
      </c>
      <c r="D132">
        <v>0</v>
      </c>
      <c r="E132" s="1">
        <f t="array" ref="E132">INDEX(Исходные_данные_2__2[Дата продажи],MATCH('Исходные данные 2'!B132&amp;'Исходные данные 2'!C132,Исходные_данные_2__2[ФИО покупателя]&amp;Исходные_данные_2__2[Наименование товара],0))</f>
        <v>45002</v>
      </c>
      <c r="F132" t="str">
        <f t="array" ref="F132">INDEX(Исходные_данные_2__2[[Город отправки ]],MATCH('Исходные данные 2'!B132&amp;'Исходные данные 2'!C132,Исходные_данные_2__2[ФИО покупателя]&amp;Исходные_данные_2__2[Наименование товара],0))</f>
        <v>Вологда</v>
      </c>
    </row>
    <row r="133" spans="1:6" x14ac:dyDescent="0.25">
      <c r="A133" s="2" t="s">
        <v>419</v>
      </c>
      <c r="B133" t="s">
        <v>357</v>
      </c>
      <c r="C133" t="s">
        <v>17</v>
      </c>
      <c r="D133">
        <v>0</v>
      </c>
      <c r="E133" s="1">
        <f t="array" ref="E133">INDEX(Исходные_данные_2__2[Дата продажи],MATCH('Исходные данные 2'!B133&amp;'Исходные данные 2'!C133,Исходные_данные_2__2[ФИО покупателя]&amp;Исходные_данные_2__2[Наименование товара],0))</f>
        <v>45004</v>
      </c>
      <c r="F133" t="str">
        <f t="array" ref="F133">INDEX(Исходные_данные_2__2[[Город отправки ]],MATCH('Исходные данные 2'!B133&amp;'Исходные данные 2'!C133,Исходные_данные_2__2[ФИО покупателя]&amp;Исходные_данные_2__2[Наименование товара],0))</f>
        <v>Псков</v>
      </c>
    </row>
    <row r="134" spans="1:6" x14ac:dyDescent="0.25">
      <c r="A134" s="2" t="s">
        <v>419</v>
      </c>
      <c r="B134" t="s">
        <v>102</v>
      </c>
      <c r="C134" t="s">
        <v>5</v>
      </c>
      <c r="D134">
        <v>0</v>
      </c>
      <c r="E134" s="1">
        <f t="array" ref="E134">INDEX(Исходные_данные_2__2[Дата продажи],MATCH('Исходные данные 2'!B134&amp;'Исходные данные 2'!C134,Исходные_данные_2__2[ФИО покупателя]&amp;Исходные_данные_2__2[Наименование товара],0))</f>
        <v>44947</v>
      </c>
      <c r="F134" t="str">
        <f t="array" ref="F134">INDEX(Исходные_данные_2__2[[Город отправки ]],MATCH('Исходные данные 2'!B134&amp;'Исходные данные 2'!C134,Исходные_данные_2__2[ФИО покупателя]&amp;Исходные_данные_2__2[Наименование товара],0))</f>
        <v>Мурманск</v>
      </c>
    </row>
    <row r="135" spans="1:6" x14ac:dyDescent="0.25">
      <c r="A135" s="2" t="s">
        <v>419</v>
      </c>
      <c r="B135" t="s">
        <v>383</v>
      </c>
      <c r="C135" t="s">
        <v>17</v>
      </c>
      <c r="D135">
        <v>0</v>
      </c>
      <c r="E135" s="1">
        <f t="array" ref="E135">INDEX(Исходные_данные_2__2[Дата продажи],MATCH('Исходные данные 2'!B135&amp;'Исходные данные 2'!C135,Исходные_данные_2__2[ФИО покупателя]&amp;Исходные_данные_2__2[Наименование товара],0))</f>
        <v>45009</v>
      </c>
      <c r="F135" t="str">
        <f t="array" ref="F135">INDEX(Исходные_данные_2__2[[Город отправки ]],MATCH('Исходные данные 2'!B135&amp;'Исходные данные 2'!C135,Исходные_данные_2__2[ФИО покупателя]&amp;Исходные_данные_2__2[Наименование товара],0))</f>
        <v>Псков</v>
      </c>
    </row>
    <row r="136" spans="1:6" x14ac:dyDescent="0.25">
      <c r="A136" s="2" t="s">
        <v>419</v>
      </c>
      <c r="B136" t="s">
        <v>384</v>
      </c>
      <c r="C136" t="s">
        <v>8</v>
      </c>
      <c r="D136">
        <v>0</v>
      </c>
      <c r="E136" s="1">
        <f t="array" ref="E136">INDEX(Исходные_данные_2__2[Дата продажи],MATCH('Исходные данные 2'!B136&amp;'Исходные данные 2'!C136,Исходные_данные_2__2[ФИО покупателя]&amp;Исходные_данные_2__2[Наименование товара],0))</f>
        <v>45009</v>
      </c>
      <c r="F136" t="str">
        <f t="array" ref="F136">INDEX(Исходные_данные_2__2[[Город отправки ]],MATCH('Исходные данные 2'!B136&amp;'Исходные данные 2'!C136,Исходные_данные_2__2[ФИО покупателя]&amp;Исходные_данные_2__2[Наименование товара],0))</f>
        <v>Псков</v>
      </c>
    </row>
    <row r="137" spans="1:6" x14ac:dyDescent="0.25">
      <c r="A137" s="2" t="s">
        <v>419</v>
      </c>
      <c r="B137" t="s">
        <v>143</v>
      </c>
      <c r="C137" t="s">
        <v>8</v>
      </c>
      <c r="D137">
        <v>0</v>
      </c>
      <c r="E137" s="1">
        <f t="array" ref="E137">INDEX(Исходные_данные_2__2[Дата продажи],MATCH('Исходные данные 2'!B137&amp;'Исходные данные 2'!C137,Исходные_данные_2__2[ФИО покупателя]&amp;Исходные_данные_2__2[Наименование товара],0))</f>
        <v>44956</v>
      </c>
      <c r="F137" t="str">
        <f t="array" ref="F137">INDEX(Исходные_данные_2__2[[Город отправки ]],MATCH('Исходные данные 2'!B137&amp;'Исходные данные 2'!C137,Исходные_данные_2__2[ФИО покупателя]&amp;Исходные_данные_2__2[Наименование товара],0))</f>
        <v>Великий Новгород</v>
      </c>
    </row>
    <row r="138" spans="1:6" x14ac:dyDescent="0.25">
      <c r="A138" s="2" t="s">
        <v>419</v>
      </c>
      <c r="B138" t="s">
        <v>114</v>
      </c>
      <c r="C138" t="s">
        <v>8</v>
      </c>
      <c r="D138">
        <v>0</v>
      </c>
      <c r="E138" s="1">
        <f t="array" ref="E138">INDEX(Исходные_данные_2__2[Дата продажи],MATCH('Исходные данные 2'!B138&amp;'Исходные данные 2'!C138,Исходные_данные_2__2[ФИО покупателя]&amp;Исходные_данные_2__2[Наименование товара],0))</f>
        <v>44949</v>
      </c>
      <c r="F138" t="str">
        <f t="array" ref="F138">INDEX(Исходные_данные_2__2[[Город отправки ]],MATCH('Исходные данные 2'!B138&amp;'Исходные данные 2'!C138,Исходные_данные_2__2[ФИО покупателя]&amp;Исходные_данные_2__2[Наименование товара],0))</f>
        <v>Вологда</v>
      </c>
    </row>
    <row r="139" spans="1:6" x14ac:dyDescent="0.25">
      <c r="A139" s="2" t="s">
        <v>419</v>
      </c>
      <c r="B139" t="s">
        <v>90</v>
      </c>
      <c r="C139" t="s">
        <v>8</v>
      </c>
      <c r="D139">
        <v>0</v>
      </c>
      <c r="E139" s="1">
        <f t="array" ref="E139">INDEX(Исходные_данные_2__2[Дата продажи],MATCH('Исходные данные 2'!B139&amp;'Исходные данные 2'!C139,Исходные_данные_2__2[ФИО покупателя]&amp;Исходные_данные_2__2[Наименование товара],0))</f>
        <v>44944</v>
      </c>
      <c r="F139" t="str">
        <f t="array" ref="F139">INDEX(Исходные_данные_2__2[[Город отправки ]],MATCH('Исходные данные 2'!B139&amp;'Исходные данные 2'!C139,Исходные_данные_2__2[ФИО покупателя]&amp;Исходные_данные_2__2[Наименование товара],0))</f>
        <v>Петрозаводск</v>
      </c>
    </row>
    <row r="140" spans="1:6" x14ac:dyDescent="0.25">
      <c r="A140" s="2" t="s">
        <v>419</v>
      </c>
      <c r="B140" t="s">
        <v>53</v>
      </c>
      <c r="C140" t="s">
        <v>8</v>
      </c>
      <c r="D140">
        <v>0</v>
      </c>
      <c r="E140" s="1">
        <f t="array" ref="E140">INDEX(Исходные_данные_2__2[Дата продажи],MATCH('Исходные данные 2'!B140&amp;'Исходные данные 2'!C140,Исходные_данные_2__2[ФИО покупателя]&amp;Исходные_данные_2__2[Наименование товара],0))</f>
        <v>44936</v>
      </c>
      <c r="F140" t="str">
        <f t="array" ref="F140">INDEX(Исходные_данные_2__2[[Город отправки ]],MATCH('Исходные данные 2'!B140&amp;'Исходные данные 2'!C140,Исходные_данные_2__2[ФИО покупателя]&amp;Исходные_данные_2__2[Наименование товара],0))</f>
        <v>Мурманск</v>
      </c>
    </row>
    <row r="141" spans="1:6" x14ac:dyDescent="0.25">
      <c r="A141" s="2" t="s">
        <v>419</v>
      </c>
      <c r="B141" t="s">
        <v>252</v>
      </c>
      <c r="C141" t="s">
        <v>8</v>
      </c>
      <c r="D141">
        <v>0</v>
      </c>
      <c r="E141" s="1">
        <f t="array" ref="E141">INDEX(Исходные_данные_2__2[Дата продажи],MATCH('Исходные данные 2'!B141&amp;'Исходные данные 2'!C141,Исходные_данные_2__2[ФИО покупателя]&amp;Исходные_данные_2__2[Наименование товара],0))</f>
        <v>44981</v>
      </c>
      <c r="F141" t="str">
        <f t="array" ref="F141">INDEX(Исходные_данные_2__2[[Город отправки ]],MATCH('Исходные данные 2'!B141&amp;'Исходные данные 2'!C141,Исходные_данные_2__2[ФИО покупателя]&amp;Исходные_данные_2__2[Наименование товара],0))</f>
        <v>Вологда</v>
      </c>
    </row>
    <row r="142" spans="1:6" x14ac:dyDescent="0.25">
      <c r="A142" s="2" t="s">
        <v>419</v>
      </c>
      <c r="B142" t="s">
        <v>32</v>
      </c>
      <c r="C142" t="s">
        <v>17</v>
      </c>
      <c r="D142">
        <v>0</v>
      </c>
      <c r="E142" s="1">
        <f t="array" ref="E142">INDEX(Исходные_данные_2__2[Дата продажи],MATCH('Исходные данные 2'!B142&amp;'Исходные данные 2'!C142,Исходные_данные_2__2[ФИО покупателя]&amp;Исходные_данные_2__2[Наименование товара],0))</f>
        <v>44931</v>
      </c>
      <c r="F142" t="str">
        <f t="array" ref="F142">INDEX(Исходные_данные_2__2[[Город отправки ]],MATCH('Исходные данные 2'!B142&amp;'Исходные данные 2'!C142,Исходные_данные_2__2[ФИО покупателя]&amp;Исходные_данные_2__2[Наименование товара],0))</f>
        <v>Вологда</v>
      </c>
    </row>
    <row r="143" spans="1:6" x14ac:dyDescent="0.25">
      <c r="A143" s="2" t="s">
        <v>419</v>
      </c>
      <c r="B143" t="s">
        <v>245</v>
      </c>
      <c r="C143" t="s">
        <v>22</v>
      </c>
      <c r="D143">
        <v>0</v>
      </c>
      <c r="E143" s="1">
        <f t="array" ref="E143">INDEX(Исходные_данные_2__2[Дата продажи],MATCH('Исходные данные 2'!B143&amp;'Исходные данные 2'!C143,Исходные_данные_2__2[ФИО покупателя]&amp;Исходные_данные_2__2[Наименование товара],0))</f>
        <v>44979</v>
      </c>
      <c r="F143" t="str">
        <f t="array" ref="F143">INDEX(Исходные_данные_2__2[[Город отправки ]],MATCH('Исходные данные 2'!B143&amp;'Исходные данные 2'!C143,Исходные_данные_2__2[ФИО покупателя]&amp;Исходные_данные_2__2[Наименование товара],0))</f>
        <v>Мурманск</v>
      </c>
    </row>
    <row r="144" spans="1:6" x14ac:dyDescent="0.25">
      <c r="A144" s="2" t="s">
        <v>419</v>
      </c>
      <c r="B144" t="s">
        <v>343</v>
      </c>
      <c r="C144" t="s">
        <v>5</v>
      </c>
      <c r="D144">
        <v>0</v>
      </c>
      <c r="E144" s="1">
        <f t="array" ref="E144">INDEX(Исходные_данные_2__2[Дата продажи],MATCH('Исходные данные 2'!B144&amp;'Исходные данные 2'!C144,Исходные_данные_2__2[ФИО покупателя]&amp;Исходные_данные_2__2[Наименование товара],0))</f>
        <v>45001</v>
      </c>
      <c r="F144" t="str">
        <f t="array" ref="F144">INDEX(Исходные_данные_2__2[[Город отправки ]],MATCH('Исходные данные 2'!B144&amp;'Исходные данные 2'!C144,Исходные_данные_2__2[ФИО покупателя]&amp;Исходные_данные_2__2[Наименование товара],0))</f>
        <v>Санкт-Петерубрг</v>
      </c>
    </row>
    <row r="145" spans="1:6" x14ac:dyDescent="0.25">
      <c r="A145" s="2" t="s">
        <v>419</v>
      </c>
      <c r="B145" t="s">
        <v>66</v>
      </c>
      <c r="C145" t="s">
        <v>5</v>
      </c>
      <c r="D145">
        <v>0</v>
      </c>
      <c r="E145" s="1">
        <f t="array" ref="E145">INDEX(Исходные_данные_2__2[Дата продажи],MATCH('Исходные данные 2'!B145&amp;'Исходные данные 2'!C145,Исходные_данные_2__2[ФИО покупателя]&amp;Исходные_данные_2__2[Наименование товара],0))</f>
        <v>44938</v>
      </c>
      <c r="F145" t="str">
        <f t="array" ref="F145">INDEX(Исходные_данные_2__2[[Город отправки ]],MATCH('Исходные данные 2'!B145&amp;'Исходные данные 2'!C145,Исходные_данные_2__2[ФИО покупателя]&amp;Исходные_данные_2__2[Наименование товара],0))</f>
        <v>Санкт-Петерубрг</v>
      </c>
    </row>
    <row r="146" spans="1:6" x14ac:dyDescent="0.25">
      <c r="A146" s="2" t="s">
        <v>419</v>
      </c>
      <c r="B146" t="s">
        <v>237</v>
      </c>
      <c r="C146" t="s">
        <v>5</v>
      </c>
      <c r="D146">
        <v>0</v>
      </c>
      <c r="E146" s="1">
        <f t="array" ref="E146">INDEX(Исходные_данные_2__2[Дата продажи],MATCH('Исходные данные 2'!B146&amp;'Исходные данные 2'!C146,Исходные_данные_2__2[ФИО покупателя]&amp;Исходные_данные_2__2[Наименование товара],0))</f>
        <v>44977</v>
      </c>
      <c r="F146" t="str">
        <f t="array" ref="F146">INDEX(Исходные_данные_2__2[[Город отправки ]],MATCH('Исходные данные 2'!B146&amp;'Исходные данные 2'!C146,Исходные_данные_2__2[ФИО покупателя]&amp;Исходные_данные_2__2[Наименование товара],0))</f>
        <v>Петрозаводск</v>
      </c>
    </row>
    <row r="147" spans="1:6" x14ac:dyDescent="0.25">
      <c r="A147" s="2" t="s">
        <v>419</v>
      </c>
      <c r="B147" t="s">
        <v>184</v>
      </c>
      <c r="C147" t="s">
        <v>17</v>
      </c>
      <c r="D147">
        <v>0</v>
      </c>
      <c r="E147" s="1">
        <f t="array" ref="E147">INDEX(Исходные_данные_2__2[Дата продажи],MATCH('Исходные данные 2'!B147&amp;'Исходные данные 2'!C147,Исходные_данные_2__2[ФИО покупателя]&amp;Исходные_данные_2__2[Наименование товара],0))</f>
        <v>44964</v>
      </c>
      <c r="F147" t="str">
        <f t="array" ref="F147">INDEX(Исходные_данные_2__2[[Город отправки ]],MATCH('Исходные данные 2'!B147&amp;'Исходные данные 2'!C147,Исходные_данные_2__2[ФИО покупателя]&amp;Исходные_данные_2__2[Наименование товара],0))</f>
        <v>Вологда</v>
      </c>
    </row>
    <row r="148" spans="1:6" x14ac:dyDescent="0.25">
      <c r="A148" s="2" t="s">
        <v>419</v>
      </c>
      <c r="B148" t="s">
        <v>169</v>
      </c>
      <c r="C148" t="s">
        <v>5</v>
      </c>
      <c r="D148">
        <v>0</v>
      </c>
      <c r="E148" s="1">
        <f t="array" ref="E148">INDEX(Исходные_данные_2__2[Дата продажи],MATCH('Исходные данные 2'!B148&amp;'Исходные данные 2'!C148,Исходные_данные_2__2[ФИО покупателя]&amp;Исходные_данные_2__2[Наименование товара],0))</f>
        <v>44961</v>
      </c>
      <c r="F148" t="str">
        <f t="array" ref="F148">INDEX(Исходные_данные_2__2[[Город отправки ]],MATCH('Исходные данные 2'!B148&amp;'Исходные данные 2'!C148,Исходные_данные_2__2[ФИО покупателя]&amp;Исходные_данные_2__2[Наименование товара],0))</f>
        <v>Вологда</v>
      </c>
    </row>
    <row r="149" spans="1:6" x14ac:dyDescent="0.25">
      <c r="A149" s="2" t="s">
        <v>419</v>
      </c>
      <c r="B149" t="s">
        <v>119</v>
      </c>
      <c r="C149" t="s">
        <v>5</v>
      </c>
      <c r="D149">
        <v>0</v>
      </c>
      <c r="E149" s="1">
        <f t="array" ref="E149">INDEX(Исходные_данные_2__2[Дата продажи],MATCH('Исходные данные 2'!B149&amp;'Исходные данные 2'!C149,Исходные_данные_2__2[ФИО покупателя]&amp;Исходные_данные_2__2[Наименование товара],0))</f>
        <v>44950</v>
      </c>
      <c r="F149" t="str">
        <f t="array" ref="F149">INDEX(Исходные_данные_2__2[[Город отправки ]],MATCH('Исходные данные 2'!B149&amp;'Исходные данные 2'!C149,Исходные_данные_2__2[ФИО покупателя]&amp;Исходные_данные_2__2[Наименование товара],0))</f>
        <v>Мурманск</v>
      </c>
    </row>
    <row r="150" spans="1:6" x14ac:dyDescent="0.25">
      <c r="A150" s="2" t="s">
        <v>419</v>
      </c>
      <c r="B150" t="s">
        <v>157</v>
      </c>
      <c r="C150" t="s">
        <v>22</v>
      </c>
      <c r="D150">
        <v>0</v>
      </c>
      <c r="E150" s="1">
        <f t="array" ref="E150">INDEX(Исходные_данные_2__2[Дата продажи],MATCH('Исходные данные 2'!B150&amp;'Исходные данные 2'!C150,Исходные_данные_2__2[ФИО покупателя]&amp;Исходные_данные_2__2[Наименование товара],0))</f>
        <v>44959</v>
      </c>
      <c r="F150" t="str">
        <f t="array" ref="F150">INDEX(Исходные_данные_2__2[[Город отправки ]],MATCH('Исходные данные 2'!B150&amp;'Исходные данные 2'!C150,Исходные_данные_2__2[ФИО покупателя]&amp;Исходные_данные_2__2[Наименование товара],0))</f>
        <v>Санкт-Петерубрг</v>
      </c>
    </row>
    <row r="151" spans="1:6" x14ac:dyDescent="0.25">
      <c r="A151" s="2" t="s">
        <v>419</v>
      </c>
      <c r="B151" t="s">
        <v>44</v>
      </c>
      <c r="C151" t="s">
        <v>37</v>
      </c>
      <c r="D151">
        <v>0</v>
      </c>
      <c r="E151" s="1">
        <f t="array" ref="E151">INDEX(Исходные_данные_2__2[Дата продажи],MATCH('Исходные данные 2'!B151&amp;'Исходные данные 2'!C151,Исходные_данные_2__2[ФИО покупателя]&amp;Исходные_данные_2__2[Наименование товара],0))</f>
        <v>44934</v>
      </c>
      <c r="F151" t="str">
        <f t="array" ref="F151">INDEX(Исходные_данные_2__2[[Город отправки ]],MATCH('Исходные данные 2'!B151&amp;'Исходные данные 2'!C151,Исходные_данные_2__2[ФИО покупателя]&amp;Исходные_данные_2__2[Наименование товара],0))</f>
        <v>Вологда</v>
      </c>
    </row>
    <row r="152" spans="1:6" x14ac:dyDescent="0.25">
      <c r="A152" s="2" t="s">
        <v>419</v>
      </c>
      <c r="B152" t="s">
        <v>253</v>
      </c>
      <c r="C152" t="s">
        <v>5</v>
      </c>
      <c r="D152">
        <v>0</v>
      </c>
      <c r="E152" s="1">
        <f t="array" ref="E152">INDEX(Исходные_данные_2__2[Дата продажи],MATCH('Исходные данные 2'!B152&amp;'Исходные данные 2'!C152,Исходные_данные_2__2[ФИО покупателя]&amp;Исходные_данные_2__2[Наименование товара],0))</f>
        <v>44981</v>
      </c>
      <c r="F152" t="str">
        <f t="array" ref="F152">INDEX(Исходные_данные_2__2[[Город отправки ]],MATCH('Исходные данные 2'!B152&amp;'Исходные данные 2'!C152,Исходные_данные_2__2[ФИО покупателя]&amp;Исходные_данные_2__2[Наименование товара],0))</f>
        <v>Вологда</v>
      </c>
    </row>
    <row r="153" spans="1:6" x14ac:dyDescent="0.25">
      <c r="A153" s="2" t="s">
        <v>419</v>
      </c>
      <c r="B153" t="s">
        <v>124</v>
      </c>
      <c r="C153" t="s">
        <v>8</v>
      </c>
      <c r="D153">
        <v>0</v>
      </c>
      <c r="E153" s="1">
        <f t="array" ref="E153">INDEX(Исходные_данные_2__2[Дата продажи],MATCH('Исходные данные 2'!B153&amp;'Исходные данные 2'!C153,Исходные_данные_2__2[ФИО покупателя]&amp;Исходные_данные_2__2[Наименование товара],0))</f>
        <v>44952</v>
      </c>
      <c r="F153" t="str">
        <f t="array" ref="F153">INDEX(Исходные_данные_2__2[[Город отправки ]],MATCH('Исходные данные 2'!B153&amp;'Исходные данные 2'!C153,Исходные_данные_2__2[ФИО покупателя]&amp;Исходные_данные_2__2[Наименование товара],0))</f>
        <v>Санкт-Петерубрг</v>
      </c>
    </row>
    <row r="154" spans="1:6" x14ac:dyDescent="0.25">
      <c r="A154" s="2" t="s">
        <v>419</v>
      </c>
      <c r="B154" t="s">
        <v>145</v>
      </c>
      <c r="C154" t="s">
        <v>5</v>
      </c>
      <c r="D154">
        <v>0</v>
      </c>
      <c r="E154" s="1">
        <f t="array" ref="E154">INDEX(Исходные_данные_2__2[Дата продажи],MATCH('Исходные данные 2'!B154&amp;'Исходные данные 2'!C154,Исходные_данные_2__2[ФИО покупателя]&amp;Исходные_данные_2__2[Наименование товара],0))</f>
        <v>44956</v>
      </c>
      <c r="F154" t="str">
        <f t="array" ref="F154">INDEX(Исходные_данные_2__2[[Город отправки ]],MATCH('Исходные данные 2'!B154&amp;'Исходные данные 2'!C154,Исходные_данные_2__2[ФИО покупателя]&amp;Исходные_данные_2__2[Наименование товара],0))</f>
        <v>Великий Новгород</v>
      </c>
    </row>
    <row r="155" spans="1:6" x14ac:dyDescent="0.25">
      <c r="A155" s="2" t="s">
        <v>420</v>
      </c>
      <c r="B155" t="s">
        <v>218</v>
      </c>
      <c r="C155" t="s">
        <v>37</v>
      </c>
      <c r="D155">
        <v>0</v>
      </c>
      <c r="E155" s="1">
        <f t="array" ref="E155">INDEX(Исходные_данные_2__2[Дата продажи],MATCH('Исходные данные 2'!B155&amp;'Исходные данные 2'!C155,Исходные_данные_2__2[ФИО покупателя]&amp;Исходные_данные_2__2[Наименование товара],0))</f>
        <v>44972</v>
      </c>
      <c r="F155" t="str">
        <f t="array" ref="F155">INDEX(Исходные_данные_2__2[[Город отправки ]],MATCH('Исходные данные 2'!B155&amp;'Исходные данные 2'!C155,Исходные_данные_2__2[ФИО покупателя]&amp;Исходные_данные_2__2[Наименование товара],0))</f>
        <v>Ярославль</v>
      </c>
    </row>
    <row r="156" spans="1:6" x14ac:dyDescent="0.25">
      <c r="A156" s="2" t="s">
        <v>420</v>
      </c>
      <c r="B156" t="s">
        <v>14</v>
      </c>
      <c r="C156" t="s">
        <v>15</v>
      </c>
      <c r="D156">
        <v>0</v>
      </c>
      <c r="E156" s="1">
        <f t="array" ref="E156">INDEX(Исходные_данные_2__2[Дата продажи],MATCH('Исходные данные 2'!B156&amp;'Исходные данные 2'!C156,Исходные_данные_2__2[ФИО покупателя]&amp;Исходные_данные_2__2[Наименование товара],0))</f>
        <v>44928</v>
      </c>
      <c r="F156" t="str">
        <f t="array" ref="F156">INDEX(Исходные_данные_2__2[[Город отправки ]],MATCH('Исходные данные 2'!B156&amp;'Исходные данные 2'!C156,Исходные_данные_2__2[ФИО покупателя]&amp;Исходные_данные_2__2[Наименование товара],0))</f>
        <v>Москва</v>
      </c>
    </row>
    <row r="157" spans="1:6" x14ac:dyDescent="0.25">
      <c r="A157" s="2" t="s">
        <v>420</v>
      </c>
      <c r="B157" t="s">
        <v>103</v>
      </c>
      <c r="C157" t="s">
        <v>17</v>
      </c>
      <c r="D157">
        <v>0</v>
      </c>
      <c r="E157" s="1">
        <f t="array" ref="E157">INDEX(Исходные_данные_2__2[Дата продажи],MATCH('Исходные данные 2'!B157&amp;'Исходные данные 2'!C157,Исходные_данные_2__2[ФИО покупателя]&amp;Исходные_данные_2__2[Наименование товара],0))</f>
        <v>44948</v>
      </c>
      <c r="F157" t="str">
        <f t="array" ref="F157">INDEX(Исходные_данные_2__2[[Город отправки ]],MATCH('Исходные данные 2'!B157&amp;'Исходные данные 2'!C157,Исходные_данные_2__2[ФИО покупателя]&amp;Исходные_данные_2__2[Наименование товара],0))</f>
        <v>Тула</v>
      </c>
    </row>
    <row r="158" spans="1:6" x14ac:dyDescent="0.25">
      <c r="A158" s="2" t="s">
        <v>420</v>
      </c>
      <c r="B158" t="s">
        <v>136</v>
      </c>
      <c r="C158" t="s">
        <v>8</v>
      </c>
      <c r="D158">
        <v>0</v>
      </c>
      <c r="E158" s="1">
        <f t="array" ref="E158">INDEX(Исходные_данные_2__2[Дата продажи],MATCH('Исходные данные 2'!B158&amp;'Исходные данные 2'!C158,Исходные_данные_2__2[ФИО покупателя]&amp;Исходные_данные_2__2[Наименование товара],0))</f>
        <v>44955</v>
      </c>
      <c r="F158" t="str">
        <f t="array" ref="F158">INDEX(Исходные_данные_2__2[[Город отправки ]],MATCH('Исходные данные 2'!B158&amp;'Исходные данные 2'!C158,Исходные_данные_2__2[ФИО покупателя]&amp;Исходные_данные_2__2[Наименование товара],0))</f>
        <v>Владимир</v>
      </c>
    </row>
    <row r="159" spans="1:6" x14ac:dyDescent="0.25">
      <c r="A159" s="2" t="s">
        <v>420</v>
      </c>
      <c r="B159" t="s">
        <v>205</v>
      </c>
      <c r="C159" t="s">
        <v>37</v>
      </c>
      <c r="D159">
        <v>0</v>
      </c>
      <c r="E159" s="1">
        <f t="array" ref="E159">INDEX(Исходные_данные_2__2[Дата продажи],MATCH('Исходные данные 2'!B159&amp;'Исходные данные 2'!C159,Исходные_данные_2__2[ФИО покупателя]&amp;Исходные_данные_2__2[Наименование товара],0))</f>
        <v>44969</v>
      </c>
      <c r="F159" t="str">
        <f t="array" ref="F159">INDEX(Исходные_данные_2__2[[Город отправки ]],MATCH('Исходные данные 2'!B159&amp;'Исходные данные 2'!C159,Исходные_данные_2__2[ФИО покупателя]&amp;Исходные_данные_2__2[Наименование товара],0))</f>
        <v>Воронеж</v>
      </c>
    </row>
    <row r="160" spans="1:6" x14ac:dyDescent="0.25">
      <c r="A160" s="2" t="s">
        <v>420</v>
      </c>
      <c r="B160" t="s">
        <v>399</v>
      </c>
      <c r="C160" t="s">
        <v>17</v>
      </c>
      <c r="D160">
        <v>0</v>
      </c>
      <c r="E160" s="1">
        <f t="array" ref="E160">INDEX(Исходные_данные_2__2[Дата продажи],MATCH('Исходные данные 2'!B160&amp;'Исходные данные 2'!C160,Исходные_данные_2__2[ФИО покупателя]&amp;Исходные_данные_2__2[Наименование товара],0))</f>
        <v>45012</v>
      </c>
      <c r="F160" t="str">
        <f t="array" ref="F160">INDEX(Исходные_данные_2__2[[Город отправки ]],MATCH('Исходные данные 2'!B160&amp;'Исходные данные 2'!C160,Исходные_данные_2__2[ФИО покупателя]&amp;Исходные_данные_2__2[Наименование товара],0))</f>
        <v>Владимир</v>
      </c>
    </row>
    <row r="161" spans="1:6" x14ac:dyDescent="0.25">
      <c r="A161" s="2" t="s">
        <v>420</v>
      </c>
      <c r="B161" t="s">
        <v>368</v>
      </c>
      <c r="C161" t="s">
        <v>22</v>
      </c>
      <c r="D161">
        <v>0</v>
      </c>
      <c r="E161" s="1">
        <f t="array" ref="E161">INDEX(Исходные_данные_2__2[Дата продажи],MATCH('Исходные данные 2'!B161&amp;'Исходные данные 2'!C161,Исходные_данные_2__2[ФИО покупателя]&amp;Исходные_данные_2__2[Наименование товара],0))</f>
        <v>45007</v>
      </c>
      <c r="F161" t="str">
        <f t="array" ref="F161">INDEX(Исходные_данные_2__2[[Город отправки ]],MATCH('Исходные данные 2'!B161&amp;'Исходные данные 2'!C161,Исходные_данные_2__2[ФИО покупателя]&amp;Исходные_данные_2__2[Наименование товара],0))</f>
        <v>Кострома</v>
      </c>
    </row>
    <row r="162" spans="1:6" x14ac:dyDescent="0.25">
      <c r="A162" s="2" t="s">
        <v>420</v>
      </c>
      <c r="B162" t="s">
        <v>359</v>
      </c>
      <c r="C162" t="s">
        <v>15</v>
      </c>
      <c r="D162">
        <v>0</v>
      </c>
      <c r="E162" s="1">
        <f t="array" ref="E162">INDEX(Исходные_данные_2__2[Дата продажи],MATCH('Исходные данные 2'!B162&amp;'Исходные данные 2'!C162,Исходные_данные_2__2[ФИО покупателя]&amp;Исходные_данные_2__2[Наименование товара],0))</f>
        <v>45005</v>
      </c>
      <c r="F162" t="str">
        <f t="array" ref="F162">INDEX(Исходные_данные_2__2[[Город отправки ]],MATCH('Исходные данные 2'!B162&amp;'Исходные данные 2'!C162,Исходные_данные_2__2[ФИО покупателя]&amp;Исходные_данные_2__2[Наименование товара],0))</f>
        <v>Москва</v>
      </c>
    </row>
    <row r="163" spans="1:6" x14ac:dyDescent="0.25">
      <c r="A163" s="2" t="s">
        <v>420</v>
      </c>
      <c r="B163" t="s">
        <v>88</v>
      </c>
      <c r="C163" t="s">
        <v>8</v>
      </c>
      <c r="D163">
        <v>0</v>
      </c>
      <c r="E163" s="1">
        <f t="array" ref="E163">INDEX(Исходные_данные_2__2[Дата продажи],MATCH('Исходные данные 2'!B163&amp;'Исходные данные 2'!C163,Исходные_данные_2__2[ФИО покупателя]&amp;Исходные_данные_2__2[Наименование товара],0))</f>
        <v>44944</v>
      </c>
      <c r="F163" t="str">
        <f t="array" ref="F163">INDEX(Исходные_данные_2__2[[Город отправки ]],MATCH('Исходные данные 2'!B163&amp;'Исходные данные 2'!C163,Исходные_данные_2__2[ФИО покупателя]&amp;Исходные_данные_2__2[Наименование товара],0))</f>
        <v>Кострома</v>
      </c>
    </row>
    <row r="164" spans="1:6" x14ac:dyDescent="0.25">
      <c r="A164" s="2" t="s">
        <v>420</v>
      </c>
      <c r="B164" t="s">
        <v>325</v>
      </c>
      <c r="C164" t="s">
        <v>8</v>
      </c>
      <c r="D164">
        <v>0</v>
      </c>
      <c r="E164" s="1">
        <f t="array" ref="E164">INDEX(Исходные_данные_2__2[Дата продажи],MATCH('Исходные данные 2'!B164&amp;'Исходные данные 2'!C164,Исходные_данные_2__2[ФИО покупателя]&amp;Исходные_данные_2__2[Наименование товара],0))</f>
        <v>44998</v>
      </c>
      <c r="F164" t="str">
        <f t="array" ref="F164">INDEX(Исходные_данные_2__2[[Город отправки ]],MATCH('Исходные данные 2'!B164&amp;'Исходные данные 2'!C164,Исходные_данные_2__2[ФИО покупателя]&amp;Исходные_данные_2__2[Наименование товара],0))</f>
        <v>Москва</v>
      </c>
    </row>
    <row r="165" spans="1:6" x14ac:dyDescent="0.25">
      <c r="A165" s="2" t="s">
        <v>420</v>
      </c>
      <c r="B165" t="s">
        <v>328</v>
      </c>
      <c r="C165" t="s">
        <v>8</v>
      </c>
      <c r="D165">
        <v>0</v>
      </c>
      <c r="E165" s="1">
        <f t="array" ref="E165">INDEX(Исходные_данные_2__2[Дата продажи],MATCH('Исходные данные 2'!B165&amp;'Исходные данные 2'!C165,Исходные_данные_2__2[ФИО покупателя]&amp;Исходные_данные_2__2[Наименование товара],0))</f>
        <v>44999</v>
      </c>
      <c r="F165" t="str">
        <f t="array" ref="F165">INDEX(Исходные_данные_2__2[[Город отправки ]],MATCH('Исходные данные 2'!B165&amp;'Исходные данные 2'!C165,Исходные_данные_2__2[ФИО покупателя]&amp;Исходные_данные_2__2[Наименование товара],0))</f>
        <v>Ярославль</v>
      </c>
    </row>
    <row r="166" spans="1:6" x14ac:dyDescent="0.25">
      <c r="A166" s="2" t="s">
        <v>420</v>
      </c>
      <c r="B166" t="s">
        <v>396</v>
      </c>
      <c r="C166" t="s">
        <v>5</v>
      </c>
      <c r="D166">
        <v>0</v>
      </c>
      <c r="E166" s="1">
        <f t="array" ref="E166">INDEX(Исходные_данные_2__2[Дата продажи],MATCH('Исходные данные 2'!B166&amp;'Исходные данные 2'!C166,Исходные_данные_2__2[ФИО покупателя]&amp;Исходные_данные_2__2[Наименование товара],0))</f>
        <v>45011</v>
      </c>
      <c r="F166" t="str">
        <f t="array" ref="F166">INDEX(Исходные_данные_2__2[[Город отправки ]],MATCH('Исходные данные 2'!B166&amp;'Исходные данные 2'!C166,Исходные_данные_2__2[ФИО покупателя]&amp;Исходные_данные_2__2[Наименование товара],0))</f>
        <v>Воронеж</v>
      </c>
    </row>
    <row r="167" spans="1:6" x14ac:dyDescent="0.25">
      <c r="A167" s="2" t="s">
        <v>420</v>
      </c>
      <c r="B167" t="s">
        <v>73</v>
      </c>
      <c r="C167" t="s">
        <v>8</v>
      </c>
      <c r="D167">
        <v>0</v>
      </c>
      <c r="E167" s="1">
        <f t="array" ref="E167">INDEX(Исходные_данные_2__2[Дата продажи],MATCH('Исходные данные 2'!B167&amp;'Исходные данные 2'!C167,Исходные_данные_2__2[ФИО покупателя]&amp;Исходные_данные_2__2[Наименование товара],0))</f>
        <v>44940</v>
      </c>
      <c r="F167" t="str">
        <f t="array" ref="F167">INDEX(Исходные_данные_2__2[[Город отправки ]],MATCH('Исходные данные 2'!B167&amp;'Исходные данные 2'!C167,Исходные_данные_2__2[ФИО покупателя]&amp;Исходные_данные_2__2[Наименование товара],0))</f>
        <v>Кострома</v>
      </c>
    </row>
    <row r="168" spans="1:6" x14ac:dyDescent="0.25">
      <c r="A168" s="2" t="s">
        <v>420</v>
      </c>
      <c r="B168" t="s">
        <v>171</v>
      </c>
      <c r="C168" t="s">
        <v>15</v>
      </c>
      <c r="D168">
        <v>0</v>
      </c>
      <c r="E168" s="1">
        <f t="array" ref="E168">INDEX(Исходные_данные_2__2[Дата продажи],MATCH('Исходные данные 2'!B168&amp;'Исходные данные 2'!C168,Исходные_данные_2__2[ФИО покупателя]&amp;Исходные_данные_2__2[Наименование товара],0))</f>
        <v>44962</v>
      </c>
      <c r="F168" t="str">
        <f t="array" ref="F168">INDEX(Исходные_данные_2__2[[Город отправки ]],MATCH('Исходные данные 2'!B168&amp;'Исходные данные 2'!C168,Исходные_данные_2__2[ФИО покупателя]&amp;Исходные_данные_2__2[Наименование товара],0))</f>
        <v>Владимир</v>
      </c>
    </row>
    <row r="169" spans="1:6" x14ac:dyDescent="0.25">
      <c r="A169" s="2" t="s">
        <v>420</v>
      </c>
      <c r="B169" t="s">
        <v>286</v>
      </c>
      <c r="C169" t="s">
        <v>5</v>
      </c>
      <c r="D169">
        <v>0</v>
      </c>
      <c r="E169" s="1">
        <f t="array" ref="E169">INDEX(Исходные_данные_2__2[Дата продажи],MATCH('Исходные данные 2'!B169&amp;'Исходные данные 2'!C169,Исходные_данные_2__2[ФИО покупателя]&amp;Исходные_данные_2__2[Наименование товара],0))</f>
        <v>44990</v>
      </c>
      <c r="F169" t="str">
        <f t="array" ref="F169">INDEX(Исходные_данные_2__2[[Город отправки ]],MATCH('Исходные данные 2'!B169&amp;'Исходные данные 2'!C169,Исходные_данные_2__2[ФИО покупателя]&amp;Исходные_данные_2__2[Наименование товара],0))</f>
        <v>Ярославль</v>
      </c>
    </row>
    <row r="170" spans="1:6" x14ac:dyDescent="0.25">
      <c r="A170" s="2" t="s">
        <v>420</v>
      </c>
      <c r="B170" t="s">
        <v>222</v>
      </c>
      <c r="C170" t="s">
        <v>15</v>
      </c>
      <c r="D170">
        <v>0</v>
      </c>
      <c r="E170" s="1">
        <f t="array" ref="E170">INDEX(Исходные_данные_2__2[Дата продажи],MATCH('Исходные данные 2'!B170&amp;'Исходные данные 2'!C170,Исходные_данные_2__2[ФИО покупателя]&amp;Исходные_данные_2__2[Наименование товара],0))</f>
        <v>44973</v>
      </c>
      <c r="F170" t="str">
        <f t="array" ref="F170">INDEX(Исходные_данные_2__2[[Город отправки ]],MATCH('Исходные данные 2'!B170&amp;'Исходные данные 2'!C170,Исходные_данные_2__2[ФИО покупателя]&amp;Исходные_данные_2__2[Наименование товара],0))</f>
        <v>Тверь</v>
      </c>
    </row>
    <row r="171" spans="1:6" x14ac:dyDescent="0.25">
      <c r="A171" s="2" t="s">
        <v>420</v>
      </c>
      <c r="B171" t="s">
        <v>226</v>
      </c>
      <c r="C171" t="s">
        <v>22</v>
      </c>
      <c r="D171">
        <v>0</v>
      </c>
      <c r="E171" s="1">
        <f t="array" ref="E171">INDEX(Исходные_данные_2__2[Дата продажи],MATCH('Исходные данные 2'!B171&amp;'Исходные данные 2'!C171,Исходные_данные_2__2[ФИО покупателя]&amp;Исходные_данные_2__2[Наименование товара],0))</f>
        <v>44974</v>
      </c>
      <c r="F171" t="str">
        <f t="array" ref="F171">INDEX(Исходные_данные_2__2[[Город отправки ]],MATCH('Исходные данные 2'!B171&amp;'Исходные данные 2'!C171,Исходные_данные_2__2[ФИО покупателя]&amp;Исходные_данные_2__2[Наименование товара],0))</f>
        <v>Воронеж</v>
      </c>
    </row>
    <row r="172" spans="1:6" x14ac:dyDescent="0.25">
      <c r="A172" s="2" t="s">
        <v>420</v>
      </c>
      <c r="B172" t="s">
        <v>155</v>
      </c>
      <c r="C172" t="s">
        <v>22</v>
      </c>
      <c r="D172">
        <v>0</v>
      </c>
      <c r="E172" s="1">
        <f t="array" ref="E172">INDEX(Исходные_данные_2__2[Дата продажи],MATCH('Исходные данные 2'!B172&amp;'Исходные данные 2'!C172,Исходные_данные_2__2[ФИО покупателя]&amp;Исходные_данные_2__2[Наименование товара],0))</f>
        <v>44959</v>
      </c>
      <c r="F172" t="str">
        <f t="array" ref="F172">INDEX(Исходные_данные_2__2[[Город отправки ]],MATCH('Исходные данные 2'!B172&amp;'Исходные данные 2'!C172,Исходные_данные_2__2[ФИО покупателя]&amp;Исходные_данные_2__2[Наименование товара],0))</f>
        <v>Москва</v>
      </c>
    </row>
    <row r="173" spans="1:6" x14ac:dyDescent="0.25">
      <c r="A173" s="2" t="s">
        <v>420</v>
      </c>
      <c r="B173" t="s">
        <v>122</v>
      </c>
      <c r="C173" t="s">
        <v>8</v>
      </c>
      <c r="D173">
        <v>0</v>
      </c>
      <c r="E173" s="1">
        <f t="array" ref="E173">INDEX(Исходные_данные_2__2[Дата продажи],MATCH('Исходные данные 2'!B173&amp;'Исходные данные 2'!C173,Исходные_данные_2__2[ФИО покупателя]&amp;Исходные_данные_2__2[Наименование товара],0))</f>
        <v>44952</v>
      </c>
      <c r="F173" t="str">
        <f t="array" ref="F173">INDEX(Исходные_данные_2__2[[Город отправки ]],MATCH('Исходные данные 2'!B173&amp;'Исходные данные 2'!C173,Исходные_данные_2__2[ФИО покупателя]&amp;Исходные_данные_2__2[Наименование товара],0))</f>
        <v>Москва</v>
      </c>
    </row>
    <row r="174" spans="1:6" x14ac:dyDescent="0.25">
      <c r="A174" s="2" t="s">
        <v>420</v>
      </c>
      <c r="B174" t="s">
        <v>369</v>
      </c>
      <c r="C174" t="s">
        <v>22</v>
      </c>
      <c r="D174">
        <v>0</v>
      </c>
      <c r="E174" s="1">
        <f t="array" ref="E174">INDEX(Исходные_данные_2__2[Дата продажи],MATCH('Исходные данные 2'!B174&amp;'Исходные данные 2'!C174,Исходные_данные_2__2[ФИО покупателя]&amp;Исходные_данные_2__2[Наименование товара],0))</f>
        <v>45007</v>
      </c>
      <c r="F174" t="str">
        <f t="array" ref="F174">INDEX(Исходные_данные_2__2[[Город отправки ]],MATCH('Исходные данные 2'!B174&amp;'Исходные данные 2'!C174,Исходные_данные_2__2[ФИО покупателя]&amp;Исходные_данные_2__2[Наименование товара],0))</f>
        <v>Кострома</v>
      </c>
    </row>
    <row r="175" spans="1:6" x14ac:dyDescent="0.25">
      <c r="A175" s="2" t="s">
        <v>420</v>
      </c>
      <c r="B175" t="s">
        <v>46</v>
      </c>
      <c r="C175" t="s">
        <v>8</v>
      </c>
      <c r="D175">
        <v>0</v>
      </c>
      <c r="E175" s="1">
        <f t="array" ref="E175">INDEX(Исходные_данные_2__2[Дата продажи],MATCH('Исходные данные 2'!B175&amp;'Исходные данные 2'!C175,Исходные_данные_2__2[ФИО покупателя]&amp;Исходные_данные_2__2[Наименование товара],0))</f>
        <v>44935</v>
      </c>
      <c r="F175" t="str">
        <f t="array" ref="F175">INDEX(Исходные_данные_2__2[[Город отправки ]],MATCH('Исходные данные 2'!B175&amp;'Исходные данные 2'!C175,Исходные_данные_2__2[ФИО покупателя]&amp;Исходные_данные_2__2[Наименование товара],0))</f>
        <v>Кострома</v>
      </c>
    </row>
    <row r="176" spans="1:6" x14ac:dyDescent="0.25">
      <c r="A176" s="2" t="s">
        <v>420</v>
      </c>
      <c r="B176" t="s">
        <v>329</v>
      </c>
      <c r="C176" t="s">
        <v>15</v>
      </c>
      <c r="D176">
        <v>0</v>
      </c>
      <c r="E176" s="1">
        <f t="array" ref="E176">INDEX(Исходные_данные_2__2[Дата продажи],MATCH('Исходные данные 2'!B176&amp;'Исходные данные 2'!C176,Исходные_данные_2__2[ФИО покупателя]&amp;Исходные_данные_2__2[Наименование товара],0))</f>
        <v>44999</v>
      </c>
      <c r="F176" t="str">
        <f t="array" ref="F176">INDEX(Исходные_данные_2__2[[Город отправки ]],MATCH('Исходные данные 2'!B176&amp;'Исходные данные 2'!C176,Исходные_данные_2__2[ФИО покупателя]&amp;Исходные_данные_2__2[Наименование товара],0))</f>
        <v>Тверь</v>
      </c>
    </row>
    <row r="177" spans="1:6" x14ac:dyDescent="0.25">
      <c r="A177" s="2" t="s">
        <v>420</v>
      </c>
      <c r="B177" t="s">
        <v>400</v>
      </c>
      <c r="C177" t="s">
        <v>5</v>
      </c>
      <c r="D177">
        <v>0</v>
      </c>
      <c r="E177" s="1">
        <f t="array" ref="E177">INDEX(Исходные_данные_2__2[Дата продажи],MATCH('Исходные данные 2'!B177&amp;'Исходные данные 2'!C177,Исходные_данные_2__2[ФИО покупателя]&amp;Исходные_данные_2__2[Наименование товара],0))</f>
        <v>45012</v>
      </c>
      <c r="F177" t="str">
        <f t="array" ref="F177">INDEX(Исходные_данные_2__2[[Город отправки ]],MATCH('Исходные данные 2'!B177&amp;'Исходные данные 2'!C177,Исходные_данные_2__2[ФИО покупателя]&amp;Исходные_данные_2__2[Наименование товара],0))</f>
        <v>Тула</v>
      </c>
    </row>
    <row r="178" spans="1:6" x14ac:dyDescent="0.25">
      <c r="A178" s="2" t="s">
        <v>420</v>
      </c>
      <c r="B178" t="s">
        <v>370</v>
      </c>
      <c r="C178" t="s">
        <v>15</v>
      </c>
      <c r="D178">
        <v>0</v>
      </c>
      <c r="E178" s="1">
        <f t="array" ref="E178">INDEX(Исходные_данные_2__2[Дата продажи],MATCH('Исходные данные 2'!B178&amp;'Исходные данные 2'!C178,Исходные_данные_2__2[ФИО покупателя]&amp;Исходные_данные_2__2[Наименование товара],0))</f>
        <v>45007</v>
      </c>
      <c r="F178" t="str">
        <f t="array" ref="F178">INDEX(Исходные_данные_2__2[[Город отправки ]],MATCH('Исходные данные 2'!B178&amp;'Исходные данные 2'!C178,Исходные_данные_2__2[ФИО покупателя]&amp;Исходные_данные_2__2[Наименование товара],0))</f>
        <v>Москва</v>
      </c>
    </row>
    <row r="179" spans="1:6" x14ac:dyDescent="0.25">
      <c r="A179" s="2" t="s">
        <v>420</v>
      </c>
      <c r="B179" t="s">
        <v>408</v>
      </c>
      <c r="C179" t="s">
        <v>8</v>
      </c>
      <c r="D179">
        <v>0</v>
      </c>
      <c r="E179" s="1">
        <f t="array" ref="E179">INDEX(Исходные_данные_2__2[Дата продажи],MATCH('Исходные данные 2'!B179&amp;'Исходные данные 2'!C179,Исходные_данные_2__2[ФИО покупателя]&amp;Исходные_данные_2__2[Наименование товара],0))</f>
        <v>45015</v>
      </c>
      <c r="F179" t="str">
        <f t="array" ref="F179">INDEX(Исходные_данные_2__2[[Город отправки ]],MATCH('Исходные данные 2'!B179&amp;'Исходные данные 2'!C179,Исходные_данные_2__2[ФИО покупателя]&amp;Исходные_данные_2__2[Наименование товара],0))</f>
        <v>Тверь</v>
      </c>
    </row>
    <row r="180" spans="1:6" x14ac:dyDescent="0.25">
      <c r="A180" s="2" t="s">
        <v>420</v>
      </c>
      <c r="B180" t="s">
        <v>206</v>
      </c>
      <c r="C180" t="s">
        <v>8</v>
      </c>
      <c r="D180">
        <v>0</v>
      </c>
      <c r="E180" s="1">
        <f t="array" ref="E180">INDEX(Исходные_данные_2__2[Дата продажи],MATCH('Исходные данные 2'!B180&amp;'Исходные данные 2'!C180,Исходные_данные_2__2[ФИО покупателя]&amp;Исходные_данные_2__2[Наименование товара],0))</f>
        <v>44969</v>
      </c>
      <c r="F180" t="str">
        <f t="array" ref="F180">INDEX(Исходные_данные_2__2[[Город отправки ]],MATCH('Исходные данные 2'!B180&amp;'Исходные данные 2'!C180,Исходные_данные_2__2[ФИО покупателя]&amp;Исходные_данные_2__2[Наименование товара],0))</f>
        <v>Тверь</v>
      </c>
    </row>
    <row r="181" spans="1:6" x14ac:dyDescent="0.25">
      <c r="A181" s="2" t="s">
        <v>420</v>
      </c>
      <c r="B181" t="s">
        <v>405</v>
      </c>
      <c r="C181" t="s">
        <v>15</v>
      </c>
      <c r="D181">
        <v>0</v>
      </c>
      <c r="E181" s="1">
        <f t="array" ref="E181">INDEX(Исходные_данные_2__2[Дата продажи],MATCH('Исходные данные 2'!B181&amp;'Исходные данные 2'!C181,Исходные_данные_2__2[ФИО покупателя]&amp;Исходные_данные_2__2[Наименование товара],0))</f>
        <v>45013</v>
      </c>
      <c r="F181" t="str">
        <f t="array" ref="F181">INDEX(Исходные_данные_2__2[[Город отправки ]],MATCH('Исходные данные 2'!B181&amp;'Исходные данные 2'!C181,Исходные_данные_2__2[ФИО покупателя]&amp;Исходные_данные_2__2[Наименование товара],0))</f>
        <v>Тверь</v>
      </c>
    </row>
    <row r="182" spans="1:6" x14ac:dyDescent="0.25">
      <c r="A182" s="2" t="s">
        <v>420</v>
      </c>
      <c r="B182" t="s">
        <v>211</v>
      </c>
      <c r="C182" t="s">
        <v>22</v>
      </c>
      <c r="D182">
        <v>0</v>
      </c>
      <c r="E182" s="1">
        <f t="array" ref="E182">INDEX(Исходные_данные_2__2[Дата продажи],MATCH('Исходные данные 2'!B182&amp;'Исходные данные 2'!C182,Исходные_данные_2__2[ФИО покупателя]&amp;Исходные_данные_2__2[Наименование товара],0))</f>
        <v>44970</v>
      </c>
      <c r="F182" t="str">
        <f t="array" ref="F182">INDEX(Исходные_данные_2__2[[Город отправки ]],MATCH('Исходные данные 2'!B182&amp;'Исходные данные 2'!C182,Исходные_данные_2__2[ФИО покупателя]&amp;Исходные_данные_2__2[Наименование товара],0))</f>
        <v>Ярославль</v>
      </c>
    </row>
    <row r="183" spans="1:6" x14ac:dyDescent="0.25">
      <c r="A183" s="2" t="s">
        <v>420</v>
      </c>
      <c r="B183" t="s">
        <v>371</v>
      </c>
      <c r="C183" t="s">
        <v>5</v>
      </c>
      <c r="D183">
        <v>0</v>
      </c>
      <c r="E183" s="1">
        <f t="array" ref="E183">INDEX(Исходные_данные_2__2[Дата продажи],MATCH('Исходные данные 2'!B183&amp;'Исходные данные 2'!C183,Исходные_данные_2__2[ФИО покупателя]&amp;Исходные_данные_2__2[Наименование товара],0))</f>
        <v>45007</v>
      </c>
      <c r="F183" t="str">
        <f t="array" ref="F183">INDEX(Исходные_данные_2__2[[Город отправки ]],MATCH('Исходные данные 2'!B183&amp;'Исходные данные 2'!C183,Исходные_данные_2__2[ФИО покупателя]&amp;Исходные_данные_2__2[Наименование товара],0))</f>
        <v>Ярославль</v>
      </c>
    </row>
    <row r="184" spans="1:6" x14ac:dyDescent="0.25">
      <c r="A184" s="2" t="s">
        <v>420</v>
      </c>
      <c r="B184" t="s">
        <v>320</v>
      </c>
      <c r="C184" t="s">
        <v>8</v>
      </c>
      <c r="D184">
        <v>0</v>
      </c>
      <c r="E184" s="1">
        <f t="array" ref="E184">INDEX(Исходные_данные_2__2[Дата продажи],MATCH('Исходные данные 2'!B184&amp;'Исходные данные 2'!C184,Исходные_данные_2__2[ФИО покупателя]&amp;Исходные_данные_2__2[Наименование товара],0))</f>
        <v>44997</v>
      </c>
      <c r="F184" t="str">
        <f t="array" ref="F184">INDEX(Исходные_данные_2__2[[Город отправки ]],MATCH('Исходные данные 2'!B184&amp;'Исходные данные 2'!C184,Исходные_данные_2__2[ФИО покупателя]&amp;Исходные_данные_2__2[Наименование товара],0))</f>
        <v>Москва</v>
      </c>
    </row>
    <row r="185" spans="1:6" x14ac:dyDescent="0.25">
      <c r="A185" s="2" t="s">
        <v>420</v>
      </c>
      <c r="B185" t="s">
        <v>299</v>
      </c>
      <c r="C185" t="s">
        <v>17</v>
      </c>
      <c r="D185">
        <v>0</v>
      </c>
      <c r="E185" s="1">
        <f t="array" ref="E185">INDEX(Исходные_данные_2__2[Дата продажи],MATCH('Исходные данные 2'!B185&amp;'Исходные данные 2'!C185,Исходные_данные_2__2[ФИО покупателя]&amp;Исходные_данные_2__2[Наименование товара],0))</f>
        <v>44992</v>
      </c>
      <c r="F185" t="str">
        <f t="array" ref="F185">INDEX(Исходные_данные_2__2[[Город отправки ]],MATCH('Исходные данные 2'!B185&amp;'Исходные данные 2'!C185,Исходные_данные_2__2[ФИО покупателя]&amp;Исходные_данные_2__2[Наименование товара],0))</f>
        <v>Москва</v>
      </c>
    </row>
    <row r="186" spans="1:6" x14ac:dyDescent="0.25">
      <c r="A186" s="2" t="s">
        <v>420</v>
      </c>
      <c r="B186" t="s">
        <v>350</v>
      </c>
      <c r="C186" t="s">
        <v>17</v>
      </c>
      <c r="D186">
        <v>0</v>
      </c>
      <c r="E186" s="1">
        <f t="array" ref="E186">INDEX(Исходные_данные_2__2[Дата продажи],MATCH('Исходные данные 2'!B186&amp;'Исходные данные 2'!C186,Исходные_данные_2__2[ФИО покупателя]&amp;Исходные_данные_2__2[Наименование товара],0))</f>
        <v>45003</v>
      </c>
      <c r="F186" t="str">
        <f t="array" ref="F186">INDEX(Исходные_данные_2__2[[Город отправки ]],MATCH('Исходные данные 2'!B186&amp;'Исходные данные 2'!C186,Исходные_данные_2__2[ФИО покупателя]&amp;Исходные_данные_2__2[Наименование товара],0))</f>
        <v>Тула</v>
      </c>
    </row>
    <row r="187" spans="1:6" x14ac:dyDescent="0.25">
      <c r="A187" s="2" t="s">
        <v>420</v>
      </c>
      <c r="B187" t="s">
        <v>214</v>
      </c>
      <c r="C187" t="s">
        <v>22</v>
      </c>
      <c r="D187">
        <v>0</v>
      </c>
      <c r="E187" s="1">
        <f t="array" ref="E187">INDEX(Исходные_данные_2__2[Дата продажи],MATCH('Исходные данные 2'!B187&amp;'Исходные данные 2'!C187,Исходные_данные_2__2[ФИО покупателя]&amp;Исходные_данные_2__2[Наименование товара],0))</f>
        <v>44971</v>
      </c>
      <c r="F187" t="str">
        <f t="array" ref="F187">INDEX(Исходные_данные_2__2[[Город отправки ]],MATCH('Исходные данные 2'!B187&amp;'Исходные данные 2'!C187,Исходные_данные_2__2[ФИО покупателя]&amp;Исходные_данные_2__2[Наименование товара],0))</f>
        <v>Москва</v>
      </c>
    </row>
    <row r="188" spans="1:6" x14ac:dyDescent="0.25">
      <c r="A188" s="2" t="s">
        <v>420</v>
      </c>
      <c r="B188" t="s">
        <v>159</v>
      </c>
      <c r="C188" t="s">
        <v>17</v>
      </c>
      <c r="D188">
        <v>0</v>
      </c>
      <c r="E188" s="1">
        <f t="array" ref="E188">INDEX(Исходные_данные_2__2[Дата продажи],MATCH('Исходные данные 2'!B188&amp;'Исходные данные 2'!C188,Исходные_данные_2__2[ФИО покупателя]&amp;Исходные_данные_2__2[Наименование товара],0))</f>
        <v>44960</v>
      </c>
      <c r="F188" t="str">
        <f t="array" ref="F188">INDEX(Исходные_данные_2__2[[Город отправки ]],MATCH('Исходные данные 2'!B188&amp;'Исходные данные 2'!C188,Исходные_данные_2__2[ФИО покупателя]&amp;Исходные_данные_2__2[Наименование товара],0))</f>
        <v>Воронеж</v>
      </c>
    </row>
    <row r="189" spans="1:6" x14ac:dyDescent="0.25">
      <c r="A189" s="2" t="s">
        <v>420</v>
      </c>
      <c r="B189" t="s">
        <v>60</v>
      </c>
      <c r="C189" t="s">
        <v>37</v>
      </c>
      <c r="D189">
        <v>0</v>
      </c>
      <c r="E189" s="1">
        <f t="array" ref="E189">INDEX(Исходные_данные_2__2[Дата продажи],MATCH('Исходные данные 2'!B189&amp;'Исходные данные 2'!C189,Исходные_данные_2__2[ФИО покупателя]&amp;Исходные_данные_2__2[Наименование товара],0))</f>
        <v>44938</v>
      </c>
      <c r="F189" t="str">
        <f t="array" ref="F189">INDEX(Исходные_данные_2__2[[Город отправки ]],MATCH('Исходные данные 2'!B189&amp;'Исходные данные 2'!C189,Исходные_данные_2__2[ФИО покупателя]&amp;Исходные_данные_2__2[Наименование товара],0))</f>
        <v>Москва</v>
      </c>
    </row>
    <row r="190" spans="1:6" x14ac:dyDescent="0.25">
      <c r="A190" s="2" t="s">
        <v>420</v>
      </c>
      <c r="B190" t="s">
        <v>56</v>
      </c>
      <c r="C190" t="s">
        <v>5</v>
      </c>
      <c r="D190">
        <v>0</v>
      </c>
      <c r="E190" s="1">
        <f t="array" ref="E190">INDEX(Исходные_данные_2__2[Дата продажи],MATCH('Исходные данные 2'!B190&amp;'Исходные данные 2'!C190,Исходные_данные_2__2[ФИО покупателя]&amp;Исходные_данные_2__2[Наименование товара],0))</f>
        <v>44937</v>
      </c>
      <c r="F190" t="str">
        <f t="array" ref="F190">INDEX(Исходные_данные_2__2[[Город отправки ]],MATCH('Исходные данные 2'!B190&amp;'Исходные данные 2'!C190,Исходные_данные_2__2[ФИО покупателя]&amp;Исходные_данные_2__2[Наименование товара],0))</f>
        <v>Кострома</v>
      </c>
    </row>
    <row r="191" spans="1:6" x14ac:dyDescent="0.25">
      <c r="A191" s="2" t="s">
        <v>420</v>
      </c>
      <c r="B191" t="s">
        <v>379</v>
      </c>
      <c r="C191" t="s">
        <v>8</v>
      </c>
      <c r="D191">
        <v>0</v>
      </c>
      <c r="E191" s="1">
        <f t="array" ref="E191">INDEX(Исходные_данные_2__2[Дата продажи],MATCH('Исходные данные 2'!B191&amp;'Исходные данные 2'!C191,Исходные_данные_2__2[ФИО покупателя]&amp;Исходные_данные_2__2[Наименование товара],0))</f>
        <v>45009</v>
      </c>
      <c r="F191" t="str">
        <f t="array" ref="F191">INDEX(Исходные_данные_2__2[[Город отправки ]],MATCH('Исходные данные 2'!B191&amp;'Исходные данные 2'!C191,Исходные_данные_2__2[ФИО покупателя]&amp;Исходные_данные_2__2[Наименование товара],0))</f>
        <v>Москва</v>
      </c>
    </row>
    <row r="192" spans="1:6" x14ac:dyDescent="0.25">
      <c r="A192" s="2" t="s">
        <v>420</v>
      </c>
      <c r="B192" t="s">
        <v>284</v>
      </c>
      <c r="C192" t="s">
        <v>15</v>
      </c>
      <c r="D192">
        <v>0</v>
      </c>
      <c r="E192" s="1">
        <f t="array" ref="E192">INDEX(Исходные_данные_2__2[Дата продажи],MATCH('Исходные данные 2'!B192&amp;'Исходные данные 2'!C192,Исходные_данные_2__2[ФИО покупателя]&amp;Исходные_данные_2__2[Наименование товара],0))</f>
        <v>44989</v>
      </c>
      <c r="F192" t="str">
        <f t="array" ref="F192">INDEX(Исходные_данные_2__2[[Город отправки ]],MATCH('Исходные данные 2'!B192&amp;'Исходные данные 2'!C192,Исходные_данные_2__2[ФИО покупателя]&amp;Исходные_данные_2__2[Наименование товара],0))</f>
        <v>Ярославль</v>
      </c>
    </row>
    <row r="193" spans="1:6" x14ac:dyDescent="0.25">
      <c r="A193" s="2" t="s">
        <v>420</v>
      </c>
      <c r="B193" t="s">
        <v>179</v>
      </c>
      <c r="C193" t="s">
        <v>37</v>
      </c>
      <c r="D193">
        <v>0.05</v>
      </c>
      <c r="E193" s="1">
        <f t="array" ref="E193">INDEX(Исходные_данные_2__2[Дата продажи],MATCH('Исходные данные 2'!B193&amp;'Исходные данные 2'!C193,Исходные_данные_2__2[ФИО покупателя]&amp;Исходные_данные_2__2[Наименование товара],0))</f>
        <v>44963</v>
      </c>
      <c r="F193" t="str">
        <f t="array" ref="F193">INDEX(Исходные_данные_2__2[[Город отправки ]],MATCH('Исходные данные 2'!B193&amp;'Исходные данные 2'!C193,Исходные_данные_2__2[ФИО покупателя]&amp;Исходные_данные_2__2[Наименование товара],0))</f>
        <v>Москва</v>
      </c>
    </row>
    <row r="194" spans="1:6" x14ac:dyDescent="0.25">
      <c r="A194" s="2" t="s">
        <v>420</v>
      </c>
      <c r="B194" t="s">
        <v>179</v>
      </c>
      <c r="C194" t="s">
        <v>15</v>
      </c>
      <c r="D194">
        <v>0</v>
      </c>
      <c r="E194" s="1">
        <f t="array" ref="E194">INDEX(Исходные_данные_2__2[Дата продажи],MATCH('Исходные данные 2'!B194&amp;'Исходные данные 2'!C194,Исходные_данные_2__2[ФИО покупателя]&amp;Исходные_данные_2__2[Наименование товара],0))</f>
        <v>44963</v>
      </c>
      <c r="F194" t="str">
        <f t="array" ref="F194">INDEX(Исходные_данные_2__2[[Город отправки ]],MATCH('Исходные данные 2'!B194&amp;'Исходные данные 2'!C194,Исходные_данные_2__2[ФИО покупателя]&amp;Исходные_данные_2__2[Наименование товара],0))</f>
        <v>Москва</v>
      </c>
    </row>
    <row r="195" spans="1:6" x14ac:dyDescent="0.25">
      <c r="A195" s="2" t="s">
        <v>420</v>
      </c>
      <c r="B195" t="s">
        <v>302</v>
      </c>
      <c r="C195" t="s">
        <v>22</v>
      </c>
      <c r="D195">
        <v>0</v>
      </c>
      <c r="E195" s="1">
        <f t="array" ref="E195">INDEX(Исходные_данные_2__2[Дата продажи],MATCH('Исходные данные 2'!B195&amp;'Исходные данные 2'!C195,Исходные_данные_2__2[ФИО покупателя]&amp;Исходные_данные_2__2[Наименование товара],0))</f>
        <v>44993</v>
      </c>
      <c r="F195" t="str">
        <f t="array" ref="F195">INDEX(Исходные_данные_2__2[[Город отправки ]],MATCH('Исходные данные 2'!B195&amp;'Исходные данные 2'!C195,Исходные_данные_2__2[ФИО покупателя]&amp;Исходные_данные_2__2[Наименование товара],0))</f>
        <v>Москва</v>
      </c>
    </row>
    <row r="196" spans="1:6" x14ac:dyDescent="0.25">
      <c r="A196" s="2" t="s">
        <v>420</v>
      </c>
      <c r="B196" t="s">
        <v>375</v>
      </c>
      <c r="C196" t="s">
        <v>15</v>
      </c>
      <c r="D196">
        <v>0</v>
      </c>
      <c r="E196" s="1">
        <f t="array" ref="E196">INDEX(Исходные_данные_2__2[Дата продажи],MATCH('Исходные данные 2'!B196&amp;'Исходные данные 2'!C196,Исходные_данные_2__2[ФИО покупателя]&amp;Исходные_данные_2__2[Наименование товара],0))</f>
        <v>45008</v>
      </c>
      <c r="F196" t="str">
        <f t="array" ref="F196">INDEX(Исходные_данные_2__2[[Город отправки ]],MATCH('Исходные данные 2'!B196&amp;'Исходные данные 2'!C196,Исходные_данные_2__2[ФИО покупателя]&amp;Исходные_данные_2__2[Наименование товара],0))</f>
        <v>Москва</v>
      </c>
    </row>
    <row r="197" spans="1:6" x14ac:dyDescent="0.25">
      <c r="A197" s="2" t="s">
        <v>420</v>
      </c>
      <c r="B197" t="s">
        <v>402</v>
      </c>
      <c r="C197" t="s">
        <v>22</v>
      </c>
      <c r="D197">
        <v>0</v>
      </c>
      <c r="E197" s="1">
        <f t="array" ref="E197">INDEX(Исходные_данные_2__2[Дата продажи],MATCH('Исходные данные 2'!B197&amp;'Исходные данные 2'!C197,Исходные_данные_2__2[ФИО покупателя]&amp;Исходные_данные_2__2[Наименование товара],0))</f>
        <v>45012</v>
      </c>
      <c r="F197" t="str">
        <f t="array" ref="F197">INDEX(Исходные_данные_2__2[[Город отправки ]],MATCH('Исходные данные 2'!B197&amp;'Исходные данные 2'!C197,Исходные_данные_2__2[ФИО покупателя]&amp;Исходные_данные_2__2[Наименование товара],0))</f>
        <v>Владимир</v>
      </c>
    </row>
    <row r="198" spans="1:6" x14ac:dyDescent="0.25">
      <c r="A198" s="2" t="s">
        <v>420</v>
      </c>
      <c r="B198" t="s">
        <v>310</v>
      </c>
      <c r="C198" t="s">
        <v>22</v>
      </c>
      <c r="D198">
        <v>0</v>
      </c>
      <c r="E198" s="1">
        <f t="array" ref="E198">INDEX(Исходные_данные_2__2[Дата продажи],MATCH('Исходные данные 2'!B198&amp;'Исходные данные 2'!C198,Исходные_данные_2__2[ФИО покупателя]&amp;Исходные_данные_2__2[Наименование товара],0))</f>
        <v>44995</v>
      </c>
      <c r="F198" t="str">
        <f t="array" ref="F198">INDEX(Исходные_данные_2__2[[Город отправки ]],MATCH('Исходные данные 2'!B198&amp;'Исходные данные 2'!C198,Исходные_данные_2__2[ФИО покупателя]&amp;Исходные_данные_2__2[Наименование товара],0))</f>
        <v>Тверь</v>
      </c>
    </row>
    <row r="199" spans="1:6" x14ac:dyDescent="0.25">
      <c r="A199" s="2" t="s">
        <v>420</v>
      </c>
      <c r="B199" t="s">
        <v>126</v>
      </c>
      <c r="C199" t="s">
        <v>5</v>
      </c>
      <c r="D199">
        <v>0</v>
      </c>
      <c r="E199" s="1">
        <f t="array" ref="E199">INDEX(Исходные_данные_2__2[Дата продажи],MATCH('Исходные данные 2'!B199&amp;'Исходные данные 2'!C199,Исходные_данные_2__2[ФИО покупателя]&amp;Исходные_данные_2__2[Наименование товара],0))</f>
        <v>44953</v>
      </c>
      <c r="F199" t="str">
        <f t="array" ref="F199">INDEX(Исходные_данные_2__2[[Город отправки ]],MATCH('Исходные данные 2'!B199&amp;'Исходные данные 2'!C199,Исходные_данные_2__2[ФИО покупателя]&amp;Исходные_данные_2__2[Наименование товара],0))</f>
        <v>Москва</v>
      </c>
    </row>
    <row r="200" spans="1:6" x14ac:dyDescent="0.25">
      <c r="A200" s="2" t="s">
        <v>420</v>
      </c>
      <c r="B200" t="s">
        <v>351</v>
      </c>
      <c r="C200" t="s">
        <v>37</v>
      </c>
      <c r="D200">
        <v>0</v>
      </c>
      <c r="E200" s="1">
        <f t="array" ref="E200">INDEX(Исходные_данные_2__2[Дата продажи],MATCH('Исходные данные 2'!B200&amp;'Исходные данные 2'!C200,Исходные_данные_2__2[ФИО покупателя]&amp;Исходные_данные_2__2[Наименование товара],0))</f>
        <v>45003</v>
      </c>
      <c r="F200" t="str">
        <f t="array" ref="F200">INDEX(Исходные_данные_2__2[[Город отправки ]],MATCH('Исходные данные 2'!B200&amp;'Исходные данные 2'!C200,Исходные_данные_2__2[ФИО покупателя]&amp;Исходные_данные_2__2[Наименование товара],0))</f>
        <v>Тверь</v>
      </c>
    </row>
    <row r="201" spans="1:6" x14ac:dyDescent="0.25">
      <c r="A201" s="2" t="s">
        <v>420</v>
      </c>
      <c r="B201" t="s">
        <v>311</v>
      </c>
      <c r="C201" t="s">
        <v>37</v>
      </c>
      <c r="D201">
        <v>0</v>
      </c>
      <c r="E201" s="1">
        <f t="array" ref="E201">INDEX(Исходные_данные_2__2[Дата продажи],MATCH('Исходные данные 2'!B201&amp;'Исходные данные 2'!C201,Исходные_данные_2__2[ФИО покупателя]&amp;Исходные_данные_2__2[Наименование товара],0))</f>
        <v>44995</v>
      </c>
      <c r="F201" t="str">
        <f t="array" ref="F201">INDEX(Исходные_данные_2__2[[Город отправки ]],MATCH('Исходные данные 2'!B201&amp;'Исходные данные 2'!C201,Исходные_данные_2__2[ФИО покупателя]&amp;Исходные_данные_2__2[Наименование товара],0))</f>
        <v>Владимир</v>
      </c>
    </row>
    <row r="202" spans="1:6" x14ac:dyDescent="0.25">
      <c r="A202" s="2" t="s">
        <v>420</v>
      </c>
      <c r="B202" t="s">
        <v>131</v>
      </c>
      <c r="C202" t="s">
        <v>37</v>
      </c>
      <c r="D202">
        <v>0</v>
      </c>
      <c r="E202" s="1">
        <f t="array" ref="E202">INDEX(Исходные_данные_2__2[Дата продажи],MATCH('Исходные данные 2'!B202&amp;'Исходные данные 2'!C202,Исходные_данные_2__2[ФИО покупателя]&amp;Исходные_данные_2__2[Наименование товара],0))</f>
        <v>44954</v>
      </c>
      <c r="F202" t="str">
        <f t="array" ref="F202">INDEX(Исходные_данные_2__2[[Город отправки ]],MATCH('Исходные данные 2'!B202&amp;'Исходные данные 2'!C202,Исходные_данные_2__2[ФИО покупателя]&amp;Исходные_данные_2__2[Наименование товара],0))</f>
        <v>Москва</v>
      </c>
    </row>
    <row r="203" spans="1:6" x14ac:dyDescent="0.25">
      <c r="A203" s="2" t="s">
        <v>420</v>
      </c>
      <c r="B203" t="s">
        <v>361</v>
      </c>
      <c r="C203" t="s">
        <v>17</v>
      </c>
      <c r="D203">
        <v>0</v>
      </c>
      <c r="E203" s="1">
        <f t="array" ref="E203">INDEX(Исходные_данные_2__2[Дата продажи],MATCH('Исходные данные 2'!B203&amp;'Исходные данные 2'!C203,Исходные_данные_2__2[ФИО покупателя]&amp;Исходные_данные_2__2[Наименование товара],0))</f>
        <v>45005</v>
      </c>
      <c r="F203" t="str">
        <f t="array" ref="F203">INDEX(Исходные_данные_2__2[[Город отправки ]],MATCH('Исходные данные 2'!B203&amp;'Исходные данные 2'!C203,Исходные_данные_2__2[ФИО покупателя]&amp;Исходные_данные_2__2[Наименование товара],0))</f>
        <v>Москва</v>
      </c>
    </row>
    <row r="204" spans="1:6" x14ac:dyDescent="0.25">
      <c r="A204" s="2" t="s">
        <v>420</v>
      </c>
      <c r="B204" t="s">
        <v>269</v>
      </c>
      <c r="C204" t="s">
        <v>37</v>
      </c>
      <c r="D204">
        <v>0</v>
      </c>
      <c r="E204" s="1">
        <f t="array" ref="E204">INDEX(Исходные_данные_2__2[Дата продажи],MATCH('Исходные данные 2'!B204&amp;'Исходные данные 2'!C204,Исходные_данные_2__2[ФИО покупателя]&amp;Исходные_данные_2__2[Наименование товара],0))</f>
        <v>44986</v>
      </c>
      <c r="F204" t="str">
        <f t="array" ref="F204">INDEX(Исходные_данные_2__2[[Город отправки ]],MATCH('Исходные данные 2'!B204&amp;'Исходные данные 2'!C204,Исходные_данные_2__2[ФИО покупателя]&amp;Исходные_данные_2__2[Наименование товара],0))</f>
        <v>Москва</v>
      </c>
    </row>
    <row r="205" spans="1:6" x14ac:dyDescent="0.25">
      <c r="A205" s="2" t="s">
        <v>420</v>
      </c>
      <c r="B205" t="s">
        <v>207</v>
      </c>
      <c r="C205" t="s">
        <v>37</v>
      </c>
      <c r="D205">
        <v>0</v>
      </c>
      <c r="E205" s="1">
        <f t="array" ref="E205">INDEX(Исходные_данные_2__2[Дата продажи],MATCH('Исходные данные 2'!B205&amp;'Исходные данные 2'!C205,Исходные_данные_2__2[ФИО покупателя]&amp;Исходные_данные_2__2[Наименование товара],0))</f>
        <v>44969</v>
      </c>
      <c r="F205" t="str">
        <f t="array" ref="F205">INDEX(Исходные_данные_2__2[[Город отправки ]],MATCH('Исходные данные 2'!B205&amp;'Исходные данные 2'!C205,Исходные_данные_2__2[ФИО покупателя]&amp;Исходные_данные_2__2[Наименование товара],0))</f>
        <v>Тверь</v>
      </c>
    </row>
    <row r="206" spans="1:6" x14ac:dyDescent="0.25">
      <c r="A206" s="2" t="s">
        <v>420</v>
      </c>
      <c r="B206" t="s">
        <v>165</v>
      </c>
      <c r="C206" t="s">
        <v>37</v>
      </c>
      <c r="D206">
        <v>0</v>
      </c>
      <c r="E206" s="1">
        <f t="array" ref="E206">INDEX(Исходные_данные_2__2[Дата продажи],MATCH('Исходные данные 2'!B206&amp;'Исходные данные 2'!C206,Исходные_данные_2__2[ФИО покупателя]&amp;Исходные_данные_2__2[Наименование товара],0))</f>
        <v>44961</v>
      </c>
      <c r="F206" t="str">
        <f t="array" ref="F206">INDEX(Исходные_данные_2__2[[Город отправки ]],MATCH('Исходные данные 2'!B206&amp;'Исходные данные 2'!C206,Исходные_данные_2__2[ФИО покупателя]&amp;Исходные_данные_2__2[Наименование товара],0))</f>
        <v>Владимир</v>
      </c>
    </row>
    <row r="207" spans="1:6" x14ac:dyDescent="0.25">
      <c r="A207" s="2" t="s">
        <v>420</v>
      </c>
      <c r="B207" t="s">
        <v>306</v>
      </c>
      <c r="C207" t="s">
        <v>17</v>
      </c>
      <c r="D207">
        <v>0</v>
      </c>
      <c r="E207" s="1">
        <f t="array" ref="E207">INDEX(Исходные_данные_2__2[Дата продажи],MATCH('Исходные данные 2'!B207&amp;'Исходные данные 2'!C207,Исходные_данные_2__2[ФИО покупателя]&amp;Исходные_данные_2__2[Наименование товара],0))</f>
        <v>44994</v>
      </c>
      <c r="F207" t="str">
        <f t="array" ref="F207">INDEX(Исходные_данные_2__2[[Город отправки ]],MATCH('Исходные данные 2'!B207&amp;'Исходные данные 2'!C207,Исходные_данные_2__2[ФИО покупателя]&amp;Исходные_данные_2__2[Наименование товара],0))</f>
        <v>Тверь</v>
      </c>
    </row>
    <row r="208" spans="1:6" x14ac:dyDescent="0.25">
      <c r="A208" s="2" t="s">
        <v>420</v>
      </c>
      <c r="B208" t="s">
        <v>63</v>
      </c>
      <c r="C208" t="s">
        <v>37</v>
      </c>
      <c r="D208">
        <v>0</v>
      </c>
      <c r="E208" s="1">
        <f t="array" ref="E208">INDEX(Исходные_данные_2__2[Дата продажи],MATCH('Исходные данные 2'!B208&amp;'Исходные данные 2'!C208,Исходные_данные_2__2[ФИО покупателя]&amp;Исходные_данные_2__2[Наименование товара],0))</f>
        <v>44938</v>
      </c>
      <c r="F208" t="str">
        <f t="array" ref="F208">INDEX(Исходные_данные_2__2[[Город отправки ]],MATCH('Исходные данные 2'!B208&amp;'Исходные данные 2'!C208,Исходные_данные_2__2[ФИО покупателя]&amp;Исходные_данные_2__2[Наименование товара],0))</f>
        <v>Кострома</v>
      </c>
    </row>
    <row r="209" spans="1:6" x14ac:dyDescent="0.25">
      <c r="A209" s="2" t="s">
        <v>420</v>
      </c>
      <c r="B209" t="s">
        <v>409</v>
      </c>
      <c r="C209" t="s">
        <v>17</v>
      </c>
      <c r="D209">
        <v>0</v>
      </c>
      <c r="E209" s="1">
        <f t="array" ref="E209">INDEX(Исходные_данные_2__2[Дата продажи],MATCH('Исходные данные 2'!B209&amp;'Исходные данные 2'!C209,Исходные_данные_2__2[ФИО покупателя]&amp;Исходные_данные_2__2[Наименование товара],0))</f>
        <v>45015</v>
      </c>
      <c r="F209" t="str">
        <f t="array" ref="F209">INDEX(Исходные_данные_2__2[[Город отправки ]],MATCH('Исходные данные 2'!B209&amp;'Исходные данные 2'!C209,Исходные_данные_2__2[ФИО покупателя]&amp;Исходные_данные_2__2[Наименование товара],0))</f>
        <v>Тверь</v>
      </c>
    </row>
    <row r="210" spans="1:6" x14ac:dyDescent="0.25">
      <c r="A210" s="2" t="s">
        <v>420</v>
      </c>
      <c r="B210" t="s">
        <v>244</v>
      </c>
      <c r="C210" t="s">
        <v>17</v>
      </c>
      <c r="D210">
        <v>0</v>
      </c>
      <c r="E210" s="1">
        <f t="array" ref="E210">INDEX(Исходные_данные_2__2[Дата продажи],MATCH('Исходные данные 2'!B210&amp;'Исходные данные 2'!C210,Исходные_данные_2__2[ФИО покупателя]&amp;Исходные_данные_2__2[Наименование товара],0))</f>
        <v>44979</v>
      </c>
      <c r="F210" t="str">
        <f t="array" ref="F210">INDEX(Исходные_данные_2__2[[Город отправки ]],MATCH('Исходные данные 2'!B210&amp;'Исходные данные 2'!C210,Исходные_данные_2__2[ФИО покупателя]&amp;Исходные_данные_2__2[Наименование товара],0))</f>
        <v>Тверь</v>
      </c>
    </row>
    <row r="211" spans="1:6" x14ac:dyDescent="0.25">
      <c r="A211" s="2" t="s">
        <v>420</v>
      </c>
      <c r="B211" t="s">
        <v>147</v>
      </c>
      <c r="C211" t="s">
        <v>17</v>
      </c>
      <c r="D211">
        <v>0</v>
      </c>
      <c r="E211" s="1">
        <f t="array" ref="E211">INDEX(Исходные_данные_2__2[Дата продажи],MATCH('Исходные данные 2'!B211&amp;'Исходные данные 2'!C211,Исходные_данные_2__2[ФИО покупателя]&amp;Исходные_данные_2__2[Наименование товара],0))</f>
        <v>44957</v>
      </c>
      <c r="F211" t="str">
        <f t="array" ref="F211">INDEX(Исходные_данные_2__2[[Город отправки ]],MATCH('Исходные данные 2'!B211&amp;'Исходные данные 2'!C211,Исходные_данные_2__2[ФИО покупателя]&amp;Исходные_данные_2__2[Наименование товара],0))</f>
        <v>Владимир</v>
      </c>
    </row>
    <row r="212" spans="1:6" x14ac:dyDescent="0.25">
      <c r="A212" s="2" t="s">
        <v>420</v>
      </c>
      <c r="B212" t="s">
        <v>208</v>
      </c>
      <c r="C212" t="s">
        <v>37</v>
      </c>
      <c r="D212">
        <v>0</v>
      </c>
      <c r="E212" s="1">
        <f t="array" ref="E212">INDEX(Исходные_данные_2__2[Дата продажи],MATCH('Исходные данные 2'!B212&amp;'Исходные данные 2'!C212,Исходные_данные_2__2[ФИО покупателя]&amp;Исходные_данные_2__2[Наименование товара],0))</f>
        <v>44969</v>
      </c>
      <c r="F212" t="str">
        <f t="array" ref="F212">INDEX(Исходные_данные_2__2[[Город отправки ]],MATCH('Исходные данные 2'!B212&amp;'Исходные данные 2'!C212,Исходные_данные_2__2[ФИО покупателя]&amp;Исходные_данные_2__2[Наименование товара],0))</f>
        <v>Владимир</v>
      </c>
    </row>
    <row r="213" spans="1:6" x14ac:dyDescent="0.25">
      <c r="A213" s="2" t="s">
        <v>420</v>
      </c>
      <c r="B213" t="s">
        <v>75</v>
      </c>
      <c r="C213" t="s">
        <v>8</v>
      </c>
      <c r="D213">
        <v>0</v>
      </c>
      <c r="E213" s="1">
        <f t="array" ref="E213">INDEX(Исходные_данные_2__2[Дата продажи],MATCH('Исходные данные 2'!B213&amp;'Исходные данные 2'!C213,Исходные_данные_2__2[ФИО покупателя]&amp;Исходные_данные_2__2[Наименование товара],0))</f>
        <v>44940</v>
      </c>
      <c r="F213" t="str">
        <f t="array" ref="F213">INDEX(Исходные_данные_2__2[[Город отправки ]],MATCH('Исходные данные 2'!B213&amp;'Исходные данные 2'!C213,Исходные_данные_2__2[ФИО покупателя]&amp;Исходные_данные_2__2[Наименование товара],0))</f>
        <v>Москва</v>
      </c>
    </row>
    <row r="214" spans="1:6" x14ac:dyDescent="0.25">
      <c r="A214" s="2" t="s">
        <v>420</v>
      </c>
      <c r="B214" t="s">
        <v>235</v>
      </c>
      <c r="C214" t="s">
        <v>22</v>
      </c>
      <c r="D214">
        <v>0</v>
      </c>
      <c r="E214" s="1">
        <f t="array" ref="E214">INDEX(Исходные_данные_2__2[Дата продажи],MATCH('Исходные данные 2'!B214&amp;'Исходные данные 2'!C214,Исходные_данные_2__2[ФИО покупателя]&amp;Исходные_данные_2__2[Наименование товара],0))</f>
        <v>44977</v>
      </c>
      <c r="F214" t="str">
        <f t="array" ref="F214">INDEX(Исходные_данные_2__2[[Город отправки ]],MATCH('Исходные данные 2'!B214&amp;'Исходные данные 2'!C214,Исходные_данные_2__2[ФИО покупателя]&amp;Исходные_данные_2__2[Наименование товара],0))</f>
        <v>Владимир</v>
      </c>
    </row>
    <row r="215" spans="1:6" x14ac:dyDescent="0.25">
      <c r="A215" s="2" t="s">
        <v>420</v>
      </c>
      <c r="B215" t="s">
        <v>265</v>
      </c>
      <c r="C215" t="s">
        <v>22</v>
      </c>
      <c r="D215">
        <v>0</v>
      </c>
      <c r="E215" s="1">
        <f t="array" ref="E215">INDEX(Исходные_данные_2__2[Дата продажи],MATCH('Исходные данные 2'!B215&amp;'Исходные данные 2'!C215,Исходные_данные_2__2[ФИО покупателя]&amp;Исходные_данные_2__2[Наименование товара],0))</f>
        <v>44985</v>
      </c>
      <c r="F215" t="str">
        <f t="array" ref="F215">INDEX(Исходные_данные_2__2[[Город отправки ]],MATCH('Исходные данные 2'!B215&amp;'Исходные данные 2'!C215,Исходные_данные_2__2[ФИО покупателя]&amp;Исходные_данные_2__2[Наименование товара],0))</f>
        <v>Москва</v>
      </c>
    </row>
    <row r="216" spans="1:6" x14ac:dyDescent="0.25">
      <c r="A216" s="2" t="s">
        <v>420</v>
      </c>
      <c r="B216" t="s">
        <v>120</v>
      </c>
      <c r="C216" t="s">
        <v>37</v>
      </c>
      <c r="D216">
        <v>0</v>
      </c>
      <c r="E216" s="1">
        <f t="array" ref="E216">INDEX(Исходные_данные_2__2[Дата продажи],MATCH('Исходные данные 2'!B216&amp;'Исходные данные 2'!C216,Исходные_данные_2__2[ФИО покупателя]&amp;Исходные_данные_2__2[Наименование товара],0))</f>
        <v>44951</v>
      </c>
      <c r="F216" t="str">
        <f t="array" ref="F216">INDEX(Исходные_данные_2__2[[Город отправки ]],MATCH('Исходные данные 2'!B216&amp;'Исходные данные 2'!C216,Исходные_данные_2__2[ФИО покупателя]&amp;Исходные_данные_2__2[Наименование товара],0))</f>
        <v>Воронеж</v>
      </c>
    </row>
    <row r="217" spans="1:6" x14ac:dyDescent="0.25">
      <c r="A217" s="2" t="s">
        <v>420</v>
      </c>
      <c r="B217" t="s">
        <v>364</v>
      </c>
      <c r="C217" t="s">
        <v>5</v>
      </c>
      <c r="D217">
        <v>0</v>
      </c>
      <c r="E217" s="1">
        <f t="array" ref="E217">INDEX(Исходные_данные_2__2[Дата продажи],MATCH('Исходные данные 2'!B217&amp;'Исходные данные 2'!C217,Исходные_данные_2__2[ФИО покупателя]&amp;Исходные_данные_2__2[Наименование товара],0))</f>
        <v>45005</v>
      </c>
      <c r="F217" t="str">
        <f t="array" ref="F217">INDEX(Исходные_данные_2__2[[Город отправки ]],MATCH('Исходные данные 2'!B217&amp;'Исходные данные 2'!C217,Исходные_данные_2__2[ФИО покупателя]&amp;Исходные_данные_2__2[Наименование товара],0))</f>
        <v>Кострома</v>
      </c>
    </row>
    <row r="218" spans="1:6" x14ac:dyDescent="0.25">
      <c r="A218" s="2" t="s">
        <v>420</v>
      </c>
      <c r="B218" t="s">
        <v>364</v>
      </c>
      <c r="C218" t="s">
        <v>22</v>
      </c>
      <c r="D218">
        <v>0.03</v>
      </c>
      <c r="E218" s="1">
        <f t="array" ref="E218">INDEX(Исходные_данные_2__2[Дата продажи],MATCH('Исходные данные 2'!B218&amp;'Исходные данные 2'!C218,Исходные_данные_2__2[ФИО покупателя]&amp;Исходные_данные_2__2[Наименование товара],0))</f>
        <v>45005</v>
      </c>
      <c r="F218" t="str">
        <f t="array" ref="F218">INDEX(Исходные_данные_2__2[[Город отправки ]],MATCH('Исходные данные 2'!B218&amp;'Исходные данные 2'!C218,Исходные_данные_2__2[ФИО покупателя]&amp;Исходные_данные_2__2[Наименование товара],0))</f>
        <v>Кострома</v>
      </c>
    </row>
    <row r="219" spans="1:6" x14ac:dyDescent="0.25">
      <c r="A219" s="2" t="s">
        <v>420</v>
      </c>
      <c r="B219" t="s">
        <v>167</v>
      </c>
      <c r="C219" t="s">
        <v>17</v>
      </c>
      <c r="D219">
        <v>0</v>
      </c>
      <c r="E219" s="1">
        <f t="array" ref="E219">INDEX(Исходные_данные_2__2[Дата продажи],MATCH('Исходные данные 2'!B219&amp;'Исходные данные 2'!C219,Исходные_данные_2__2[ФИО покупателя]&amp;Исходные_данные_2__2[Наименование товара],0))</f>
        <v>44961</v>
      </c>
      <c r="F219" t="str">
        <f t="array" ref="F219">INDEX(Исходные_данные_2__2[[Город отправки ]],MATCH('Исходные данные 2'!B219&amp;'Исходные данные 2'!C219,Исходные_данные_2__2[ФИО покупателя]&amp;Исходные_данные_2__2[Наименование товара],0))</f>
        <v>Владимир</v>
      </c>
    </row>
    <row r="220" spans="1:6" x14ac:dyDescent="0.25">
      <c r="A220" s="2" t="s">
        <v>420</v>
      </c>
      <c r="B220" t="s">
        <v>257</v>
      </c>
      <c r="C220" t="s">
        <v>8</v>
      </c>
      <c r="D220">
        <v>0</v>
      </c>
      <c r="E220" s="1">
        <f t="array" ref="E220">INDEX(Исходные_данные_2__2[Дата продажи],MATCH('Исходные данные 2'!B220&amp;'Исходные данные 2'!C220,Исходные_данные_2__2[ФИО покупателя]&amp;Исходные_данные_2__2[Наименование товара],0))</f>
        <v>44982</v>
      </c>
      <c r="F220" t="str">
        <f t="array" ref="F220">INDEX(Исходные_данные_2__2[[Город отправки ]],MATCH('Исходные данные 2'!B220&amp;'Исходные данные 2'!C220,Исходные_данные_2__2[ФИО покупателя]&amp;Исходные_данные_2__2[Наименование товара],0))</f>
        <v>Кострома</v>
      </c>
    </row>
    <row r="221" spans="1:6" x14ac:dyDescent="0.25">
      <c r="A221" s="2" t="s">
        <v>420</v>
      </c>
      <c r="B221" t="s">
        <v>294</v>
      </c>
      <c r="C221" t="s">
        <v>22</v>
      </c>
      <c r="D221">
        <v>0</v>
      </c>
      <c r="E221" s="1">
        <f t="array" ref="E221">INDEX(Исходные_данные_2__2[Дата продажи],MATCH('Исходные данные 2'!B221&amp;'Исходные данные 2'!C221,Исходные_данные_2__2[ФИО покупателя]&amp;Исходные_данные_2__2[Наименование товара],0))</f>
        <v>44991</v>
      </c>
      <c r="F221" t="str">
        <f t="array" ref="F221">INDEX(Исходные_данные_2__2[[Город отправки ]],MATCH('Исходные данные 2'!B221&amp;'Исходные данные 2'!C221,Исходные_данные_2__2[ФИО покупателя]&amp;Исходные_данные_2__2[Наименование товара],0))</f>
        <v>Москва</v>
      </c>
    </row>
    <row r="222" spans="1:6" x14ac:dyDescent="0.25">
      <c r="A222" s="2" t="s">
        <v>420</v>
      </c>
      <c r="B222" t="s">
        <v>279</v>
      </c>
      <c r="C222" t="s">
        <v>8</v>
      </c>
      <c r="D222">
        <v>0</v>
      </c>
      <c r="E222" s="1">
        <f t="array" ref="E222">INDEX(Исходные_данные_2__2[Дата продажи],MATCH('Исходные данные 2'!B222&amp;'Исходные данные 2'!C222,Исходные_данные_2__2[ФИО покупателя]&amp;Исходные_данные_2__2[Наименование товара],0))</f>
        <v>44988</v>
      </c>
      <c r="F222" t="str">
        <f t="array" ref="F222">INDEX(Исходные_данные_2__2[[Город отправки ]],MATCH('Исходные данные 2'!B222&amp;'Исходные данные 2'!C222,Исходные_данные_2__2[ФИО покупателя]&amp;Исходные_данные_2__2[Наименование товара],0))</f>
        <v>Москва</v>
      </c>
    </row>
    <row r="223" spans="1:6" x14ac:dyDescent="0.25">
      <c r="A223" s="2" t="s">
        <v>420</v>
      </c>
      <c r="B223" t="s">
        <v>266</v>
      </c>
      <c r="C223" t="s">
        <v>5</v>
      </c>
      <c r="D223">
        <v>0</v>
      </c>
      <c r="E223" s="1">
        <f t="array" ref="E223">INDEX(Исходные_данные_2__2[Дата продажи],MATCH('Исходные данные 2'!B223&amp;'Исходные данные 2'!C223,Исходные_данные_2__2[ФИО покупателя]&amp;Исходные_данные_2__2[Наименование товара],0))</f>
        <v>44985</v>
      </c>
      <c r="F223" t="str">
        <f t="array" ref="F223">INDEX(Исходные_данные_2__2[[Город отправки ]],MATCH('Исходные данные 2'!B223&amp;'Исходные данные 2'!C223,Исходные_данные_2__2[ФИО покупателя]&amp;Исходные_данные_2__2[Наименование товара],0))</f>
        <v>Тула</v>
      </c>
    </row>
    <row r="224" spans="1:6" x14ac:dyDescent="0.25">
      <c r="A224" s="2" t="s">
        <v>420</v>
      </c>
      <c r="B224" t="s">
        <v>65</v>
      </c>
      <c r="C224" t="s">
        <v>15</v>
      </c>
      <c r="D224">
        <v>0</v>
      </c>
      <c r="E224" s="1">
        <f t="array" ref="E224">INDEX(Исходные_данные_2__2[Дата продажи],MATCH('Исходные данные 2'!B224&amp;'Исходные данные 2'!C224,Исходные_данные_2__2[ФИО покупателя]&amp;Исходные_данные_2__2[Наименование товара],0))</f>
        <v>44938</v>
      </c>
      <c r="F224" t="str">
        <f t="array" ref="F224">INDEX(Исходные_данные_2__2[[Город отправки ]],MATCH('Исходные данные 2'!B224&amp;'Исходные данные 2'!C224,Исходные_данные_2__2[ФИО покупателя]&amp;Исходные_данные_2__2[Наименование товара],0))</f>
        <v>Владимир</v>
      </c>
    </row>
    <row r="225" spans="1:6" x14ac:dyDescent="0.25">
      <c r="A225" s="2" t="s">
        <v>420</v>
      </c>
      <c r="B225" t="s">
        <v>267</v>
      </c>
      <c r="C225" t="s">
        <v>5</v>
      </c>
      <c r="D225">
        <v>0</v>
      </c>
      <c r="E225" s="1">
        <f t="array" ref="E225">INDEX(Исходные_данные_2__2[Дата продажи],MATCH('Исходные данные 2'!B225&amp;'Исходные данные 2'!C225,Исходные_данные_2__2[ФИО покупателя]&amp;Исходные_данные_2__2[Наименование товара],0))</f>
        <v>44985</v>
      </c>
      <c r="F225" t="str">
        <f t="array" ref="F225">INDEX(Исходные_данные_2__2[[Город отправки ]],MATCH('Исходные данные 2'!B225&amp;'Исходные данные 2'!C225,Исходные_данные_2__2[ФИО покупателя]&amp;Исходные_данные_2__2[Наименование товара],0))</f>
        <v>Тверь</v>
      </c>
    </row>
    <row r="226" spans="1:6" x14ac:dyDescent="0.25">
      <c r="A226" s="2" t="s">
        <v>420</v>
      </c>
      <c r="B226" t="s">
        <v>221</v>
      </c>
      <c r="C226" t="s">
        <v>8</v>
      </c>
      <c r="D226">
        <v>0</v>
      </c>
      <c r="E226" s="1">
        <f t="array" ref="E226">INDEX(Исходные_данные_2__2[Дата продажи],MATCH('Исходные данные 2'!B226&amp;'Исходные данные 2'!C226,Исходные_данные_2__2[ФИО покупателя]&amp;Исходные_данные_2__2[Наименование товара],0))</f>
        <v>44972</v>
      </c>
      <c r="F226" t="str">
        <f t="array" ref="F226">INDEX(Исходные_данные_2__2[[Город отправки ]],MATCH('Исходные данные 2'!B226&amp;'Исходные данные 2'!C226,Исходные_данные_2__2[ФИО покупателя]&amp;Исходные_данные_2__2[Наименование товара],0))</f>
        <v>Москва</v>
      </c>
    </row>
    <row r="227" spans="1:6" x14ac:dyDescent="0.25">
      <c r="A227" s="2" t="s">
        <v>420</v>
      </c>
      <c r="B227" t="s">
        <v>93</v>
      </c>
      <c r="C227" t="s">
        <v>8</v>
      </c>
      <c r="D227">
        <v>0</v>
      </c>
      <c r="E227" s="1">
        <f t="array" ref="E227">INDEX(Исходные_данные_2__2[Дата продажи],MATCH('Исходные данные 2'!B227&amp;'Исходные данные 2'!C227,Исходные_данные_2__2[ФИО покупателя]&amp;Исходные_данные_2__2[Наименование товара],0))</f>
        <v>44945</v>
      </c>
      <c r="F227" t="str">
        <f t="array" ref="F227">INDEX(Исходные_данные_2__2[[Город отправки ]],MATCH('Исходные данные 2'!B227&amp;'Исходные данные 2'!C227,Исходные_данные_2__2[ФИО покупателя]&amp;Исходные_данные_2__2[Наименование товара],0))</f>
        <v>Тверь</v>
      </c>
    </row>
    <row r="228" spans="1:6" x14ac:dyDescent="0.25">
      <c r="A228" s="2" t="s">
        <v>420</v>
      </c>
      <c r="B228" t="s">
        <v>30</v>
      </c>
      <c r="C228" t="s">
        <v>17</v>
      </c>
      <c r="D228">
        <v>0</v>
      </c>
      <c r="E228" s="1">
        <f t="array" ref="E228">INDEX(Исходные_данные_2__2[Дата продажи],MATCH('Исходные данные 2'!B228&amp;'Исходные данные 2'!C228,Исходные_данные_2__2[ФИО покупателя]&amp;Исходные_данные_2__2[Наименование товара],0))</f>
        <v>44931</v>
      </c>
      <c r="F228" t="str">
        <f t="array" ref="F228">INDEX(Исходные_данные_2__2[[Город отправки ]],MATCH('Исходные данные 2'!B228&amp;'Исходные данные 2'!C228,Исходные_данные_2__2[ФИО покупателя]&amp;Исходные_данные_2__2[Наименование товара],0))</f>
        <v>Тула</v>
      </c>
    </row>
    <row r="229" spans="1:6" x14ac:dyDescent="0.25">
      <c r="A229" s="2" t="s">
        <v>420</v>
      </c>
      <c r="B229" t="s">
        <v>183</v>
      </c>
      <c r="C229" t="s">
        <v>5</v>
      </c>
      <c r="D229">
        <v>0</v>
      </c>
      <c r="E229" s="1">
        <f t="array" ref="E229">INDEX(Исходные_данные_2__2[Дата продажи],MATCH('Исходные данные 2'!B229&amp;'Исходные данные 2'!C229,Исходные_данные_2__2[ФИО покупателя]&amp;Исходные_данные_2__2[Наименование товара],0))</f>
        <v>44964</v>
      </c>
      <c r="F229" t="str">
        <f t="array" ref="F229">INDEX(Исходные_данные_2__2[[Город отправки ]],MATCH('Исходные данные 2'!B229&amp;'Исходные данные 2'!C229,Исходные_данные_2__2[ФИО покупателя]&amp;Исходные_данные_2__2[Наименование товара],0))</f>
        <v>Тула</v>
      </c>
    </row>
    <row r="230" spans="1:6" x14ac:dyDescent="0.25">
      <c r="A230" s="2" t="s">
        <v>420</v>
      </c>
      <c r="B230" t="s">
        <v>107</v>
      </c>
      <c r="C230" t="s">
        <v>8</v>
      </c>
      <c r="D230">
        <v>0</v>
      </c>
      <c r="E230" s="1">
        <f t="array" ref="E230">INDEX(Исходные_данные_2__2[Дата продажи],MATCH('Исходные данные 2'!B230&amp;'Исходные данные 2'!C230,Исходные_данные_2__2[ФИО покупателя]&amp;Исходные_данные_2__2[Наименование товара],0))</f>
        <v>44948</v>
      </c>
      <c r="F230" t="str">
        <f t="array" ref="F230">INDEX(Исходные_данные_2__2[[Город отправки ]],MATCH('Исходные данные 2'!B230&amp;'Исходные данные 2'!C230,Исходные_данные_2__2[ФИО покупателя]&amp;Исходные_данные_2__2[Наименование товара],0))</f>
        <v>Воронеж</v>
      </c>
    </row>
    <row r="231" spans="1:6" x14ac:dyDescent="0.25">
      <c r="A231" s="2" t="s">
        <v>420</v>
      </c>
      <c r="B231" t="s">
        <v>377</v>
      </c>
      <c r="C231" t="s">
        <v>17</v>
      </c>
      <c r="D231">
        <v>0</v>
      </c>
      <c r="E231" s="1">
        <f t="array" ref="E231">INDEX(Исходные_данные_2__2[Дата продажи],MATCH('Исходные данные 2'!B231&amp;'Исходные данные 2'!C231,Исходные_данные_2__2[ФИО покупателя]&amp;Исходные_данные_2__2[Наименование товара],0))</f>
        <v>45008</v>
      </c>
      <c r="F231" t="str">
        <f t="array" ref="F231">INDEX(Исходные_данные_2__2[[Город отправки ]],MATCH('Исходные данные 2'!B231&amp;'Исходные данные 2'!C231,Исходные_данные_2__2[ФИО покупателя]&amp;Исходные_данные_2__2[Наименование товара],0))</f>
        <v>Москва</v>
      </c>
    </row>
    <row r="232" spans="1:6" x14ac:dyDescent="0.25">
      <c r="A232" s="2" t="s">
        <v>420</v>
      </c>
      <c r="B232" t="s">
        <v>385</v>
      </c>
      <c r="C232" t="s">
        <v>8</v>
      </c>
      <c r="D232">
        <v>0</v>
      </c>
      <c r="E232" s="1">
        <f t="array" ref="E232">INDEX(Исходные_данные_2__2[Дата продажи],MATCH('Исходные данные 2'!B232&amp;'Исходные данные 2'!C232,Исходные_данные_2__2[ФИО покупателя]&amp;Исходные_данные_2__2[Наименование товара],0))</f>
        <v>45009</v>
      </c>
      <c r="F232" t="str">
        <f t="array" ref="F232">INDEX(Исходные_данные_2__2[[Город отправки ]],MATCH('Исходные данные 2'!B232&amp;'Исходные данные 2'!C232,Исходные_данные_2__2[ФИО покупателя]&amp;Исходные_данные_2__2[Наименование товара],0))</f>
        <v>Ярославль</v>
      </c>
    </row>
    <row r="233" spans="1:6" x14ac:dyDescent="0.25">
      <c r="A233" s="2" t="s">
        <v>420</v>
      </c>
      <c r="B233" t="s">
        <v>216</v>
      </c>
      <c r="C233" t="s">
        <v>5</v>
      </c>
      <c r="D233">
        <v>0</v>
      </c>
      <c r="E233" s="1">
        <f t="array" ref="E233">INDEX(Исходные_данные_2__2[Дата продажи],MATCH('Исходные данные 2'!B233&amp;'Исходные данные 2'!C233,Исходные_данные_2__2[ФИО покупателя]&amp;Исходные_данные_2__2[Наименование товара],0))</f>
        <v>44971</v>
      </c>
      <c r="F233" t="str">
        <f t="array" ref="F233">INDEX(Исходные_данные_2__2[[Город отправки ]],MATCH('Исходные данные 2'!B233&amp;'Исходные данные 2'!C233,Исходные_данные_2__2[ФИО покупателя]&amp;Исходные_данные_2__2[Наименование товара],0))</f>
        <v>Ярославль</v>
      </c>
    </row>
    <row r="234" spans="1:6" x14ac:dyDescent="0.25">
      <c r="A234" s="2" t="s">
        <v>420</v>
      </c>
      <c r="B234" t="s">
        <v>217</v>
      </c>
      <c r="C234" t="s">
        <v>8</v>
      </c>
      <c r="D234">
        <v>0</v>
      </c>
      <c r="E234" s="1">
        <f t="array" ref="E234">INDEX(Исходные_данные_2__2[Дата продажи],MATCH('Исходные данные 2'!B234&amp;'Исходные данные 2'!C234,Исходные_данные_2__2[ФИО покупателя]&amp;Исходные_данные_2__2[Наименование товара],0))</f>
        <v>44971</v>
      </c>
      <c r="F234" t="str">
        <f t="array" ref="F234">INDEX(Исходные_данные_2__2[[Город отправки ]],MATCH('Исходные данные 2'!B234&amp;'Исходные данные 2'!C234,Исходные_данные_2__2[ФИО покупателя]&amp;Исходные_данные_2__2[Наименование товара],0))</f>
        <v>Ярославль</v>
      </c>
    </row>
    <row r="235" spans="1:6" x14ac:dyDescent="0.25">
      <c r="A235" s="2" t="s">
        <v>420</v>
      </c>
      <c r="B235" t="s">
        <v>203</v>
      </c>
      <c r="C235" t="s">
        <v>5</v>
      </c>
      <c r="D235">
        <v>0</v>
      </c>
      <c r="E235" s="1">
        <f t="array" ref="E235">INDEX(Исходные_данные_2__2[Дата продажи],MATCH('Исходные данные 2'!B235&amp;'Исходные данные 2'!C235,Исходные_данные_2__2[ФИО покупателя]&amp;Исходные_данные_2__2[Наименование товара],0))</f>
        <v>44967</v>
      </c>
      <c r="F235" t="str">
        <f t="array" ref="F235">INDEX(Исходные_данные_2__2[[Город отправки ]],MATCH('Исходные данные 2'!B235&amp;'Исходные данные 2'!C235,Исходные_данные_2__2[ФИО покупателя]&amp;Исходные_данные_2__2[Наименование товара],0))</f>
        <v>Тверь</v>
      </c>
    </row>
    <row r="236" spans="1:6" x14ac:dyDescent="0.25">
      <c r="A236" s="2" t="s">
        <v>420</v>
      </c>
      <c r="B236" t="s">
        <v>193</v>
      </c>
      <c r="C236" t="s">
        <v>8</v>
      </c>
      <c r="D236">
        <v>0</v>
      </c>
      <c r="E236" s="1">
        <f t="array" ref="E236">INDEX(Исходные_данные_2__2[Дата продажи],MATCH('Исходные данные 2'!B236&amp;'Исходные данные 2'!C236,Исходные_данные_2__2[ФИО покупателя]&amp;Исходные_данные_2__2[Наименование товара],0))</f>
        <v>44965</v>
      </c>
      <c r="F236" t="str">
        <f t="array" ref="F236">INDEX(Исходные_данные_2__2[[Город отправки ]],MATCH('Исходные данные 2'!B236&amp;'Исходные данные 2'!C236,Исходные_данные_2__2[ФИО покупателя]&amp;Исходные_данные_2__2[Наименование товара],0))</f>
        <v>Тула</v>
      </c>
    </row>
    <row r="237" spans="1:6" x14ac:dyDescent="0.25">
      <c r="A237" s="2" t="s">
        <v>420</v>
      </c>
      <c r="B237" t="s">
        <v>323</v>
      </c>
      <c r="C237" t="s">
        <v>8</v>
      </c>
      <c r="D237">
        <v>0</v>
      </c>
      <c r="E237" s="1">
        <f t="array" ref="E237">INDEX(Исходные_данные_2__2[Дата продажи],MATCH('Исходные данные 2'!B237&amp;'Исходные данные 2'!C237,Исходные_данные_2__2[ФИО покупателя]&amp;Исходные_данные_2__2[Наименование товара],0))</f>
        <v>44997</v>
      </c>
      <c r="F237" t="str">
        <f t="array" ref="F237">INDEX(Исходные_данные_2__2[[Город отправки ]],MATCH('Исходные данные 2'!B237&amp;'Исходные данные 2'!C237,Исходные_данные_2__2[ФИО покупателя]&amp;Исходные_данные_2__2[Наименование товара],0))</f>
        <v>Москва</v>
      </c>
    </row>
    <row r="238" spans="1:6" x14ac:dyDescent="0.25">
      <c r="A238" s="2" t="s">
        <v>420</v>
      </c>
      <c r="B238" t="s">
        <v>161</v>
      </c>
      <c r="C238" t="s">
        <v>5</v>
      </c>
      <c r="D238">
        <v>0</v>
      </c>
      <c r="E238" s="1">
        <f t="array" ref="E238">INDEX(Исходные_данные_2__2[Дата продажи],MATCH('Исходные данные 2'!B238&amp;'Исходные данные 2'!C238,Исходные_данные_2__2[ФИО покупателя]&amp;Исходные_данные_2__2[Наименование товара],0))</f>
        <v>44960</v>
      </c>
      <c r="F238" t="str">
        <f t="array" ref="F238">INDEX(Исходные_данные_2__2[[Город отправки ]],MATCH('Исходные данные 2'!B238&amp;'Исходные данные 2'!C238,Исходные_данные_2__2[ФИО покупателя]&amp;Исходные_данные_2__2[Наименование товара],0))</f>
        <v>Воронеж</v>
      </c>
    </row>
    <row r="239" spans="1:6" x14ac:dyDescent="0.25">
      <c r="A239" s="2" t="s">
        <v>420</v>
      </c>
      <c r="B239" t="s">
        <v>115</v>
      </c>
      <c r="C239" t="s">
        <v>5</v>
      </c>
      <c r="D239">
        <v>0</v>
      </c>
      <c r="E239" s="1">
        <f t="array" ref="E239">INDEX(Исходные_данные_2__2[Дата продажи],MATCH('Исходные данные 2'!B239&amp;'Исходные данные 2'!C239,Исходные_данные_2__2[ФИО покупателя]&amp;Исходные_данные_2__2[Наименование товара],0))</f>
        <v>44949</v>
      </c>
      <c r="F239" t="str">
        <f t="array" ref="F239">INDEX(Исходные_данные_2__2[[Город отправки ]],MATCH('Исходные данные 2'!B239&amp;'Исходные данные 2'!C239,Исходные_данные_2__2[ФИО покупателя]&amp;Исходные_данные_2__2[Наименование товара],0))</f>
        <v>Воронеж</v>
      </c>
    </row>
    <row r="240" spans="1:6" x14ac:dyDescent="0.25">
      <c r="A240" s="2" t="s">
        <v>420</v>
      </c>
      <c r="B240" t="s">
        <v>386</v>
      </c>
      <c r="C240" t="s">
        <v>15</v>
      </c>
      <c r="D240">
        <v>0</v>
      </c>
      <c r="E240" s="1">
        <f t="array" ref="E240">INDEX(Исходные_данные_2__2[Дата продажи],MATCH('Исходные данные 2'!B240&amp;'Исходные данные 2'!C240,Исходные_данные_2__2[ФИО покупателя]&amp;Исходные_данные_2__2[Наименование товара],0))</f>
        <v>45009</v>
      </c>
      <c r="F240" t="str">
        <f t="array" ref="F240">INDEX(Исходные_данные_2__2[[Город отправки ]],MATCH('Исходные данные 2'!B240&amp;'Исходные данные 2'!C240,Исходные_данные_2__2[ФИО покупателя]&amp;Исходные_данные_2__2[Наименование товара],0))</f>
        <v>Ярославль</v>
      </c>
    </row>
    <row r="241" spans="1:6" x14ac:dyDescent="0.25">
      <c r="A241" s="2" t="s">
        <v>420</v>
      </c>
      <c r="B241" t="s">
        <v>80</v>
      </c>
      <c r="C241" t="s">
        <v>5</v>
      </c>
      <c r="D241">
        <v>0</v>
      </c>
      <c r="E241" s="1">
        <f t="array" ref="E241">INDEX(Исходные_данные_2__2[Дата продажи],MATCH('Исходные данные 2'!B241&amp;'Исходные данные 2'!C241,Исходные_данные_2__2[ФИО покупателя]&amp;Исходные_данные_2__2[Наименование товара],0))</f>
        <v>44941</v>
      </c>
      <c r="F241" t="str">
        <f t="array" ref="F241">INDEX(Исходные_данные_2__2[[Город отправки ]],MATCH('Исходные данные 2'!B241&amp;'Исходные данные 2'!C241,Исходные_данные_2__2[ФИО покупателя]&amp;Исходные_данные_2__2[Наименование товара],0))</f>
        <v>Москва</v>
      </c>
    </row>
    <row r="242" spans="1:6" x14ac:dyDescent="0.25">
      <c r="A242" s="2" t="s">
        <v>420</v>
      </c>
      <c r="B242" t="s">
        <v>158</v>
      </c>
      <c r="C242" t="s">
        <v>8</v>
      </c>
      <c r="D242">
        <v>0</v>
      </c>
      <c r="E242" s="1">
        <f t="array" ref="E242">INDEX(Исходные_данные_2__2[Дата продажи],MATCH('Исходные данные 2'!B242&amp;'Исходные данные 2'!C242,Исходные_данные_2__2[ФИО покупателя]&amp;Исходные_данные_2__2[Наименование товара],0))</f>
        <v>44959</v>
      </c>
      <c r="F242" t="str">
        <f t="array" ref="F242">INDEX(Исходные_данные_2__2[[Город отправки ]],MATCH('Исходные данные 2'!B242&amp;'Исходные данные 2'!C242,Исходные_данные_2__2[ФИО покупателя]&amp;Исходные_данные_2__2[Наименование товара],0))</f>
        <v>Воронеж</v>
      </c>
    </row>
    <row r="243" spans="1:6" x14ac:dyDescent="0.25">
      <c r="A243" s="2" t="s">
        <v>420</v>
      </c>
      <c r="B243" t="s">
        <v>12</v>
      </c>
      <c r="C243" t="s">
        <v>5</v>
      </c>
      <c r="D243">
        <v>0</v>
      </c>
      <c r="E243" s="1">
        <f t="array" ref="E243">INDEX(Исходные_данные_2__2[Дата продажи],MATCH('Исходные данные 2'!B243&amp;'Исходные данные 2'!C243,Исходные_данные_2__2[ФИО покупателя]&amp;Исходные_данные_2__2[Наименование товара],0))</f>
        <v>44927</v>
      </c>
      <c r="F243" t="str">
        <f t="array" ref="F243">INDEX(Исходные_данные_2__2[[Город отправки ]],MATCH('Исходные данные 2'!B243&amp;'Исходные данные 2'!C243,Исходные_данные_2__2[ФИО покупателя]&amp;Исходные_данные_2__2[Наименование товара],0))</f>
        <v>Владимир</v>
      </c>
    </row>
    <row r="244" spans="1:6" x14ac:dyDescent="0.25">
      <c r="A244" s="2" t="s">
        <v>420</v>
      </c>
      <c r="B244" t="s">
        <v>12</v>
      </c>
      <c r="C244" t="s">
        <v>8</v>
      </c>
      <c r="D244">
        <v>0.03</v>
      </c>
      <c r="E244" s="1">
        <f t="array" ref="E244">INDEX(Исходные_данные_2__2[Дата продажи],MATCH('Исходные данные 2'!B244&amp;'Исходные данные 2'!C244,Исходные_данные_2__2[ФИО покупателя]&amp;Исходные_данные_2__2[Наименование товара],0))</f>
        <v>44927</v>
      </c>
      <c r="F244" t="str">
        <f t="array" ref="F244">INDEX(Исходные_данные_2__2[[Город отправки ]],MATCH('Исходные данные 2'!B244&amp;'Исходные данные 2'!C244,Исходные_данные_2__2[ФИО покупателя]&amp;Исходные_данные_2__2[Наименование товара],0))</f>
        <v>Владимир</v>
      </c>
    </row>
    <row r="245" spans="1:6" x14ac:dyDescent="0.25">
      <c r="A245" s="2" t="s">
        <v>421</v>
      </c>
      <c r="B245" t="s">
        <v>186</v>
      </c>
      <c r="C245" t="s">
        <v>15</v>
      </c>
      <c r="D245">
        <v>0</v>
      </c>
      <c r="E245" s="1">
        <f t="array" ref="E245">INDEX(Исходные_данные_2__2[Дата продажи],MATCH('Исходные данные 2'!B245&amp;'Исходные данные 2'!C245,Исходные_данные_2__2[ФИО покупателя]&amp;Исходные_данные_2__2[Наименование товара],0))</f>
        <v>44965</v>
      </c>
      <c r="F245" t="str">
        <f t="array" ref="F245">INDEX(Исходные_данные_2__2[[Город отправки ]],MATCH('Исходные данные 2'!B245&amp;'Исходные данные 2'!C245,Исходные_данные_2__2[ФИО покупателя]&amp;Исходные_данные_2__2[Наименование товара],0))</f>
        <v>Санкт-Петерубрг</v>
      </c>
    </row>
    <row r="246" spans="1:6" x14ac:dyDescent="0.25">
      <c r="A246" s="2" t="s">
        <v>421</v>
      </c>
      <c r="B246" t="s">
        <v>398</v>
      </c>
      <c r="C246" t="s">
        <v>22</v>
      </c>
      <c r="D246">
        <v>0</v>
      </c>
      <c r="E246" s="1">
        <f t="array" ref="E246">INDEX(Исходные_данные_2__2[Дата продажи],MATCH('Исходные данные 2'!B246&amp;'Исходные данные 2'!C246,Исходные_данные_2__2[ФИО покупателя]&amp;Исходные_данные_2__2[Наименование товара],0))</f>
        <v>45012</v>
      </c>
      <c r="F246" t="str">
        <f t="array" ref="F246">INDEX(Исходные_данные_2__2[[Город отправки ]],MATCH('Исходные данные 2'!B246&amp;'Исходные данные 2'!C246,Исходные_данные_2__2[ФИО покупателя]&amp;Исходные_данные_2__2[Наименование товара],0))</f>
        <v>Псков</v>
      </c>
    </row>
    <row r="247" spans="1:6" x14ac:dyDescent="0.25">
      <c r="A247" s="2" t="s">
        <v>421</v>
      </c>
      <c r="B247" t="s">
        <v>121</v>
      </c>
      <c r="C247" t="s">
        <v>8</v>
      </c>
      <c r="D247">
        <v>0</v>
      </c>
      <c r="E247" s="1">
        <f t="array" ref="E247">INDEX(Исходные_данные_2__2[Дата продажи],MATCH('Исходные данные 2'!B247&amp;'Исходные данные 2'!C247,Исходные_данные_2__2[ФИО покупателя]&amp;Исходные_данные_2__2[Наименование товара],0))</f>
        <v>44952</v>
      </c>
      <c r="F247" t="str">
        <f t="array" ref="F247">INDEX(Исходные_данные_2__2[[Город отправки ]],MATCH('Исходные данные 2'!B247&amp;'Исходные данные 2'!C247,Исходные_данные_2__2[ФИО покупателя]&amp;Исходные_данные_2__2[Наименование товара],0))</f>
        <v>Мурманск</v>
      </c>
    </row>
    <row r="248" spans="1:6" x14ac:dyDescent="0.25">
      <c r="A248" s="2" t="s">
        <v>421</v>
      </c>
      <c r="B248" t="s">
        <v>230</v>
      </c>
      <c r="C248" t="s">
        <v>17</v>
      </c>
      <c r="D248">
        <v>0</v>
      </c>
      <c r="E248" s="1">
        <f t="array" ref="E248">INDEX(Исходные_данные_2__2[Дата продажи],MATCH('Исходные данные 2'!B248&amp;'Исходные данные 2'!C248,Исходные_данные_2__2[ФИО покупателя]&amp;Исходные_данные_2__2[Наименование товара],0))</f>
        <v>44976</v>
      </c>
      <c r="F248" t="str">
        <f t="array" ref="F248">INDEX(Исходные_данные_2__2[[Город отправки ]],MATCH('Исходные данные 2'!B248&amp;'Исходные данные 2'!C248,Исходные_данные_2__2[ФИО покупателя]&amp;Исходные_данные_2__2[Наименование товара],0))</f>
        <v>Санкт-Петерубрг</v>
      </c>
    </row>
    <row r="249" spans="1:6" x14ac:dyDescent="0.25">
      <c r="A249" s="2" t="s">
        <v>421</v>
      </c>
      <c r="B249" t="s">
        <v>196</v>
      </c>
      <c r="C249" t="s">
        <v>5</v>
      </c>
      <c r="D249">
        <v>0</v>
      </c>
      <c r="E249" s="1">
        <f t="array" ref="E249">INDEX(Исходные_данные_2__2[Дата продажи],MATCH('Исходные данные 2'!B249&amp;'Исходные данные 2'!C249,Исходные_данные_2__2[ФИО покупателя]&amp;Исходные_данные_2__2[Наименование товара],0))</f>
        <v>44967</v>
      </c>
      <c r="F249" t="str">
        <f t="array" ref="F249">INDEX(Исходные_данные_2__2[[Город отправки ]],MATCH('Исходные данные 2'!B249&amp;'Исходные данные 2'!C249,Исходные_данные_2__2[ФИО покупателя]&amp;Исходные_данные_2__2[Наименование товара],0))</f>
        <v>Петрозаводск</v>
      </c>
    </row>
    <row r="250" spans="1:6" x14ac:dyDescent="0.25">
      <c r="A250" s="2" t="s">
        <v>421</v>
      </c>
      <c r="B250" t="s">
        <v>55</v>
      </c>
      <c r="C250" t="s">
        <v>8</v>
      </c>
      <c r="D250">
        <v>0</v>
      </c>
      <c r="E250" s="1">
        <f t="array" ref="E250">INDEX(Исходные_данные_2__2[Дата продажи],MATCH('Исходные данные 2'!B250&amp;'Исходные данные 2'!C250,Исходные_данные_2__2[ФИО покупателя]&amp;Исходные_данные_2__2[Наименование товара],0))</f>
        <v>44937</v>
      </c>
      <c r="F250" t="str">
        <f t="array" ref="F250">INDEX(Исходные_данные_2__2[[Город отправки ]],MATCH('Исходные данные 2'!B250&amp;'Исходные данные 2'!C250,Исходные_данные_2__2[ФИО покупателя]&amp;Исходные_данные_2__2[Наименование товара],0))</f>
        <v>Вологда</v>
      </c>
    </row>
    <row r="251" spans="1:6" x14ac:dyDescent="0.25">
      <c r="A251" s="2" t="s">
        <v>421</v>
      </c>
      <c r="B251" t="s">
        <v>292</v>
      </c>
      <c r="C251" t="s">
        <v>8</v>
      </c>
      <c r="D251">
        <v>0.02</v>
      </c>
      <c r="E251" s="1">
        <f t="array" ref="E251">INDEX(Исходные_данные_2__2[Дата продажи],MATCH('Исходные данные 2'!B251&amp;'Исходные данные 2'!C251,Исходные_данные_2__2[ФИО покупателя]&amp;Исходные_данные_2__2[Наименование товара],0))</f>
        <v>44991</v>
      </c>
      <c r="F251" t="str">
        <f t="array" ref="F251">INDEX(Исходные_данные_2__2[[Город отправки ]],MATCH('Исходные данные 2'!B251&amp;'Исходные данные 2'!C251,Исходные_данные_2__2[ФИО покупателя]&amp;Исходные_данные_2__2[Наименование товара],0))</f>
        <v>Санкт-Петерубрг</v>
      </c>
    </row>
    <row r="252" spans="1:6" x14ac:dyDescent="0.25">
      <c r="A252" s="2" t="s">
        <v>421</v>
      </c>
      <c r="B252" t="s">
        <v>292</v>
      </c>
      <c r="C252" t="s">
        <v>17</v>
      </c>
      <c r="D252">
        <v>0</v>
      </c>
      <c r="E252" s="1">
        <f t="array" ref="E252">INDEX(Исходные_данные_2__2[Дата продажи],MATCH('Исходные данные 2'!B252&amp;'Исходные данные 2'!C252,Исходные_данные_2__2[ФИО покупателя]&amp;Исходные_данные_2__2[Наименование товара],0))</f>
        <v>44991</v>
      </c>
      <c r="F252" t="str">
        <f t="array" ref="F252">INDEX(Исходные_данные_2__2[[Город отправки ]],MATCH('Исходные данные 2'!B252&amp;'Исходные данные 2'!C252,Исходные_данные_2__2[ФИО покупателя]&amp;Исходные_данные_2__2[Наименование товара],0))</f>
        <v>Санкт-Петерубрг</v>
      </c>
    </row>
    <row r="253" spans="1:6" x14ac:dyDescent="0.25">
      <c r="A253" s="2" t="s">
        <v>421</v>
      </c>
      <c r="B253" t="s">
        <v>209</v>
      </c>
      <c r="C253" t="s">
        <v>8</v>
      </c>
      <c r="D253">
        <v>0</v>
      </c>
      <c r="E253" s="1">
        <f t="array" ref="E253">INDEX(Исходные_данные_2__2[Дата продажи],MATCH('Исходные данные 2'!B253&amp;'Исходные данные 2'!C253,Исходные_данные_2__2[ФИО покупателя]&amp;Исходные_данные_2__2[Наименование товара],0))</f>
        <v>44970</v>
      </c>
      <c r="F253" t="str">
        <f t="array" ref="F253">INDEX(Исходные_данные_2__2[[Город отправки ]],MATCH('Исходные данные 2'!B253&amp;'Исходные данные 2'!C253,Исходные_данные_2__2[ФИО покупателя]&amp;Исходные_данные_2__2[Наименование товара],0))</f>
        <v>Великий Новгород</v>
      </c>
    </row>
    <row r="254" spans="1:6" x14ac:dyDescent="0.25">
      <c r="A254" s="2" t="s">
        <v>421</v>
      </c>
      <c r="B254" t="s">
        <v>295</v>
      </c>
      <c r="C254" t="s">
        <v>8</v>
      </c>
      <c r="D254">
        <v>0</v>
      </c>
      <c r="E254" s="1">
        <f t="array" ref="E254">INDEX(Исходные_данные_2__2[Дата продажи],MATCH('Исходные данные 2'!B254&amp;'Исходные данные 2'!C254,Исходные_данные_2__2[ФИО покупателя]&amp;Исходные_данные_2__2[Наименование товара],0))</f>
        <v>44992</v>
      </c>
      <c r="F254" t="str">
        <f t="array" ref="F254">INDEX(Исходные_данные_2__2[[Город отправки ]],MATCH('Исходные данные 2'!B254&amp;'Исходные данные 2'!C254,Исходные_данные_2__2[ФИО покупателя]&amp;Исходные_данные_2__2[Наименование товара],0))</f>
        <v>Санкт-Петерубрг</v>
      </c>
    </row>
    <row r="255" spans="1:6" x14ac:dyDescent="0.25">
      <c r="A255" s="2" t="s">
        <v>421</v>
      </c>
      <c r="B255" t="s">
        <v>239</v>
      </c>
      <c r="C255" t="s">
        <v>15</v>
      </c>
      <c r="D255">
        <v>0</v>
      </c>
      <c r="E255" s="1">
        <f t="array" ref="E255">INDEX(Исходные_данные_2__2[Дата продажи],MATCH('Исходные данные 2'!B255&amp;'Исходные данные 2'!C255,Исходные_данные_2__2[ФИО покупателя]&amp;Исходные_данные_2__2[Наименование товара],0))</f>
        <v>44978</v>
      </c>
      <c r="F255" t="str">
        <f t="array" ref="F255">INDEX(Исходные_данные_2__2[[Город отправки ]],MATCH('Исходные данные 2'!B255&amp;'Исходные данные 2'!C255,Исходные_данные_2__2[ФИО покупателя]&amp;Исходные_данные_2__2[Наименование товара],0))</f>
        <v>Петрозаводск</v>
      </c>
    </row>
    <row r="256" spans="1:6" x14ac:dyDescent="0.25">
      <c r="A256" s="2" t="s">
        <v>421</v>
      </c>
      <c r="B256" t="s">
        <v>240</v>
      </c>
      <c r="C256" t="s">
        <v>15</v>
      </c>
      <c r="D256">
        <v>0</v>
      </c>
      <c r="E256" s="1">
        <f t="array" ref="E256">INDEX(Исходные_данные_2__2[Дата продажи],MATCH('Исходные данные 2'!B256&amp;'Исходные данные 2'!C256,Исходные_данные_2__2[ФИО покупателя]&amp;Исходные_данные_2__2[Наименование товара],0))</f>
        <v>44978</v>
      </c>
      <c r="F256" t="str">
        <f t="array" ref="F256">INDEX(Исходные_данные_2__2[[Город отправки ]],MATCH('Исходные данные 2'!B256&amp;'Исходные данные 2'!C256,Исходные_данные_2__2[ФИО покупателя]&amp;Исходные_данные_2__2[Наименование товара],0))</f>
        <v>Мурманск</v>
      </c>
    </row>
    <row r="257" spans="1:6" x14ac:dyDescent="0.25">
      <c r="A257" s="2" t="s">
        <v>421</v>
      </c>
      <c r="B257" t="s">
        <v>180</v>
      </c>
      <c r="C257" t="s">
        <v>5</v>
      </c>
      <c r="D257">
        <v>0</v>
      </c>
      <c r="E257" s="1">
        <f t="array" ref="E257">INDEX(Исходные_данные_2__2[Дата продажи],MATCH('Исходные данные 2'!B257&amp;'Исходные данные 2'!C257,Исходные_данные_2__2[ФИО покупателя]&amp;Исходные_данные_2__2[Наименование товара],0))</f>
        <v>44964</v>
      </c>
      <c r="F257" t="str">
        <f t="array" ref="F257">INDEX(Исходные_данные_2__2[[Город отправки ]],MATCH('Исходные данные 2'!B257&amp;'Исходные данные 2'!C257,Исходные_данные_2__2[ФИО покупателя]&amp;Исходные_данные_2__2[Наименование товара],0))</f>
        <v>Вологда</v>
      </c>
    </row>
    <row r="258" spans="1:6" x14ac:dyDescent="0.25">
      <c r="A258" s="2" t="s">
        <v>421</v>
      </c>
      <c r="B258" t="s">
        <v>345</v>
      </c>
      <c r="C258" t="s">
        <v>8</v>
      </c>
      <c r="D258">
        <v>0</v>
      </c>
      <c r="E258" s="1">
        <f t="array" ref="E258">INDEX(Исходные_данные_2__2[Дата продажи],MATCH('Исходные данные 2'!B258&amp;'Исходные данные 2'!C258,Исходные_данные_2__2[ФИО покупателя]&amp;Исходные_данные_2__2[Наименование товара],0))</f>
        <v>45002</v>
      </c>
      <c r="F258" t="str">
        <f t="array" ref="F258">INDEX(Исходные_данные_2__2[[Город отправки ]],MATCH('Исходные данные 2'!B258&amp;'Исходные данные 2'!C258,Исходные_данные_2__2[ФИО покупателя]&amp;Исходные_данные_2__2[Наименование товара],0))</f>
        <v>Мурманск</v>
      </c>
    </row>
    <row r="259" spans="1:6" x14ac:dyDescent="0.25">
      <c r="A259" s="2" t="s">
        <v>421</v>
      </c>
      <c r="B259" t="s">
        <v>110</v>
      </c>
      <c r="C259" t="s">
        <v>22</v>
      </c>
      <c r="D259">
        <v>0</v>
      </c>
      <c r="E259" s="1">
        <f t="array" ref="E259">INDEX(Исходные_данные_2__2[Дата продажи],MATCH('Исходные данные 2'!B259&amp;'Исходные данные 2'!C259,Исходные_данные_2__2[ФИО покупателя]&amp;Исходные_данные_2__2[Наименование товара],0))</f>
        <v>44949</v>
      </c>
      <c r="F259" t="str">
        <f t="array" ref="F259">INDEX(Исходные_данные_2__2[[Город отправки ]],MATCH('Исходные данные 2'!B259&amp;'Исходные данные 2'!C259,Исходные_данные_2__2[ФИО покупателя]&amp;Исходные_данные_2__2[Наименование товара],0))</f>
        <v>Санкт-Петерубрг</v>
      </c>
    </row>
    <row r="260" spans="1:6" x14ac:dyDescent="0.25">
      <c r="A260" s="2" t="s">
        <v>421</v>
      </c>
      <c r="B260" t="s">
        <v>198</v>
      </c>
      <c r="C260" t="s">
        <v>17</v>
      </c>
      <c r="D260">
        <v>0</v>
      </c>
      <c r="E260" s="1">
        <f t="array" ref="E260">INDEX(Исходные_данные_2__2[Дата продажи],MATCH('Исходные данные 2'!B260&amp;'Исходные данные 2'!C260,Исходные_данные_2__2[ФИО покупателя]&amp;Исходные_данные_2__2[Наименование товара],0))</f>
        <v>44967</v>
      </c>
      <c r="F260" t="str">
        <f t="array" ref="F260">INDEX(Исходные_данные_2__2[[Город отправки ]],MATCH('Исходные данные 2'!B260&amp;'Исходные данные 2'!C260,Исходные_данные_2__2[ФИО покупателя]&amp;Исходные_данные_2__2[Наименование товара],0))</f>
        <v>Санкт-Петерубрг</v>
      </c>
    </row>
    <row r="261" spans="1:6" x14ac:dyDescent="0.25">
      <c r="A261" s="2" t="s">
        <v>421</v>
      </c>
      <c r="B261" t="s">
        <v>104</v>
      </c>
      <c r="C261" t="s">
        <v>8</v>
      </c>
      <c r="D261">
        <v>0</v>
      </c>
      <c r="E261" s="1">
        <f t="array" ref="E261">INDEX(Исходные_данные_2__2[Дата продажи],MATCH('Исходные данные 2'!B261&amp;'Исходные данные 2'!C261,Исходные_данные_2__2[ФИО покупателя]&amp;Исходные_данные_2__2[Наименование товара],0))</f>
        <v>44948</v>
      </c>
      <c r="F261" t="str">
        <f t="array" ref="F261">INDEX(Исходные_данные_2__2[[Город отправки ]],MATCH('Исходные данные 2'!B261&amp;'Исходные данные 2'!C261,Исходные_данные_2__2[ФИО покупателя]&amp;Исходные_данные_2__2[Наименование товара],0))</f>
        <v>Санкт-Петерубрг</v>
      </c>
    </row>
    <row r="262" spans="1:6" x14ac:dyDescent="0.25">
      <c r="A262" s="2" t="s">
        <v>421</v>
      </c>
      <c r="B262" t="s">
        <v>163</v>
      </c>
      <c r="C262" t="s">
        <v>22</v>
      </c>
      <c r="D262">
        <v>0</v>
      </c>
      <c r="E262" s="1">
        <f t="array" ref="E262">INDEX(Исходные_данные_2__2[Дата продажи],MATCH('Исходные данные 2'!B262&amp;'Исходные данные 2'!C262,Исходные_данные_2__2[ФИО покупателя]&amp;Исходные_данные_2__2[Наименование товара],0))</f>
        <v>44961</v>
      </c>
      <c r="F262" t="str">
        <f t="array" ref="F262">INDEX(Исходные_данные_2__2[[Город отправки ]],MATCH('Исходные данные 2'!B262&amp;'Исходные данные 2'!C262,Исходные_данные_2__2[ФИО покупателя]&amp;Исходные_данные_2__2[Наименование товара],0))</f>
        <v>Великий Новгород</v>
      </c>
    </row>
    <row r="263" spans="1:6" x14ac:dyDescent="0.25">
      <c r="A263" s="2" t="s">
        <v>421</v>
      </c>
      <c r="B263" t="s">
        <v>248</v>
      </c>
      <c r="C263" t="s">
        <v>22</v>
      </c>
      <c r="D263">
        <v>0</v>
      </c>
      <c r="E263" s="1">
        <f t="array" ref="E263">INDEX(Исходные_данные_2__2[Дата продажи],MATCH('Исходные данные 2'!B263&amp;'Исходные данные 2'!C263,Исходные_данные_2__2[ФИО покупателя]&amp;Исходные_данные_2__2[Наименование товара],0))</f>
        <v>44980</v>
      </c>
      <c r="F263" t="str">
        <f t="array" ref="F263">INDEX(Исходные_данные_2__2[[Город отправки ]],MATCH('Исходные данные 2'!B263&amp;'Исходные данные 2'!C263,Исходные_данные_2__2[ФИО покупателя]&amp;Исходные_данные_2__2[Наименование товара],0))</f>
        <v>Мурманск</v>
      </c>
    </row>
    <row r="264" spans="1:6" x14ac:dyDescent="0.25">
      <c r="A264" s="2" t="s">
        <v>421</v>
      </c>
      <c r="B264" t="s">
        <v>273</v>
      </c>
      <c r="C264" t="s">
        <v>17</v>
      </c>
      <c r="D264">
        <v>0</v>
      </c>
      <c r="E264" s="1">
        <f t="array" ref="E264">INDEX(Исходные_данные_2__2[Дата продажи],MATCH('Исходные данные 2'!B264&amp;'Исходные данные 2'!C264,Исходные_данные_2__2[ФИО покупателя]&amp;Исходные_данные_2__2[Наименование товара],0))</f>
        <v>44987</v>
      </c>
      <c r="F264" t="str">
        <f t="array" ref="F264">INDEX(Исходные_данные_2__2[[Город отправки ]],MATCH('Исходные данные 2'!B264&amp;'Исходные данные 2'!C264,Исходные_данные_2__2[ФИО покупателя]&amp;Исходные_данные_2__2[Наименование товара],0))</f>
        <v>Вологда</v>
      </c>
    </row>
    <row r="265" spans="1:6" x14ac:dyDescent="0.25">
      <c r="A265" s="2" t="s">
        <v>421</v>
      </c>
      <c r="B265" t="s">
        <v>319</v>
      </c>
      <c r="C265" t="s">
        <v>15</v>
      </c>
      <c r="D265">
        <v>0</v>
      </c>
      <c r="E265" s="1">
        <f t="array" ref="E265">INDEX(Исходные_данные_2__2[Дата продажи],MATCH('Исходные данные 2'!B265&amp;'Исходные данные 2'!C265,Исходные_данные_2__2[ФИО покупателя]&amp;Исходные_данные_2__2[Наименование товара],0))</f>
        <v>44997</v>
      </c>
      <c r="F265" t="str">
        <f t="array" ref="F265">INDEX(Исходные_данные_2__2[[Город отправки ]],MATCH('Исходные данные 2'!B265&amp;'Исходные данные 2'!C265,Исходные_данные_2__2[ФИО покупателя]&amp;Исходные_данные_2__2[Наименование товара],0))</f>
        <v>Санкт-Петерубрг</v>
      </c>
    </row>
    <row r="266" spans="1:6" x14ac:dyDescent="0.25">
      <c r="A266" s="2" t="s">
        <v>421</v>
      </c>
      <c r="B266" t="s">
        <v>210</v>
      </c>
      <c r="C266" t="s">
        <v>17</v>
      </c>
      <c r="D266">
        <v>0</v>
      </c>
      <c r="E266" s="1">
        <f t="array" ref="E266">INDEX(Исходные_данные_2__2[Дата продажи],MATCH('Исходные данные 2'!B266&amp;'Исходные данные 2'!C266,Исходные_данные_2__2[ФИО покупателя]&amp;Исходные_данные_2__2[Наименование товара],0))</f>
        <v>44970</v>
      </c>
      <c r="F266" t="str">
        <f t="array" ref="F266">INDEX(Исходные_данные_2__2[[Город отправки ]],MATCH('Исходные данные 2'!B266&amp;'Исходные данные 2'!C266,Исходные_данные_2__2[ФИО покупателя]&amp;Исходные_данные_2__2[Наименование товара],0))</f>
        <v>Великий Новгород</v>
      </c>
    </row>
    <row r="267" spans="1:6" x14ac:dyDescent="0.25">
      <c r="A267" s="2" t="s">
        <v>421</v>
      </c>
      <c r="B267" t="s">
        <v>360</v>
      </c>
      <c r="C267" t="s">
        <v>37</v>
      </c>
      <c r="D267">
        <v>0</v>
      </c>
      <c r="E267" s="1">
        <f t="array" ref="E267">INDEX(Исходные_данные_2__2[Дата продажи],MATCH('Исходные данные 2'!B267&amp;'Исходные данные 2'!C267,Исходные_данные_2__2[ФИО покупателя]&amp;Исходные_данные_2__2[Наименование товара],0))</f>
        <v>45005</v>
      </c>
      <c r="F267" t="str">
        <f t="array" ref="F267">INDEX(Исходные_данные_2__2[[Город отправки ]],MATCH('Исходные данные 2'!B267&amp;'Исходные данные 2'!C267,Исходные_данные_2__2[ФИО покупателя]&amp;Исходные_данные_2__2[Наименование товара],0))</f>
        <v>Псков</v>
      </c>
    </row>
    <row r="268" spans="1:6" x14ac:dyDescent="0.25">
      <c r="A268" s="2" t="s">
        <v>421</v>
      </c>
      <c r="B268" t="s">
        <v>334</v>
      </c>
      <c r="C268" t="s">
        <v>8</v>
      </c>
      <c r="D268">
        <v>0</v>
      </c>
      <c r="E268" s="1">
        <f t="array" ref="E268">INDEX(Исходные_данные_2__2[Дата продажи],MATCH('Исходные данные 2'!B268&amp;'Исходные данные 2'!C268,Исходные_данные_2__2[ФИО покупателя]&amp;Исходные_данные_2__2[Наименование товара],0))</f>
        <v>45000</v>
      </c>
      <c r="F268" t="str">
        <f t="array" ref="F268">INDEX(Исходные_данные_2__2[[Город отправки ]],MATCH('Исходные данные 2'!B268&amp;'Исходные данные 2'!C268,Исходные_данные_2__2[ФИО покупателя]&amp;Исходные_данные_2__2[Наименование товара],0))</f>
        <v>Петрозаводск</v>
      </c>
    </row>
    <row r="269" spans="1:6" x14ac:dyDescent="0.25">
      <c r="A269" s="2" t="s">
        <v>421</v>
      </c>
      <c r="B269" t="s">
        <v>178</v>
      </c>
      <c r="C269" t="s">
        <v>37</v>
      </c>
      <c r="D269">
        <v>0</v>
      </c>
      <c r="E269" s="1">
        <f t="array" ref="E269">INDEX(Исходные_данные_2__2[Дата продажи],MATCH('Исходные данные 2'!B269&amp;'Исходные данные 2'!C269,Исходные_данные_2__2[ФИО покупателя]&amp;Исходные_данные_2__2[Наименование товара],0))</f>
        <v>44963</v>
      </c>
      <c r="F269" t="str">
        <f t="array" ref="F269">INDEX(Исходные_данные_2__2[[Город отправки ]],MATCH('Исходные данные 2'!B269&amp;'Исходные данные 2'!C269,Исходные_данные_2__2[ФИО покупателя]&amp;Исходные_данные_2__2[Наименование товара],0))</f>
        <v>Мурманск</v>
      </c>
    </row>
    <row r="270" spans="1:6" x14ac:dyDescent="0.25">
      <c r="A270" s="2" t="s">
        <v>421</v>
      </c>
      <c r="B270" t="s">
        <v>189</v>
      </c>
      <c r="C270" t="s">
        <v>37</v>
      </c>
      <c r="D270">
        <v>0.05</v>
      </c>
      <c r="E270" s="1">
        <f t="array" ref="E270">INDEX(Исходные_данные_2__2[Дата продажи],MATCH('Исходные данные 2'!B270&amp;'Исходные данные 2'!C270,Исходные_данные_2__2[ФИО покупателя]&amp;Исходные_данные_2__2[Наименование товара],0))</f>
        <v>44965</v>
      </c>
      <c r="F270" t="str">
        <f t="array" ref="F270">INDEX(Исходные_данные_2__2[[Город отправки ]],MATCH('Исходные данные 2'!B270&amp;'Исходные данные 2'!C270,Исходные_данные_2__2[ФИО покупателя]&amp;Исходные_данные_2__2[Наименование товара],0))</f>
        <v>Санкт-Петерубрг</v>
      </c>
    </row>
    <row r="271" spans="1:6" x14ac:dyDescent="0.25">
      <c r="A271" s="2" t="s">
        <v>421</v>
      </c>
      <c r="B271" t="s">
        <v>354</v>
      </c>
      <c r="C271" t="s">
        <v>22</v>
      </c>
      <c r="D271">
        <v>0</v>
      </c>
      <c r="E271" s="1">
        <f t="array" ref="E271">INDEX(Исходные_данные_2__2[Дата продажи],MATCH('Исходные данные 2'!B271&amp;'Исходные данные 2'!C271,Исходные_данные_2__2[ФИО покупателя]&amp;Исходные_данные_2__2[Наименование товара],0))</f>
        <v>45004</v>
      </c>
      <c r="F271" t="str">
        <f t="array" ref="F271">INDEX(Исходные_данные_2__2[[Город отправки ]],MATCH('Исходные данные 2'!B271&amp;'Исходные данные 2'!C271,Исходные_данные_2__2[ФИО покупателя]&amp;Исходные_данные_2__2[Наименование товара],0))</f>
        <v>Великий Новгород</v>
      </c>
    </row>
    <row r="272" spans="1:6" x14ac:dyDescent="0.25">
      <c r="A272" s="2" t="s">
        <v>421</v>
      </c>
      <c r="B272" t="s">
        <v>112</v>
      </c>
      <c r="C272" t="s">
        <v>17</v>
      </c>
      <c r="D272">
        <v>0</v>
      </c>
      <c r="E272" s="1">
        <f t="array" ref="E272">INDEX(Исходные_данные_2__2[Дата продажи],MATCH('Исходные данные 2'!B272&amp;'Исходные данные 2'!C272,Исходные_данные_2__2[ФИО покупателя]&amp;Исходные_данные_2__2[Наименование товара],0))</f>
        <v>44949</v>
      </c>
      <c r="F272" t="str">
        <f t="array" ref="F272">INDEX(Исходные_данные_2__2[[Город отправки ]],MATCH('Исходные данные 2'!B272&amp;'Исходные данные 2'!C272,Исходные_данные_2__2[ФИО покупателя]&amp;Исходные_данные_2__2[Наименование товара],0))</f>
        <v>Великий Новгород</v>
      </c>
    </row>
    <row r="273" spans="1:6" x14ac:dyDescent="0.25">
      <c r="A273" s="2" t="s">
        <v>421</v>
      </c>
      <c r="B273" t="s">
        <v>228</v>
      </c>
      <c r="C273" t="s">
        <v>22</v>
      </c>
      <c r="D273">
        <v>0</v>
      </c>
      <c r="E273" s="1">
        <f t="array" ref="E273">INDEX(Исходные_данные_2__2[Дата продажи],MATCH('Исходные данные 2'!B273&amp;'Исходные данные 2'!C273,Исходные_данные_2__2[ФИО покупателя]&amp;Исходные_данные_2__2[Наименование товара],0))</f>
        <v>44975</v>
      </c>
      <c r="F273" t="str">
        <f t="array" ref="F273">INDEX(Исходные_данные_2__2[[Город отправки ]],MATCH('Исходные данные 2'!B273&amp;'Исходные данные 2'!C273,Исходные_данные_2__2[ФИО покупателя]&amp;Исходные_данные_2__2[Наименование товара],0))</f>
        <v>Великий Новгород</v>
      </c>
    </row>
    <row r="274" spans="1:6" x14ac:dyDescent="0.25">
      <c r="A274" s="2" t="s">
        <v>421</v>
      </c>
      <c r="B274" t="s">
        <v>172</v>
      </c>
      <c r="C274" t="s">
        <v>8</v>
      </c>
      <c r="D274">
        <v>0.02</v>
      </c>
      <c r="E274" s="1">
        <f t="array" ref="E274">INDEX(Исходные_данные_2__2[Дата продажи],MATCH('Исходные данные 2'!B274&amp;'Исходные данные 2'!C274,Исходные_данные_2__2[ФИО покупателя]&amp;Исходные_данные_2__2[Наименование товара],0))</f>
        <v>44962</v>
      </c>
      <c r="F274" t="str">
        <f t="array" ref="F274">INDEX(Исходные_данные_2__2[[Город отправки ]],MATCH('Исходные данные 2'!B274&amp;'Исходные данные 2'!C274,Исходные_данные_2__2[ФИО покупателя]&amp;Исходные_данные_2__2[Наименование товара],0))</f>
        <v>Санкт-Петерубрг</v>
      </c>
    </row>
    <row r="275" spans="1:6" x14ac:dyDescent="0.25">
      <c r="A275" s="2" t="s">
        <v>421</v>
      </c>
      <c r="B275" t="s">
        <v>172</v>
      </c>
      <c r="C275" t="s">
        <v>17</v>
      </c>
      <c r="D275">
        <v>0</v>
      </c>
      <c r="E275" s="1">
        <f t="array" ref="E275">INDEX(Исходные_данные_2__2[Дата продажи],MATCH('Исходные данные 2'!B275&amp;'Исходные данные 2'!C275,Исходные_данные_2__2[ФИО покупателя]&amp;Исходные_данные_2__2[Наименование товара],0))</f>
        <v>44962</v>
      </c>
      <c r="F275" t="str">
        <f t="array" ref="F275">INDEX(Исходные_данные_2__2[[Город отправки ]],MATCH('Исходные данные 2'!B275&amp;'Исходные данные 2'!C275,Исходные_данные_2__2[ФИО покупателя]&amp;Исходные_данные_2__2[Наименование товара],0))</f>
        <v>Санкт-Петерубрг</v>
      </c>
    </row>
    <row r="276" spans="1:6" x14ac:dyDescent="0.25">
      <c r="A276" s="2" t="s">
        <v>421</v>
      </c>
      <c r="B276" t="s">
        <v>215</v>
      </c>
      <c r="C276" t="s">
        <v>17</v>
      </c>
      <c r="D276">
        <v>0</v>
      </c>
      <c r="E276" s="1">
        <f t="array" ref="E276">INDEX(Исходные_данные_2__2[Дата продажи],MATCH('Исходные данные 2'!B276&amp;'Исходные данные 2'!C276,Исходные_данные_2__2[ФИО покупателя]&amp;Исходные_данные_2__2[Наименование товара],0))</f>
        <v>44971</v>
      </c>
      <c r="F276" t="str">
        <f t="array" ref="F276">INDEX(Исходные_данные_2__2[[Город отправки ]],MATCH('Исходные данные 2'!B276&amp;'Исходные данные 2'!C276,Исходные_данные_2__2[ФИО покупателя]&amp;Исходные_данные_2__2[Наименование товара],0))</f>
        <v>Санкт-Петерубрг</v>
      </c>
    </row>
    <row r="277" spans="1:6" x14ac:dyDescent="0.25">
      <c r="A277" s="2" t="s">
        <v>421</v>
      </c>
      <c r="B277" t="s">
        <v>137</v>
      </c>
      <c r="C277" t="s">
        <v>17</v>
      </c>
      <c r="D277">
        <v>0</v>
      </c>
      <c r="E277" s="1">
        <f t="array" ref="E277">INDEX(Исходные_данные_2__2[Дата продажи],MATCH('Исходные данные 2'!B277&amp;'Исходные данные 2'!C277,Исходные_данные_2__2[ФИО покупателя]&amp;Исходные_данные_2__2[Наименование товара],0))</f>
        <v>44955</v>
      </c>
      <c r="F277" t="str">
        <f t="array" ref="F277">INDEX(Исходные_данные_2__2[[Город отправки ]],MATCH('Исходные данные 2'!B277&amp;'Исходные данные 2'!C277,Исходные_данные_2__2[ФИО покупателя]&amp;Исходные_данные_2__2[Наименование товара],0))</f>
        <v>Мурманск</v>
      </c>
    </row>
    <row r="278" spans="1:6" x14ac:dyDescent="0.25">
      <c r="A278" s="2" t="s">
        <v>421</v>
      </c>
      <c r="B278" t="s">
        <v>118</v>
      </c>
      <c r="C278" t="s">
        <v>5</v>
      </c>
      <c r="D278">
        <v>0</v>
      </c>
      <c r="E278" s="1">
        <f t="array" ref="E278">INDEX(Исходные_данные_2__2[Дата продажи],MATCH('Исходные данные 2'!B278&amp;'Исходные данные 2'!C278,Исходные_данные_2__2[ФИО покупателя]&amp;Исходные_данные_2__2[Наименование товара],0))</f>
        <v>44950</v>
      </c>
      <c r="F278" t="str">
        <f t="array" ref="F278">INDEX(Исходные_данные_2__2[[Город отправки ]],MATCH('Исходные данные 2'!B278&amp;'Исходные данные 2'!C278,Исходные_данные_2__2[ФИО покупателя]&amp;Исходные_данные_2__2[Наименование товара],0))</f>
        <v>Вологда</v>
      </c>
    </row>
    <row r="279" spans="1:6" x14ac:dyDescent="0.25">
      <c r="A279" s="2" t="s">
        <v>421</v>
      </c>
      <c r="B279" t="s">
        <v>330</v>
      </c>
      <c r="C279" t="s">
        <v>5</v>
      </c>
      <c r="D279">
        <v>0</v>
      </c>
      <c r="E279" s="1">
        <f t="array" ref="E279">INDEX(Исходные_данные_2__2[Дата продажи],MATCH('Исходные данные 2'!B279&amp;'Исходные данные 2'!C279,Исходные_данные_2__2[ФИО покупателя]&amp;Исходные_данные_2__2[Наименование товара],0))</f>
        <v>44999</v>
      </c>
      <c r="F279" t="str">
        <f t="array" ref="F279">INDEX(Исходные_данные_2__2[[Город отправки ]],MATCH('Исходные данные 2'!B279&amp;'Исходные данные 2'!C279,Исходные_данные_2__2[ФИО покупателя]&amp;Исходные_данные_2__2[Наименование товара],0))</f>
        <v>Санкт-Петерубрг</v>
      </c>
    </row>
    <row r="280" spans="1:6" x14ac:dyDescent="0.25">
      <c r="A280" s="2" t="s">
        <v>421</v>
      </c>
      <c r="B280" t="s">
        <v>258</v>
      </c>
      <c r="C280" t="s">
        <v>22</v>
      </c>
      <c r="D280">
        <v>0</v>
      </c>
      <c r="E280" s="1">
        <f t="array" ref="E280">INDEX(Исходные_данные_2__2[Дата продажи],MATCH('Исходные данные 2'!B280&amp;'Исходные данные 2'!C280,Исходные_данные_2__2[ФИО покупателя]&amp;Исходные_данные_2__2[Наименование товара],0))</f>
        <v>44983</v>
      </c>
      <c r="F280" t="str">
        <f t="array" ref="F280">INDEX(Исходные_данные_2__2[[Город отправки ]],MATCH('Исходные данные 2'!B280&amp;'Исходные данные 2'!C280,Исходные_данные_2__2[ФИО покупателя]&amp;Исходные_данные_2__2[Наименование товара],0))</f>
        <v>Санкт-Петерубрг</v>
      </c>
    </row>
    <row r="281" spans="1:6" x14ac:dyDescent="0.25">
      <c r="A281" s="2" t="s">
        <v>421</v>
      </c>
      <c r="B281" t="s">
        <v>175</v>
      </c>
      <c r="C281" t="s">
        <v>22</v>
      </c>
      <c r="D281">
        <v>0</v>
      </c>
      <c r="E281" s="1">
        <f t="array" ref="E281">INDEX(Исходные_данные_2__2[Дата продажи],MATCH('Исходные данные 2'!B281&amp;'Исходные данные 2'!C281,Исходные_данные_2__2[ФИО покупателя]&amp;Исходные_данные_2__2[Наименование товара],0))</f>
        <v>44962</v>
      </c>
      <c r="F281" t="str">
        <f t="array" ref="F281">INDEX(Исходные_данные_2__2[[Город отправки ]],MATCH('Исходные данные 2'!B281&amp;'Исходные данные 2'!C281,Исходные_данные_2__2[ФИО покупателя]&amp;Исходные_данные_2__2[Наименование товара],0))</f>
        <v>Великий Новгород</v>
      </c>
    </row>
    <row r="282" spans="1:6" x14ac:dyDescent="0.25">
      <c r="A282" s="2" t="s">
        <v>421</v>
      </c>
      <c r="B282" t="s">
        <v>16</v>
      </c>
      <c r="C282" t="s">
        <v>17</v>
      </c>
      <c r="D282">
        <v>0</v>
      </c>
      <c r="E282" s="1">
        <f t="array" ref="E282">INDEX(Исходные_данные_2__2[Дата продажи],MATCH('Исходные данные 2'!B282&amp;'Исходные данные 2'!C282,Исходные_данные_2__2[ФИО покупателя]&amp;Исходные_данные_2__2[Наименование товара],0))</f>
        <v>44928</v>
      </c>
      <c r="F282" t="str">
        <f t="array" ref="F282">INDEX(Исходные_данные_2__2[[Город отправки ]],MATCH('Исходные данные 2'!B282&amp;'Исходные данные 2'!C282,Исходные_данные_2__2[ФИО покупателя]&amp;Исходные_данные_2__2[Наименование товара],0))</f>
        <v>Мурманск</v>
      </c>
    </row>
    <row r="283" spans="1:6" x14ac:dyDescent="0.25">
      <c r="A283" s="2" t="s">
        <v>421</v>
      </c>
      <c r="B283" t="s">
        <v>264</v>
      </c>
      <c r="C283" t="s">
        <v>37</v>
      </c>
      <c r="D283">
        <v>0</v>
      </c>
      <c r="E283" s="1">
        <f t="array" ref="E283">INDEX(Исходные_данные_2__2[Дата продажи],MATCH('Исходные данные 2'!B283&amp;'Исходные данные 2'!C283,Исходные_данные_2__2[ФИО покупателя]&amp;Исходные_данные_2__2[Наименование товара],0))</f>
        <v>44985</v>
      </c>
      <c r="F283" t="str">
        <f t="array" ref="F283">INDEX(Исходные_данные_2__2[[Город отправки ]],MATCH('Исходные данные 2'!B283&amp;'Исходные данные 2'!C283,Исходные_данные_2__2[ФИО покупателя]&amp;Исходные_данные_2__2[Наименование товара],0))</f>
        <v>Мурманск</v>
      </c>
    </row>
    <row r="284" spans="1:6" x14ac:dyDescent="0.25">
      <c r="A284" s="2" t="s">
        <v>421</v>
      </c>
      <c r="B284" t="s">
        <v>331</v>
      </c>
      <c r="C284" t="s">
        <v>22</v>
      </c>
      <c r="D284">
        <v>0</v>
      </c>
      <c r="E284" s="1">
        <f t="array" ref="E284">INDEX(Исходные_данные_2__2[Дата продажи],MATCH('Исходные данные 2'!B284&amp;'Исходные данные 2'!C284,Исходные_данные_2__2[ФИО покупателя]&amp;Исходные_данные_2__2[Наименование товара],0))</f>
        <v>44999</v>
      </c>
      <c r="F284" t="str">
        <f t="array" ref="F284">INDEX(Исходные_данные_2__2[[Город отправки ]],MATCH('Исходные данные 2'!B284&amp;'Исходные данные 2'!C284,Исходные_данные_2__2[ФИО покупателя]&amp;Исходные_данные_2__2[Наименование товара],0))</f>
        <v>Мурманск</v>
      </c>
    </row>
    <row r="285" spans="1:6" x14ac:dyDescent="0.25">
      <c r="A285" s="2" t="s">
        <v>421</v>
      </c>
      <c r="B285" t="s">
        <v>154</v>
      </c>
      <c r="C285" t="s">
        <v>8</v>
      </c>
      <c r="D285">
        <v>0</v>
      </c>
      <c r="E285" s="1">
        <f t="array" ref="E285">INDEX(Исходные_данные_2__2[Дата продажи],MATCH('Исходные данные 2'!B285&amp;'Исходные данные 2'!C285,Исходные_данные_2__2[ФИО покупателя]&amp;Исходные_данные_2__2[Наименование товара],0))</f>
        <v>44958</v>
      </c>
      <c r="F285" t="str">
        <f t="array" ref="F285">INDEX(Исходные_данные_2__2[[Город отправки ]],MATCH('Исходные данные 2'!B285&amp;'Исходные данные 2'!C285,Исходные_данные_2__2[ФИО покупателя]&amp;Исходные_данные_2__2[Наименование товара],0))</f>
        <v>Санкт-Петерубрг</v>
      </c>
    </row>
    <row r="286" spans="1:6" x14ac:dyDescent="0.25">
      <c r="A286" s="2" t="s">
        <v>421</v>
      </c>
      <c r="B286" t="s">
        <v>367</v>
      </c>
      <c r="C286" t="s">
        <v>15</v>
      </c>
      <c r="D286">
        <v>0</v>
      </c>
      <c r="E286" s="1">
        <f t="array" ref="E286">INDEX(Исходные_данные_2__2[Дата продажи],MATCH('Исходные данные 2'!B286&amp;'Исходные данные 2'!C286,Исходные_данные_2__2[ФИО покупателя]&amp;Исходные_данные_2__2[Наименование товара],0))</f>
        <v>45006</v>
      </c>
      <c r="F286" t="str">
        <f t="array" ref="F286">INDEX(Исходные_данные_2__2[[Город отправки ]],MATCH('Исходные данные 2'!B286&amp;'Исходные данные 2'!C286,Исходные_данные_2__2[ФИО покупателя]&amp;Исходные_данные_2__2[Наименование товара],0))</f>
        <v>Псков</v>
      </c>
    </row>
    <row r="287" spans="1:6" x14ac:dyDescent="0.25">
      <c r="A287" s="2" t="s">
        <v>421</v>
      </c>
      <c r="B287" t="s">
        <v>255</v>
      </c>
      <c r="C287" t="s">
        <v>17</v>
      </c>
      <c r="D287">
        <v>0</v>
      </c>
      <c r="E287" s="1">
        <f t="array" ref="E287">INDEX(Исходные_данные_2__2[Дата продажи],MATCH('Исходные данные 2'!B287&amp;'Исходные данные 2'!C287,Исходные_данные_2__2[ФИО покупателя]&amp;Исходные_данные_2__2[Наименование товара],0))</f>
        <v>44982</v>
      </c>
      <c r="F287" t="str">
        <f t="array" ref="F287">INDEX(Исходные_данные_2__2[[Город отправки ]],MATCH('Исходные данные 2'!B287&amp;'Исходные данные 2'!C287,Исходные_данные_2__2[ФИО покупателя]&amp;Исходные_данные_2__2[Наименование товара],0))</f>
        <v>Санкт-Петерубрг</v>
      </c>
    </row>
    <row r="288" spans="1:6" x14ac:dyDescent="0.25">
      <c r="A288" s="2" t="s">
        <v>421</v>
      </c>
      <c r="B288" t="s">
        <v>362</v>
      </c>
      <c r="C288" t="s">
        <v>8</v>
      </c>
      <c r="D288">
        <v>0</v>
      </c>
      <c r="E288" s="1">
        <f t="array" ref="E288">INDEX(Исходные_данные_2__2[Дата продажи],MATCH('Исходные данные 2'!B288&amp;'Исходные данные 2'!C288,Исходные_данные_2__2[ФИО покупателя]&amp;Исходные_данные_2__2[Наименование товара],0))</f>
        <v>45005</v>
      </c>
      <c r="F288" t="str">
        <f t="array" ref="F288">INDEX(Исходные_данные_2__2[[Город отправки ]],MATCH('Исходные данные 2'!B288&amp;'Исходные данные 2'!C288,Исходные_данные_2__2[ФИО покупателя]&amp;Исходные_данные_2__2[Наименование товара],0))</f>
        <v>Псков</v>
      </c>
    </row>
    <row r="289" spans="1:6" x14ac:dyDescent="0.25">
      <c r="A289" s="2" t="s">
        <v>421</v>
      </c>
      <c r="B289" t="s">
        <v>285</v>
      </c>
      <c r="C289" t="s">
        <v>37</v>
      </c>
      <c r="D289">
        <v>0</v>
      </c>
      <c r="E289" s="1">
        <f t="array" ref="E289">INDEX(Исходные_данные_2__2[Дата продажи],MATCH('Исходные данные 2'!B289&amp;'Исходные данные 2'!C289,Исходные_данные_2__2[ФИО покупателя]&amp;Исходные_данные_2__2[Наименование товара],0))</f>
        <v>44989</v>
      </c>
      <c r="F289" t="str">
        <f t="array" ref="F289">INDEX(Исходные_данные_2__2[[Город отправки ]],MATCH('Исходные данные 2'!B289&amp;'Исходные данные 2'!C289,Исходные_данные_2__2[ФИО покупателя]&amp;Исходные_данные_2__2[Наименование товара],0))</f>
        <v>Великий Новгород</v>
      </c>
    </row>
    <row r="290" spans="1:6" x14ac:dyDescent="0.25">
      <c r="A290" s="2" t="s">
        <v>421</v>
      </c>
      <c r="B290" t="s">
        <v>225</v>
      </c>
      <c r="C290" t="s">
        <v>8</v>
      </c>
      <c r="D290">
        <v>0</v>
      </c>
      <c r="E290" s="1">
        <f t="array" ref="E290">INDEX(Исходные_данные_2__2[Дата продажи],MATCH('Исходные данные 2'!B290&amp;'Исходные данные 2'!C290,Исходные_данные_2__2[ФИО покупателя]&amp;Исходные_данные_2__2[Наименование товара],0))</f>
        <v>44973</v>
      </c>
      <c r="F290" t="str">
        <f t="array" ref="F290">INDEX(Исходные_данные_2__2[[Город отправки ]],MATCH('Исходные данные 2'!B290&amp;'Исходные данные 2'!C290,Исходные_данные_2__2[ФИО покупателя]&amp;Исходные_данные_2__2[Наименование товара],0))</f>
        <v>Санкт-Петерубрг</v>
      </c>
    </row>
    <row r="291" spans="1:6" x14ac:dyDescent="0.25">
      <c r="A291" s="2" t="s">
        <v>421</v>
      </c>
      <c r="B291" t="s">
        <v>321</v>
      </c>
      <c r="C291" t="s">
        <v>37</v>
      </c>
      <c r="D291">
        <v>0</v>
      </c>
      <c r="E291" s="1">
        <f t="array" ref="E291">INDEX(Исходные_данные_2__2[Дата продажи],MATCH('Исходные данные 2'!B291&amp;'Исходные данные 2'!C291,Исходные_данные_2__2[ФИО покупателя]&amp;Исходные_данные_2__2[Наименование товара],0))</f>
        <v>44997</v>
      </c>
      <c r="F291" t="str">
        <f t="array" ref="F291">INDEX(Исходные_данные_2__2[[Город отправки ]],MATCH('Исходные данные 2'!B291&amp;'Исходные данные 2'!C291,Исходные_данные_2__2[ФИО покупателя]&amp;Исходные_данные_2__2[Наименование товара],0))</f>
        <v>Санкт-Петерубрг</v>
      </c>
    </row>
    <row r="292" spans="1:6" x14ac:dyDescent="0.25">
      <c r="A292" s="2" t="s">
        <v>421</v>
      </c>
      <c r="B292" t="s">
        <v>166</v>
      </c>
      <c r="C292" t="s">
        <v>5</v>
      </c>
      <c r="D292">
        <v>0</v>
      </c>
      <c r="E292" s="1">
        <f t="array" ref="E292">INDEX(Исходные_данные_2__2[Дата продажи],MATCH('Исходные данные 2'!B292&amp;'Исходные данные 2'!C292,Исходные_данные_2__2[ФИО покупателя]&amp;Исходные_данные_2__2[Наименование товара],0))</f>
        <v>44961</v>
      </c>
      <c r="F292" t="str">
        <f t="array" ref="F292">INDEX(Исходные_данные_2__2[[Город отправки ]],MATCH('Исходные данные 2'!B292&amp;'Исходные данные 2'!C292,Исходные_данные_2__2[ФИО покупателя]&amp;Исходные_данные_2__2[Наименование товара],0))</f>
        <v>Великий Новгород</v>
      </c>
    </row>
    <row r="293" spans="1:6" x14ac:dyDescent="0.25">
      <c r="A293" s="2" t="s">
        <v>421</v>
      </c>
      <c r="B293" t="s">
        <v>101</v>
      </c>
      <c r="C293" t="s">
        <v>17</v>
      </c>
      <c r="D293">
        <v>0</v>
      </c>
      <c r="E293" s="1">
        <f t="array" ref="E293">INDEX(Исходные_данные_2__2[Дата продажи],MATCH('Исходные данные 2'!B293&amp;'Исходные данные 2'!C293,Исходные_данные_2__2[ФИО покупателя]&amp;Исходные_данные_2__2[Наименование товара],0))</f>
        <v>44947</v>
      </c>
      <c r="F293" t="str">
        <f t="array" ref="F293">INDEX(Исходные_данные_2__2[[Город отправки ]],MATCH('Исходные данные 2'!B293&amp;'Исходные данные 2'!C293,Исходные_данные_2__2[ФИО покупателя]&amp;Исходные_данные_2__2[Наименование товара],0))</f>
        <v>Санкт-Петерубрг</v>
      </c>
    </row>
    <row r="294" spans="1:6" x14ac:dyDescent="0.25">
      <c r="A294" s="2" t="s">
        <v>421</v>
      </c>
      <c r="B294" t="s">
        <v>85</v>
      </c>
      <c r="C294" t="s">
        <v>15</v>
      </c>
      <c r="D294">
        <v>0</v>
      </c>
      <c r="E294" s="1">
        <f t="array" ref="E294">INDEX(Исходные_данные_2__2[Дата продажи],MATCH('Исходные данные 2'!B294&amp;'Исходные данные 2'!C294,Исходные_данные_2__2[ФИО покупателя]&amp;Исходные_данные_2__2[Наименование товара],0))</f>
        <v>44943</v>
      </c>
      <c r="F294" t="str">
        <f t="array" ref="F294">INDEX(Исходные_данные_2__2[[Город отправки ]],MATCH('Исходные данные 2'!B294&amp;'Исходные данные 2'!C294,Исходные_данные_2__2[ФИО покупателя]&amp;Исходные_данные_2__2[Наименование товара],0))</f>
        <v>Вологда</v>
      </c>
    </row>
    <row r="295" spans="1:6" x14ac:dyDescent="0.25">
      <c r="A295" s="2" t="s">
        <v>421</v>
      </c>
      <c r="B295" t="s">
        <v>89</v>
      </c>
      <c r="C295" t="s">
        <v>22</v>
      </c>
      <c r="D295">
        <v>0</v>
      </c>
      <c r="E295" s="1">
        <f t="array" ref="E295">INDEX(Исходные_данные_2__2[Дата продажи],MATCH('Исходные данные 2'!B295&amp;'Исходные данные 2'!C295,Исходные_данные_2__2[ФИО покупателя]&amp;Исходные_данные_2__2[Наименование товара],0))</f>
        <v>44944</v>
      </c>
      <c r="F295" t="str">
        <f t="array" ref="F295">INDEX(Исходные_данные_2__2[[Город отправки ]],MATCH('Исходные данные 2'!B295&amp;'Исходные данные 2'!C295,Исходные_данные_2__2[ФИО покупателя]&amp;Исходные_данные_2__2[Наименование товара],0))</f>
        <v>Вологда</v>
      </c>
    </row>
    <row r="296" spans="1:6" x14ac:dyDescent="0.25">
      <c r="A296" s="2" t="s">
        <v>421</v>
      </c>
      <c r="B296" t="s">
        <v>342</v>
      </c>
      <c r="C296" t="s">
        <v>8</v>
      </c>
      <c r="D296">
        <v>0</v>
      </c>
      <c r="E296" s="1">
        <f t="array" ref="E296">INDEX(Исходные_данные_2__2[Дата продажи],MATCH('Исходные данные 2'!B296&amp;'Исходные данные 2'!C296,Исходные_данные_2__2[ФИО покупателя]&amp;Исходные_данные_2__2[Наименование товара],0))</f>
        <v>45001</v>
      </c>
      <c r="F296" t="str">
        <f t="array" ref="F296">INDEX(Исходные_данные_2__2[[Город отправки ]],MATCH('Исходные данные 2'!B296&amp;'Исходные данные 2'!C296,Исходные_данные_2__2[ФИО покупателя]&amp;Исходные_данные_2__2[Наименование товара],0))</f>
        <v>Санкт-Петерубрг</v>
      </c>
    </row>
    <row r="297" spans="1:6" x14ac:dyDescent="0.25">
      <c r="A297" s="2" t="s">
        <v>421</v>
      </c>
      <c r="B297" t="s">
        <v>70</v>
      </c>
      <c r="C297" t="s">
        <v>37</v>
      </c>
      <c r="D297">
        <v>0</v>
      </c>
      <c r="E297" s="1">
        <f t="array" ref="E297">INDEX(Исходные_данные_2__2[Дата продажи],MATCH('Исходные данные 2'!B297&amp;'Исходные данные 2'!C297,Исходные_данные_2__2[ФИО покупателя]&amp;Исходные_данные_2__2[Наименование товара],0))</f>
        <v>44939</v>
      </c>
      <c r="F297" t="str">
        <f t="array" ref="F297">INDEX(Исходные_данные_2__2[[Город отправки ]],MATCH('Исходные данные 2'!B297&amp;'Исходные данные 2'!C297,Исходные_данные_2__2[ФИО покупателя]&amp;Исходные_данные_2__2[Наименование товара],0))</f>
        <v>Санкт-Петерубрг</v>
      </c>
    </row>
    <row r="298" spans="1:6" x14ac:dyDescent="0.25">
      <c r="A298" s="2" t="s">
        <v>421</v>
      </c>
      <c r="B298" t="s">
        <v>365</v>
      </c>
      <c r="C298" t="s">
        <v>5</v>
      </c>
      <c r="D298">
        <v>0</v>
      </c>
      <c r="E298" s="1">
        <f t="array" ref="E298">INDEX(Исходные_данные_2__2[Дата продажи],MATCH('Исходные данные 2'!B298&amp;'Исходные данные 2'!C298,Исходные_данные_2__2[ФИО покупателя]&amp;Исходные_данные_2__2[Наименование товара],0))</f>
        <v>45005</v>
      </c>
      <c r="F298" t="str">
        <f t="array" ref="F298">INDEX(Исходные_данные_2__2[[Город отправки ]],MATCH('Исходные данные 2'!B298&amp;'Исходные данные 2'!C298,Исходные_данные_2__2[ФИО покупателя]&amp;Исходные_данные_2__2[Наименование товара],0))</f>
        <v>Псков</v>
      </c>
    </row>
    <row r="299" spans="1:6" x14ac:dyDescent="0.25">
      <c r="A299" s="2" t="s">
        <v>421</v>
      </c>
      <c r="B299" t="s">
        <v>160</v>
      </c>
      <c r="C299" t="s">
        <v>37</v>
      </c>
      <c r="D299">
        <v>0</v>
      </c>
      <c r="E299" s="1">
        <f t="array" ref="E299">INDEX(Исходные_данные_2__2[Дата продажи],MATCH('Исходные данные 2'!B299&amp;'Исходные данные 2'!C299,Исходные_данные_2__2[ФИО покупателя]&amp;Исходные_данные_2__2[Наименование товара],0))</f>
        <v>44960</v>
      </c>
      <c r="F299" t="str">
        <f t="array" ref="F299">INDEX(Исходные_данные_2__2[[Город отправки ]],MATCH('Исходные данные 2'!B299&amp;'Исходные данные 2'!C299,Исходные_данные_2__2[ФИО покупателя]&amp;Исходные_данные_2__2[Наименование товара],0))</f>
        <v>Вологда</v>
      </c>
    </row>
    <row r="300" spans="1:6" x14ac:dyDescent="0.25">
      <c r="A300" s="2" t="s">
        <v>421</v>
      </c>
      <c r="B300" t="s">
        <v>290</v>
      </c>
      <c r="C300" t="s">
        <v>5</v>
      </c>
      <c r="D300">
        <v>0</v>
      </c>
      <c r="E300" s="1">
        <f t="array" ref="E300">INDEX(Исходные_данные_2__2[Дата продажи],MATCH('Исходные данные 2'!B300&amp;'Исходные данные 2'!C300,Исходные_данные_2__2[ФИО покупателя]&amp;Исходные_данные_2__2[Наименование товара],0))</f>
        <v>44990</v>
      </c>
      <c r="F300" t="str">
        <f t="array" ref="F300">INDEX(Исходные_данные_2__2[[Город отправки ]],MATCH('Исходные данные 2'!B300&amp;'Исходные данные 2'!C300,Исходные_данные_2__2[ФИО покупателя]&amp;Исходные_данные_2__2[Наименование товара],0))</f>
        <v>Вологда</v>
      </c>
    </row>
    <row r="301" spans="1:6" x14ac:dyDescent="0.25">
      <c r="A301" s="2" t="s">
        <v>421</v>
      </c>
      <c r="B301" t="s">
        <v>280</v>
      </c>
      <c r="C301" t="s">
        <v>5</v>
      </c>
      <c r="D301">
        <v>0</v>
      </c>
      <c r="E301" s="1">
        <f t="array" ref="E301">INDEX(Исходные_данные_2__2[Дата продажи],MATCH('Исходные данные 2'!B301&amp;'Исходные данные 2'!C301,Исходные_данные_2__2[ФИО покупателя]&amp;Исходные_данные_2__2[Наименование товара],0))</f>
        <v>44988</v>
      </c>
      <c r="F301" t="str">
        <f t="array" ref="F301">INDEX(Исходные_данные_2__2[[Город отправки ]],MATCH('Исходные данные 2'!B301&amp;'Исходные данные 2'!C301,Исходные_данные_2__2[ФИО покупателя]&amp;Исходные_данные_2__2[Наименование товара],0))</f>
        <v>Петрозаводск</v>
      </c>
    </row>
    <row r="302" spans="1:6" x14ac:dyDescent="0.25">
      <c r="A302" s="2" t="s">
        <v>421</v>
      </c>
      <c r="B302" t="s">
        <v>327</v>
      </c>
      <c r="C302" t="s">
        <v>8</v>
      </c>
      <c r="D302">
        <v>0</v>
      </c>
      <c r="E302" s="1">
        <f t="array" ref="E302">INDEX(Исходные_данные_2__2[Дата продажи],MATCH('Исходные данные 2'!B302&amp;'Исходные данные 2'!C302,Исходные_данные_2__2[ФИО покупателя]&amp;Исходные_данные_2__2[Наименование товара],0))</f>
        <v>44998</v>
      </c>
      <c r="F302" t="str">
        <f t="array" ref="F302">INDEX(Исходные_данные_2__2[[Город отправки ]],MATCH('Исходные данные 2'!B302&amp;'Исходные данные 2'!C302,Исходные_данные_2__2[ФИО покупателя]&amp;Исходные_данные_2__2[Наименование товара],0))</f>
        <v>Санкт-Петерубрг</v>
      </c>
    </row>
    <row r="303" spans="1:6" x14ac:dyDescent="0.25">
      <c r="A303" s="2" t="s">
        <v>421</v>
      </c>
      <c r="B303" t="s">
        <v>412</v>
      </c>
      <c r="C303" t="s">
        <v>8</v>
      </c>
      <c r="D303">
        <v>0</v>
      </c>
      <c r="E303" s="1">
        <f t="array" ref="E303">INDEX(Исходные_данные_2__2[Дата продажи],MATCH('Исходные данные 2'!B303&amp;'Исходные данные 2'!C303,Исходные_данные_2__2[ФИО покупателя]&amp;Исходные_данные_2__2[Наименование товара],0))</f>
        <v>45015</v>
      </c>
      <c r="F303" t="str">
        <f t="array" ref="F303">INDEX(Исходные_данные_2__2[[Город отправки ]],MATCH('Исходные данные 2'!B303&amp;'Исходные данные 2'!C303,Исходные_данные_2__2[ФИО покупателя]&amp;Исходные_данные_2__2[Наименование товара],0))</f>
        <v>Псков</v>
      </c>
    </row>
    <row r="304" spans="1:6" x14ac:dyDescent="0.25">
      <c r="A304" s="2" t="s">
        <v>421</v>
      </c>
      <c r="B304" t="s">
        <v>95</v>
      </c>
      <c r="C304" t="s">
        <v>17</v>
      </c>
      <c r="D304">
        <v>0</v>
      </c>
      <c r="E304" s="1">
        <f t="array" ref="E304">INDEX(Исходные_данные_2__2[Дата продажи],MATCH('Исходные данные 2'!B304&amp;'Исходные данные 2'!C304,Исходные_данные_2__2[ФИО покупателя]&amp;Исходные_данные_2__2[Наименование товара],0))</f>
        <v>44945</v>
      </c>
      <c r="F304" t="str">
        <f t="array" ref="F304">INDEX(Исходные_данные_2__2[[Город отправки ]],MATCH('Исходные данные 2'!B304&amp;'Исходные данные 2'!C304,Исходные_данные_2__2[ФИО покупателя]&amp;Исходные_данные_2__2[Наименование товара],0))</f>
        <v>Мурманск</v>
      </c>
    </row>
    <row r="305" spans="1:6" x14ac:dyDescent="0.25">
      <c r="A305" s="2" t="s">
        <v>421</v>
      </c>
      <c r="B305" t="s">
        <v>249</v>
      </c>
      <c r="C305" t="s">
        <v>22</v>
      </c>
      <c r="D305">
        <v>0</v>
      </c>
      <c r="E305" s="1">
        <f t="array" ref="E305">INDEX(Исходные_данные_2__2[Дата продажи],MATCH('Исходные данные 2'!B305&amp;'Исходные данные 2'!C305,Исходные_данные_2__2[ФИО покупателя]&amp;Исходные_данные_2__2[Наименование товара],0))</f>
        <v>44980</v>
      </c>
      <c r="F305" t="str">
        <f t="array" ref="F305">INDEX(Исходные_данные_2__2[[Город отправки ]],MATCH('Исходные данные 2'!B305&amp;'Исходные данные 2'!C305,Исходные_данные_2__2[ФИО покупателя]&amp;Исходные_данные_2__2[Наименование товара],0))</f>
        <v>Мурманск</v>
      </c>
    </row>
    <row r="306" spans="1:6" x14ac:dyDescent="0.25">
      <c r="A306" s="2" t="s">
        <v>421</v>
      </c>
      <c r="B306" t="s">
        <v>322</v>
      </c>
      <c r="C306" t="s">
        <v>17</v>
      </c>
      <c r="D306">
        <v>0</v>
      </c>
      <c r="E306" s="1">
        <f t="array" ref="E306">INDEX(Исходные_данные_2__2[Дата продажи],MATCH('Исходные данные 2'!B306&amp;'Исходные данные 2'!C306,Исходные_данные_2__2[ФИО покупателя]&amp;Исходные_данные_2__2[Наименование товара],0))</f>
        <v>44997</v>
      </c>
      <c r="F306" t="str">
        <f t="array" ref="F306">INDEX(Исходные_данные_2__2[[Город отправки ]],MATCH('Исходные данные 2'!B306&amp;'Исходные данные 2'!C306,Исходные_данные_2__2[ФИО покупателя]&amp;Исходные_данные_2__2[Наименование товара],0))</f>
        <v>Вологда</v>
      </c>
    </row>
    <row r="307" spans="1:6" x14ac:dyDescent="0.25">
      <c r="A307" s="2" t="s">
        <v>421</v>
      </c>
      <c r="B307" t="s">
        <v>278</v>
      </c>
      <c r="C307" t="s">
        <v>5</v>
      </c>
      <c r="D307">
        <v>0</v>
      </c>
      <c r="E307" s="1">
        <f t="array" ref="E307">INDEX(Исходные_данные_2__2[Дата продажи],MATCH('Исходные данные 2'!B307&amp;'Исходные данные 2'!C307,Исходные_данные_2__2[ФИО покупателя]&amp;Исходные_данные_2__2[Наименование товара],0))</f>
        <v>44987</v>
      </c>
      <c r="F307" t="str">
        <f t="array" ref="F307">INDEX(Исходные_данные_2__2[[Город отправки ]],MATCH('Исходные данные 2'!B307&amp;'Исходные данные 2'!C307,Исходные_данные_2__2[ФИО покупателя]&amp;Исходные_данные_2__2[Наименование товара],0))</f>
        <v>Вологда</v>
      </c>
    </row>
    <row r="308" spans="1:6" x14ac:dyDescent="0.25">
      <c r="A308" s="2" t="s">
        <v>421</v>
      </c>
      <c r="B308" t="s">
        <v>263</v>
      </c>
      <c r="C308" t="s">
        <v>15</v>
      </c>
      <c r="D308">
        <v>0</v>
      </c>
      <c r="E308" s="1">
        <f t="array" ref="E308">INDEX(Исходные_данные_2__2[Дата продажи],MATCH('Исходные данные 2'!B308&amp;'Исходные данные 2'!C308,Исходные_данные_2__2[ФИО покупателя]&amp;Исходные_данные_2__2[Наименование товара],0))</f>
        <v>44984</v>
      </c>
      <c r="F308" t="str">
        <f t="array" ref="F308">INDEX(Исходные_данные_2__2[[Город отправки ]],MATCH('Исходные данные 2'!B308&amp;'Исходные данные 2'!C308,Исходные_данные_2__2[ФИО покупателя]&amp;Исходные_данные_2__2[Наименование товара],0))</f>
        <v>Мурманск</v>
      </c>
    </row>
    <row r="309" spans="1:6" x14ac:dyDescent="0.25">
      <c r="A309" s="2" t="s">
        <v>421</v>
      </c>
      <c r="B309" t="s">
        <v>50</v>
      </c>
      <c r="C309" t="s">
        <v>5</v>
      </c>
      <c r="D309">
        <v>0</v>
      </c>
      <c r="E309" s="1">
        <f t="array" ref="E309">INDEX(Исходные_данные_2__2[Дата продажи],MATCH('Исходные данные 2'!B309&amp;'Исходные данные 2'!C309,Исходные_данные_2__2[ФИО покупателя]&amp;Исходные_данные_2__2[Наименование товара],0))</f>
        <v>44935</v>
      </c>
      <c r="F309" t="str">
        <f t="array" ref="F309">INDEX(Исходные_данные_2__2[[Город отправки ]],MATCH('Исходные данные 2'!B309&amp;'Исходные данные 2'!C309,Исходные_данные_2__2[ФИО покупателя]&amp;Исходные_данные_2__2[Наименование товара],0))</f>
        <v>Вологда</v>
      </c>
    </row>
    <row r="310" spans="1:6" x14ac:dyDescent="0.25">
      <c r="A310" s="2" t="s">
        <v>421</v>
      </c>
      <c r="B310" t="s">
        <v>194</v>
      </c>
      <c r="C310" t="s">
        <v>5</v>
      </c>
      <c r="D310">
        <v>0</v>
      </c>
      <c r="E310" s="1">
        <f t="array" ref="E310">INDEX(Исходные_данные_2__2[Дата продажи],MATCH('Исходные данные 2'!B310&amp;'Исходные данные 2'!C310,Исходные_данные_2__2[ФИО покупателя]&amp;Исходные_данные_2__2[Наименование товара],0))</f>
        <v>44966</v>
      </c>
      <c r="F310" t="str">
        <f t="array" ref="F310">INDEX(Исходные_данные_2__2[[Город отправки ]],MATCH('Исходные данные 2'!B310&amp;'Исходные данные 2'!C310,Исходные_данные_2__2[ФИО покупателя]&amp;Исходные_данные_2__2[Наименование товара],0))</f>
        <v>Санкт-Петерубрг</v>
      </c>
    </row>
    <row r="311" spans="1:6" x14ac:dyDescent="0.25">
      <c r="A311" s="2" t="s">
        <v>421</v>
      </c>
      <c r="B311" t="s">
        <v>281</v>
      </c>
      <c r="C311" t="s">
        <v>8</v>
      </c>
      <c r="D311">
        <v>0</v>
      </c>
      <c r="E311" s="1">
        <f t="array" ref="E311">INDEX(Исходные_данные_2__2[Дата продажи],MATCH('Исходные данные 2'!B311&amp;'Исходные данные 2'!C311,Исходные_данные_2__2[ФИО покупателя]&amp;Исходные_данные_2__2[Наименование товара],0))</f>
        <v>44988</v>
      </c>
      <c r="F311" t="str">
        <f t="array" ref="F311">INDEX(Исходные_данные_2__2[[Город отправки ]],MATCH('Исходные данные 2'!B311&amp;'Исходные данные 2'!C311,Исходные_данные_2__2[ФИО покупателя]&amp;Исходные_данные_2__2[Наименование товара],0))</f>
        <v>Великий Новгород</v>
      </c>
    </row>
    <row r="312" spans="1:6" x14ac:dyDescent="0.25">
      <c r="A312" s="2" t="s">
        <v>421</v>
      </c>
      <c r="B312" t="s">
        <v>168</v>
      </c>
      <c r="C312" t="s">
        <v>22</v>
      </c>
      <c r="D312">
        <v>0</v>
      </c>
      <c r="E312" s="1">
        <f t="array" ref="E312">INDEX(Исходные_данные_2__2[Дата продажи],MATCH('Исходные данные 2'!B312&amp;'Исходные данные 2'!C312,Исходные_данные_2__2[ФИО покупателя]&amp;Исходные_данные_2__2[Наименование товара],0))</f>
        <v>44961</v>
      </c>
      <c r="F312" t="str">
        <f t="array" ref="F312">INDEX(Исходные_данные_2__2[[Город отправки ]],MATCH('Исходные данные 2'!B312&amp;'Исходные данные 2'!C312,Исходные_данные_2__2[ФИО покупателя]&amp;Исходные_данные_2__2[Наименование товара],0))</f>
        <v>Мурманск</v>
      </c>
    </row>
    <row r="313" spans="1:6" x14ac:dyDescent="0.25">
      <c r="A313" s="2" t="s">
        <v>421</v>
      </c>
      <c r="B313" t="s">
        <v>397</v>
      </c>
      <c r="C313" t="s">
        <v>37</v>
      </c>
      <c r="D313">
        <v>0</v>
      </c>
      <c r="E313" s="1">
        <f t="array" ref="E313">INDEX(Исходные_данные_2__2[Дата продажи],MATCH('Исходные данные 2'!B313&amp;'Исходные данные 2'!C313,Исходные_данные_2__2[ФИО покупателя]&amp;Исходные_данные_2__2[Наименование товара],0))</f>
        <v>45011</v>
      </c>
      <c r="F313" t="str">
        <f t="array" ref="F313">INDEX(Исходные_данные_2__2[[Город отправки ]],MATCH('Исходные данные 2'!B313&amp;'Исходные данные 2'!C313,Исходные_данные_2__2[ФИО покупателя]&amp;Исходные_данные_2__2[Наименование товара],0))</f>
        <v>Псков</v>
      </c>
    </row>
    <row r="314" spans="1:6" x14ac:dyDescent="0.25">
      <c r="A314" s="2" t="s">
        <v>421</v>
      </c>
      <c r="B314" t="s">
        <v>92</v>
      </c>
      <c r="C314" t="s">
        <v>17</v>
      </c>
      <c r="D314">
        <v>0</v>
      </c>
      <c r="E314" s="1">
        <f t="array" ref="E314">INDEX(Исходные_данные_2__2[Дата продажи],MATCH('Исходные данные 2'!B314&amp;'Исходные данные 2'!C314,Исходные_данные_2__2[ФИО покупателя]&amp;Исходные_данные_2__2[Наименование товара],0))</f>
        <v>44944</v>
      </c>
      <c r="F314" t="str">
        <f t="array" ref="F314">INDEX(Исходные_данные_2__2[[Город отправки ]],MATCH('Исходные данные 2'!B314&amp;'Исходные данные 2'!C314,Исходные_данные_2__2[ФИО покупателя]&amp;Исходные_данные_2__2[Наименование товара],0))</f>
        <v>Мурманск</v>
      </c>
    </row>
    <row r="315" spans="1:6" x14ac:dyDescent="0.25">
      <c r="A315" s="2" t="s">
        <v>421</v>
      </c>
      <c r="B315" t="s">
        <v>185</v>
      </c>
      <c r="C315" t="s">
        <v>37</v>
      </c>
      <c r="D315">
        <v>0</v>
      </c>
      <c r="E315" s="1">
        <f t="array" ref="E315">INDEX(Исходные_данные_2__2[Дата продажи],MATCH('Исходные данные 2'!B315&amp;'Исходные данные 2'!C315,Исходные_данные_2__2[ФИО покупателя]&amp;Исходные_данные_2__2[Наименование товара],0))</f>
        <v>44964</v>
      </c>
      <c r="F315" t="str">
        <f t="array" ref="F315">INDEX(Исходные_данные_2__2[[Город отправки ]],MATCH('Исходные данные 2'!B315&amp;'Исходные данные 2'!C315,Исходные_данные_2__2[ФИО покупателя]&amp;Исходные_данные_2__2[Наименование товара],0))</f>
        <v>Вологда</v>
      </c>
    </row>
    <row r="316" spans="1:6" x14ac:dyDescent="0.25">
      <c r="A316" s="2" t="s">
        <v>421</v>
      </c>
      <c r="B316" t="s">
        <v>140</v>
      </c>
      <c r="C316" t="s">
        <v>8</v>
      </c>
      <c r="D316">
        <v>0</v>
      </c>
      <c r="E316" s="1">
        <f t="array" ref="E316">INDEX(Исходные_данные_2__2[Дата продажи],MATCH('Исходные данные 2'!B316&amp;'Исходные данные 2'!C316,Исходные_данные_2__2[ФИО покупателя]&amp;Исходные_данные_2__2[Наименование товара],0))</f>
        <v>44955</v>
      </c>
      <c r="F316" t="str">
        <f t="array" ref="F316">INDEX(Исходные_данные_2__2[[Город отправки ]],MATCH('Исходные данные 2'!B316&amp;'Исходные данные 2'!C316,Исходные_данные_2__2[ФИО покупателя]&amp;Исходные_данные_2__2[Наименование товара],0))</f>
        <v>Санкт-Петерубрг</v>
      </c>
    </row>
    <row r="317" spans="1:6" x14ac:dyDescent="0.25">
      <c r="A317" s="2" t="s">
        <v>421</v>
      </c>
      <c r="B317" t="s">
        <v>150</v>
      </c>
      <c r="C317" t="s">
        <v>5</v>
      </c>
      <c r="D317">
        <v>0</v>
      </c>
      <c r="E317" s="1">
        <f t="array" ref="E317">INDEX(Исходные_данные_2__2[Дата продажи],MATCH('Исходные данные 2'!B317&amp;'Исходные данные 2'!C317,Исходные_данные_2__2[ФИО покупателя]&amp;Исходные_данные_2__2[Наименование товара],0))</f>
        <v>44957</v>
      </c>
      <c r="F317" t="str">
        <f t="array" ref="F317">INDEX(Исходные_данные_2__2[[Город отправки ]],MATCH('Исходные данные 2'!B317&amp;'Исходные данные 2'!C317,Исходные_данные_2__2[ФИО покупателя]&amp;Исходные_данные_2__2[Наименование товара],0))</f>
        <v>Великий Новгород</v>
      </c>
    </row>
    <row r="318" spans="1:6" x14ac:dyDescent="0.25">
      <c r="A318" s="2" t="s">
        <v>421</v>
      </c>
      <c r="B318" t="s">
        <v>58</v>
      </c>
      <c r="C318" t="s">
        <v>5</v>
      </c>
      <c r="D318">
        <v>0</v>
      </c>
      <c r="E318" s="1">
        <f t="array" ref="E318">INDEX(Исходные_данные_2__2[Дата продажи],MATCH('Исходные данные 2'!B318&amp;'Исходные данные 2'!C318,Исходные_данные_2__2[ФИО покупателя]&amp;Исходные_данные_2__2[Наименование товара],0))</f>
        <v>44937</v>
      </c>
      <c r="F318" t="str">
        <f t="array" ref="F318">INDEX(Исходные_данные_2__2[[Город отправки ]],MATCH('Исходные данные 2'!B318&amp;'Исходные данные 2'!C318,Исходные_данные_2__2[ФИО покупателя]&amp;Исходные_данные_2__2[Наименование товара],0))</f>
        <v>Санкт-Петерубрг</v>
      </c>
    </row>
    <row r="319" spans="1:6" x14ac:dyDescent="0.25">
      <c r="A319" s="2" t="s">
        <v>421</v>
      </c>
      <c r="B319" t="s">
        <v>247</v>
      </c>
      <c r="C319" t="s">
        <v>17</v>
      </c>
      <c r="D319">
        <v>0.05</v>
      </c>
      <c r="E319" s="1">
        <f t="array" ref="E319">INDEX(Исходные_данные_2__2[Дата продажи],MATCH('Исходные данные 2'!B319&amp;'Исходные данные 2'!C319,Исходные_данные_2__2[ФИО покупателя]&amp;Исходные_данные_2__2[Наименование товара],0))</f>
        <v>44979</v>
      </c>
      <c r="F319" t="str">
        <f t="array" ref="F319">INDEX(Исходные_данные_2__2[[Город отправки ]],MATCH('Исходные данные 2'!B319&amp;'Исходные данные 2'!C319,Исходные_данные_2__2[ФИО покупателя]&amp;Исходные_данные_2__2[Наименование товара],0))</f>
        <v>Петрозаводск</v>
      </c>
    </row>
    <row r="320" spans="1:6" x14ac:dyDescent="0.25">
      <c r="A320" s="2" t="s">
        <v>421</v>
      </c>
      <c r="B320" t="s">
        <v>247</v>
      </c>
      <c r="C320" t="s">
        <v>15</v>
      </c>
      <c r="D320">
        <v>0</v>
      </c>
      <c r="E320" s="1">
        <f t="array" ref="E320">INDEX(Исходные_данные_2__2[Дата продажи],MATCH('Исходные данные 2'!B320&amp;'Исходные данные 2'!C320,Исходные_данные_2__2[ФИО покупателя]&amp;Исходные_данные_2__2[Наименование товара],0))</f>
        <v>44979</v>
      </c>
      <c r="F320" t="str">
        <f t="array" ref="F320">INDEX(Исходные_данные_2__2[[Город отправки ]],MATCH('Исходные данные 2'!B320&amp;'Исходные данные 2'!C320,Исходные_данные_2__2[ФИО покупателя]&amp;Исходные_данные_2__2[Наименование товара],0))</f>
        <v>Петрозаводск</v>
      </c>
    </row>
    <row r="321" spans="1:6" x14ac:dyDescent="0.25">
      <c r="A321" s="2" t="s">
        <v>421</v>
      </c>
      <c r="B321" t="s">
        <v>100</v>
      </c>
      <c r="C321" t="s">
        <v>5</v>
      </c>
      <c r="D321">
        <v>0</v>
      </c>
      <c r="E321" s="1">
        <f t="array" ref="E321">INDEX(Исходные_данные_2__2[Дата продажи],MATCH('Исходные данные 2'!B321&amp;'Исходные данные 2'!C321,Исходные_данные_2__2[ФИО покупателя]&amp;Исходные_данные_2__2[Наименование товара],0))</f>
        <v>44946</v>
      </c>
      <c r="F321" t="str">
        <f t="array" ref="F321">INDEX(Исходные_данные_2__2[[Город отправки ]],MATCH('Исходные данные 2'!B321&amp;'Исходные данные 2'!C321,Исходные_данные_2__2[ФИО покупателя]&amp;Исходные_данные_2__2[Наименование товара],0))</f>
        <v>Санкт-Петерубрг</v>
      </c>
    </row>
    <row r="322" spans="1:6" x14ac:dyDescent="0.25">
      <c r="A322" s="2" t="s">
        <v>421</v>
      </c>
      <c r="B322" t="s">
        <v>195</v>
      </c>
      <c r="C322" t="s">
        <v>8</v>
      </c>
      <c r="D322">
        <v>0</v>
      </c>
      <c r="E322" s="1">
        <f t="array" ref="E322">INDEX(Исходные_данные_2__2[Дата продажи],MATCH('Исходные данные 2'!B322&amp;'Исходные данные 2'!C322,Исходные_данные_2__2[ФИО покупателя]&amp;Исходные_данные_2__2[Наименование товара],0))</f>
        <v>44966</v>
      </c>
      <c r="F322" t="str">
        <f t="array" ref="F322">INDEX(Исходные_данные_2__2[[Город отправки ]],MATCH('Исходные данные 2'!B322&amp;'Исходные данные 2'!C322,Исходные_данные_2__2[ФИО покупателя]&amp;Исходные_данные_2__2[Наименование товара],0))</f>
        <v>Петрозаводск</v>
      </c>
    </row>
    <row r="323" spans="1:6" x14ac:dyDescent="0.25">
      <c r="A323" s="2" t="s">
        <v>421</v>
      </c>
      <c r="B323" t="s">
        <v>54</v>
      </c>
      <c r="C323" t="s">
        <v>8</v>
      </c>
      <c r="D323">
        <v>0</v>
      </c>
      <c r="E323" s="1">
        <f t="array" ref="E323">INDEX(Исходные_данные_2__2[Дата продажи],MATCH('Исходные данные 2'!B323&amp;'Исходные данные 2'!C323,Исходные_данные_2__2[ФИО покупателя]&amp;Исходные_данные_2__2[Наименование товара],0))</f>
        <v>44936</v>
      </c>
      <c r="F323" t="str">
        <f t="array" ref="F323">INDEX(Исходные_данные_2__2[[Город отправки ]],MATCH('Исходные данные 2'!B323&amp;'Исходные данные 2'!C323,Исходные_данные_2__2[ФИО покупателя]&amp;Исходные_данные_2__2[Наименование товара],0))</f>
        <v>Вологда</v>
      </c>
    </row>
    <row r="324" spans="1:6" x14ac:dyDescent="0.25">
      <c r="A324" s="2" t="s">
        <v>421</v>
      </c>
      <c r="B324" t="s">
        <v>45</v>
      </c>
      <c r="C324" t="s">
        <v>5</v>
      </c>
      <c r="D324">
        <v>0</v>
      </c>
      <c r="E324" s="1">
        <f t="array" ref="E324">INDEX(Исходные_данные_2__2[Дата продажи],MATCH('Исходные данные 2'!B324&amp;'Исходные данные 2'!C324,Исходные_данные_2__2[ФИО покупателя]&amp;Исходные_данные_2__2[Наименование товара],0))</f>
        <v>44934</v>
      </c>
      <c r="F324" t="str">
        <f t="array" ref="F324">INDEX(Исходные_данные_2__2[[Город отправки ]],MATCH('Исходные данные 2'!B324&amp;'Исходные данные 2'!C324,Исходные_данные_2__2[ФИО покупателя]&amp;Исходные_данные_2__2[Наименование товара],0))</f>
        <v>Санкт-Петерубрг</v>
      </c>
    </row>
    <row r="325" spans="1:6" x14ac:dyDescent="0.25">
      <c r="A325" s="2" t="s">
        <v>421</v>
      </c>
      <c r="B325" t="s">
        <v>45</v>
      </c>
      <c r="C325" t="s">
        <v>22</v>
      </c>
      <c r="D325">
        <v>0.02</v>
      </c>
      <c r="E325" s="1">
        <f t="array" ref="E325">INDEX(Исходные_данные_2__2[Дата продажи],MATCH('Исходные данные 2'!B325&amp;'Исходные данные 2'!C325,Исходные_данные_2__2[ФИО покупателя]&amp;Исходные_данные_2__2[Наименование товара],0))</f>
        <v>44934</v>
      </c>
      <c r="F325" t="str">
        <f t="array" ref="F325">INDEX(Исходные_данные_2__2[[Город отправки ]],MATCH('Исходные данные 2'!B325&amp;'Исходные данные 2'!C325,Исходные_данные_2__2[ФИО покупателя]&amp;Исходные_данные_2__2[Наименование товара],0))</f>
        <v>Санкт-Петерубрг</v>
      </c>
    </row>
    <row r="326" spans="1:6" x14ac:dyDescent="0.25">
      <c r="A326" s="2" t="s">
        <v>421</v>
      </c>
      <c r="B326" t="s">
        <v>24</v>
      </c>
      <c r="C326" t="s">
        <v>5</v>
      </c>
      <c r="D326">
        <v>0</v>
      </c>
      <c r="E326" s="1">
        <f t="array" ref="E326">INDEX(Исходные_данные_2__2[Дата продажи],MATCH('Исходные данные 2'!B326&amp;'Исходные данные 2'!C326,Исходные_данные_2__2[ФИО покупателя]&amp;Исходные_данные_2__2[Наименование товара],0))</f>
        <v>44928</v>
      </c>
      <c r="F326" t="str">
        <f t="array" ref="F326">INDEX(Исходные_данные_2__2[[Город отправки ]],MATCH('Исходные данные 2'!B326&amp;'Исходные данные 2'!C326,Исходные_данные_2__2[ФИО покупателя]&amp;Исходные_данные_2__2[Наименование товара],0))</f>
        <v>Мурманск</v>
      </c>
    </row>
    <row r="327" spans="1:6" x14ac:dyDescent="0.25">
      <c r="A327" s="2" t="s">
        <v>422</v>
      </c>
      <c r="B327" t="s">
        <v>40</v>
      </c>
      <c r="C327" t="s">
        <v>8</v>
      </c>
      <c r="D327">
        <v>0</v>
      </c>
      <c r="E327" s="1">
        <f t="array" ref="E327">INDEX(Исходные_данные_2__2[Дата продажи],MATCH('Исходные данные 2'!B327&amp;'Исходные данные 2'!C327,Исходные_данные_2__2[ФИО покупателя]&amp;Исходные_данные_2__2[Наименование товара],0))</f>
        <v>44934</v>
      </c>
      <c r="F327" t="str">
        <f t="array" ref="F327">INDEX(Исходные_данные_2__2[[Город отправки ]],MATCH('Исходные данные 2'!B327&amp;'Исходные данные 2'!C327,Исходные_данные_2__2[ФИО покупателя]&amp;Исходные_данные_2__2[Наименование товара],0))</f>
        <v>Ростов-на-Дону</v>
      </c>
    </row>
    <row r="328" spans="1:6" x14ac:dyDescent="0.25">
      <c r="A328" s="2" t="s">
        <v>422</v>
      </c>
      <c r="B328" t="s">
        <v>344</v>
      </c>
      <c r="C328" t="s">
        <v>8</v>
      </c>
      <c r="D328">
        <v>0</v>
      </c>
      <c r="E328" s="1">
        <f t="array" ref="E328">INDEX(Исходные_данные_2__2[Дата продажи],MATCH('Исходные данные 2'!B328&amp;'Исходные данные 2'!C328,Исходные_данные_2__2[ФИО покупателя]&amp;Исходные_данные_2__2[Наименование товара],0))</f>
        <v>45002</v>
      </c>
      <c r="F328" t="str">
        <f t="array" ref="F328">INDEX(Исходные_данные_2__2[[Город отправки ]],MATCH('Исходные данные 2'!B328&amp;'Исходные данные 2'!C328,Исходные_данные_2__2[ФИО покупателя]&amp;Исходные_данные_2__2[Наименование товара],0))</f>
        <v>Волгоград</v>
      </c>
    </row>
    <row r="329" spans="1:6" x14ac:dyDescent="0.25">
      <c r="A329" s="2" t="s">
        <v>422</v>
      </c>
      <c r="B329" t="s">
        <v>251</v>
      </c>
      <c r="C329" t="s">
        <v>17</v>
      </c>
      <c r="D329">
        <v>0</v>
      </c>
      <c r="E329" s="1">
        <f t="array" ref="E329">INDEX(Исходные_данные_2__2[Дата продажи],MATCH('Исходные данные 2'!B329&amp;'Исходные данные 2'!C329,Исходные_данные_2__2[ФИО покупателя]&amp;Исходные_данные_2__2[Наименование товара],0))</f>
        <v>44981</v>
      </c>
      <c r="F329" t="str">
        <f t="array" ref="F329">INDEX(Исходные_данные_2__2[[Город отправки ]],MATCH('Исходные данные 2'!B329&amp;'Исходные данные 2'!C329,Исходные_данные_2__2[ФИО покупателя]&amp;Исходные_данные_2__2[Наименование товара],0))</f>
        <v>Волгоград</v>
      </c>
    </row>
    <row r="330" spans="1:6" x14ac:dyDescent="0.25">
      <c r="A330" s="2" t="s">
        <v>422</v>
      </c>
      <c r="B330" t="s">
        <v>313</v>
      </c>
      <c r="C330" t="s">
        <v>8</v>
      </c>
      <c r="D330">
        <v>0</v>
      </c>
      <c r="E330" s="1">
        <f t="array" ref="E330">INDEX(Исходные_данные_2__2[Дата продажи],MATCH('Исходные данные 2'!B330&amp;'Исходные данные 2'!C330,Исходные_данные_2__2[ФИО покупателя]&amp;Исходные_данные_2__2[Наименование товара],0))</f>
        <v>44996</v>
      </c>
      <c r="F330" t="str">
        <f t="array" ref="F330">INDEX(Исходные_данные_2__2[[Город отправки ]],MATCH('Исходные данные 2'!B330&amp;'Исходные данные 2'!C330,Исходные_данные_2__2[ФИО покупателя]&amp;Исходные_данные_2__2[Наименование товара],0))</f>
        <v>Ростов-на-Дону</v>
      </c>
    </row>
    <row r="331" spans="1:6" x14ac:dyDescent="0.25">
      <c r="A331" s="2" t="s">
        <v>422</v>
      </c>
      <c r="B331" t="s">
        <v>109</v>
      </c>
      <c r="C331" t="s">
        <v>17</v>
      </c>
      <c r="D331">
        <v>0</v>
      </c>
      <c r="E331" s="1">
        <f t="array" ref="E331">INDEX(Исходные_данные_2__2[Дата продажи],MATCH('Исходные данные 2'!B331&amp;'Исходные данные 2'!C331,Исходные_данные_2__2[ФИО покупателя]&amp;Исходные_данные_2__2[Наименование товара],0))</f>
        <v>44949</v>
      </c>
      <c r="F331" t="str">
        <f t="array" ref="F331">INDEX(Исходные_данные_2__2[[Город отправки ]],MATCH('Исходные данные 2'!B331&amp;'Исходные данные 2'!C331,Исходные_данные_2__2[ФИО покупателя]&amp;Исходные_данные_2__2[Наименование товара],0))</f>
        <v>Ростов-на-Дону</v>
      </c>
    </row>
    <row r="332" spans="1:6" x14ac:dyDescent="0.25">
      <c r="A332" s="2" t="s">
        <v>422</v>
      </c>
      <c r="B332" t="s">
        <v>338</v>
      </c>
      <c r="C332" t="s">
        <v>8</v>
      </c>
      <c r="D332">
        <v>0</v>
      </c>
      <c r="E332" s="1">
        <f t="array" ref="E332">INDEX(Исходные_данные_2__2[Дата продажи],MATCH('Исходные данные 2'!B332&amp;'Исходные данные 2'!C332,Исходные_данные_2__2[ФИО покупателя]&amp;Исходные_данные_2__2[Наименование товара],0))</f>
        <v>45001</v>
      </c>
      <c r="F332" t="str">
        <f t="array" ref="F332">INDEX(Исходные_данные_2__2[[Город отправки ]],MATCH('Исходные данные 2'!B332&amp;'Исходные данные 2'!C332,Исходные_данные_2__2[ФИО покупателя]&amp;Исходные_данные_2__2[Наименование товара],0))</f>
        <v>Ростов-на-Дону</v>
      </c>
    </row>
    <row r="333" spans="1:6" x14ac:dyDescent="0.25">
      <c r="A333" s="2" t="s">
        <v>422</v>
      </c>
      <c r="B333" t="s">
        <v>296</v>
      </c>
      <c r="C333" t="s">
        <v>8</v>
      </c>
      <c r="D333">
        <v>0</v>
      </c>
      <c r="E333" s="1">
        <f t="array" ref="E333">INDEX(Исходные_данные_2__2[Дата продажи],MATCH('Исходные данные 2'!B333&amp;'Исходные данные 2'!C333,Исходные_данные_2__2[ФИО покупателя]&amp;Исходные_данные_2__2[Наименование товара],0))</f>
        <v>44992</v>
      </c>
      <c r="F333" t="str">
        <f t="array" ref="F333">INDEX(Исходные_данные_2__2[[Город отправки ]],MATCH('Исходные данные 2'!B333&amp;'Исходные данные 2'!C333,Исходные_данные_2__2[ФИО покупателя]&amp;Исходные_данные_2__2[Наименование товара],0))</f>
        <v>Волгоград</v>
      </c>
    </row>
    <row r="334" spans="1:6" x14ac:dyDescent="0.25">
      <c r="A334" s="2" t="s">
        <v>422</v>
      </c>
      <c r="B334" t="s">
        <v>317</v>
      </c>
      <c r="C334" t="s">
        <v>22</v>
      </c>
      <c r="D334">
        <v>0</v>
      </c>
      <c r="E334" s="1">
        <f t="array" ref="E334">INDEX(Исходные_данные_2__2[Дата продажи],MATCH('Исходные данные 2'!B334&amp;'Исходные данные 2'!C334,Исходные_данные_2__2[ФИО покупателя]&amp;Исходные_данные_2__2[Наименование товара],0))</f>
        <v>44997</v>
      </c>
      <c r="F334" t="str">
        <f t="array" ref="F334">INDEX(Исходные_данные_2__2[[Город отправки ]],MATCH('Исходные данные 2'!B334&amp;'Исходные данные 2'!C334,Исходные_данные_2__2[ФИО покупателя]&amp;Исходные_данные_2__2[Наименование товара],0))</f>
        <v>Ростов-на-Дону</v>
      </c>
    </row>
    <row r="335" spans="1:6" x14ac:dyDescent="0.25">
      <c r="A335" s="2" t="s">
        <v>422</v>
      </c>
      <c r="B335" t="s">
        <v>339</v>
      </c>
      <c r="C335" t="s">
        <v>15</v>
      </c>
      <c r="D335">
        <v>0</v>
      </c>
      <c r="E335" s="1">
        <f t="array" ref="E335">INDEX(Исходные_данные_2__2[Дата продажи],MATCH('Исходные данные 2'!B335&amp;'Исходные данные 2'!C335,Исходные_данные_2__2[ФИО покупателя]&amp;Исходные_данные_2__2[Наименование товара],0))</f>
        <v>45001</v>
      </c>
      <c r="F335" t="str">
        <f t="array" ref="F335">INDEX(Исходные_данные_2__2[[Город отправки ]],MATCH('Исходные данные 2'!B335&amp;'Исходные данные 2'!C335,Исходные_данные_2__2[ФИО покупателя]&amp;Исходные_данные_2__2[Наименование товара],0))</f>
        <v>Волгоград</v>
      </c>
    </row>
    <row r="336" spans="1:6" x14ac:dyDescent="0.25">
      <c r="A336" s="2" t="s">
        <v>422</v>
      </c>
      <c r="B336" t="s">
        <v>197</v>
      </c>
      <c r="C336" t="s">
        <v>8</v>
      </c>
      <c r="D336">
        <v>0</v>
      </c>
      <c r="E336" s="1">
        <f t="array" ref="E336">INDEX(Исходные_данные_2__2[Дата продажи],MATCH('Исходные данные 2'!B336&amp;'Исходные данные 2'!C336,Исходные_данные_2__2[ФИО покупателя]&amp;Исходные_данные_2__2[Наименование товара],0))</f>
        <v>44967</v>
      </c>
      <c r="F336" t="str">
        <f t="array" ref="F336">INDEX(Исходные_данные_2__2[[Город отправки ]],MATCH('Исходные данные 2'!B336&amp;'Исходные данные 2'!C336,Исходные_данные_2__2[ФИО покупателя]&amp;Исходные_данные_2__2[Наименование товара],0))</f>
        <v>Ростов-на-Дону</v>
      </c>
    </row>
    <row r="337" spans="1:6" x14ac:dyDescent="0.25">
      <c r="A337" s="2" t="s">
        <v>422</v>
      </c>
      <c r="B337" t="s">
        <v>395</v>
      </c>
      <c r="C337" t="s">
        <v>5</v>
      </c>
      <c r="D337">
        <v>0</v>
      </c>
      <c r="E337" s="1">
        <f t="array" ref="E337">INDEX(Исходные_данные_2__2[Дата продажи],MATCH('Исходные данные 2'!B337&amp;'Исходные данные 2'!C337,Исходные_данные_2__2[ФИО покупателя]&amp;Исходные_данные_2__2[Наименование товара],0))</f>
        <v>45011</v>
      </c>
      <c r="F337" t="str">
        <f t="array" ref="F337">INDEX(Исходные_данные_2__2[[Город отправки ]],MATCH('Исходные данные 2'!B337&amp;'Исходные данные 2'!C337,Исходные_данные_2__2[ФИО покупателя]&amp;Исходные_данные_2__2[Наименование товара],0))</f>
        <v>Сочи</v>
      </c>
    </row>
    <row r="338" spans="1:6" x14ac:dyDescent="0.25">
      <c r="A338" s="2" t="s">
        <v>422</v>
      </c>
      <c r="B338" t="s">
        <v>242</v>
      </c>
      <c r="C338" t="s">
        <v>15</v>
      </c>
      <c r="D338">
        <v>0</v>
      </c>
      <c r="E338" s="1">
        <f t="array" ref="E338">INDEX(Исходные_данные_2__2[Дата продажи],MATCH('Исходные данные 2'!B338&amp;'Исходные данные 2'!C338,Исходные_данные_2__2[ФИО покупателя]&amp;Исходные_данные_2__2[Наименование товара],0))</f>
        <v>44979</v>
      </c>
      <c r="F338" t="str">
        <f t="array" ref="F338">INDEX(Исходные_данные_2__2[[Город отправки ]],MATCH('Исходные данные 2'!B338&amp;'Исходные данные 2'!C338,Исходные_данные_2__2[ФИО покупателя]&amp;Исходные_данные_2__2[Наименование товара],0))</f>
        <v>Волгоград</v>
      </c>
    </row>
    <row r="339" spans="1:6" x14ac:dyDescent="0.25">
      <c r="A339" s="2" t="s">
        <v>422</v>
      </c>
      <c r="B339" t="s">
        <v>111</v>
      </c>
      <c r="C339" t="s">
        <v>8</v>
      </c>
      <c r="D339">
        <v>0</v>
      </c>
      <c r="E339" s="1">
        <f t="array" ref="E339">INDEX(Исходные_данные_2__2[Дата продажи],MATCH('Исходные данные 2'!B339&amp;'Исходные данные 2'!C339,Исходные_данные_2__2[ФИО покупателя]&amp;Исходные_данные_2__2[Наименование товара],0))</f>
        <v>44949</v>
      </c>
      <c r="F339" t="str">
        <f t="array" ref="F339">INDEX(Исходные_данные_2__2[[Город отправки ]],MATCH('Исходные данные 2'!B339&amp;'Исходные данные 2'!C339,Исходные_данные_2__2[ФИО покупателя]&amp;Исходные_данные_2__2[Наименование товара],0))</f>
        <v>Ростов-на-Дону</v>
      </c>
    </row>
    <row r="340" spans="1:6" x14ac:dyDescent="0.25">
      <c r="A340" s="2" t="s">
        <v>422</v>
      </c>
      <c r="B340" t="s">
        <v>153</v>
      </c>
      <c r="C340" t="s">
        <v>22</v>
      </c>
      <c r="D340">
        <v>0</v>
      </c>
      <c r="E340" s="1">
        <f t="array" ref="E340">INDEX(Исходные_данные_2__2[Дата продажи],MATCH('Исходные данные 2'!B340&amp;'Исходные данные 2'!C340,Исходные_данные_2__2[ФИО покупателя]&amp;Исходные_данные_2__2[Наименование товара],0))</f>
        <v>44958</v>
      </c>
      <c r="F340" t="str">
        <f t="array" ref="F340">INDEX(Исходные_данные_2__2[[Город отправки ]],MATCH('Исходные данные 2'!B340&amp;'Исходные данные 2'!C340,Исходные_данные_2__2[ФИО покупателя]&amp;Исходные_данные_2__2[Наименование товара],0))</f>
        <v>Ростов-на-Дону</v>
      </c>
    </row>
    <row r="341" spans="1:6" x14ac:dyDescent="0.25">
      <c r="A341" s="2" t="s">
        <v>422</v>
      </c>
      <c r="B341" t="s">
        <v>96</v>
      </c>
      <c r="C341" t="s">
        <v>5</v>
      </c>
      <c r="D341">
        <v>0</v>
      </c>
      <c r="E341" s="1">
        <f t="array" ref="E341">INDEX(Исходные_данные_2__2[Дата продажи],MATCH('Исходные данные 2'!B341&amp;'Исходные данные 2'!C341,Исходные_данные_2__2[ФИО покупателя]&amp;Исходные_данные_2__2[Наименование товара],0))</f>
        <v>44946</v>
      </c>
      <c r="F341" t="str">
        <f t="array" ref="F341">INDEX(Исходные_данные_2__2[[Город отправки ]],MATCH('Исходные данные 2'!B341&amp;'Исходные данные 2'!C341,Исходные_данные_2__2[ФИО покупателя]&amp;Исходные_данные_2__2[Наименование товара],0))</f>
        <v>Ростов-на-Дону</v>
      </c>
    </row>
    <row r="342" spans="1:6" x14ac:dyDescent="0.25">
      <c r="A342" s="2" t="s">
        <v>422</v>
      </c>
      <c r="B342" t="s">
        <v>346</v>
      </c>
      <c r="C342" t="s">
        <v>8</v>
      </c>
      <c r="D342">
        <v>0</v>
      </c>
      <c r="E342" s="1">
        <f t="array" ref="E342">INDEX(Исходные_данные_2__2[Дата продажи],MATCH('Исходные данные 2'!B342&amp;'Исходные данные 2'!C342,Исходные_данные_2__2[ФИО покупателя]&amp;Исходные_данные_2__2[Наименование товара],0))</f>
        <v>45002</v>
      </c>
      <c r="F342" t="str">
        <f t="array" ref="F342">INDEX(Исходные_данные_2__2[[Город отправки ]],MATCH('Исходные данные 2'!B342&amp;'Исходные данные 2'!C342,Исходные_данные_2__2[ФИО покупателя]&amp;Исходные_данные_2__2[Наименование товара],0))</f>
        <v>Волгоград</v>
      </c>
    </row>
    <row r="343" spans="1:6" x14ac:dyDescent="0.25">
      <c r="A343" s="2" t="s">
        <v>422</v>
      </c>
      <c r="B343" t="s">
        <v>187</v>
      </c>
      <c r="C343" t="s">
        <v>8</v>
      </c>
      <c r="D343">
        <v>0</v>
      </c>
      <c r="E343" s="1">
        <f t="array" ref="E343">INDEX(Исходные_данные_2__2[Дата продажи],MATCH('Исходные данные 2'!B343&amp;'Исходные данные 2'!C343,Исходные_данные_2__2[ФИО покупателя]&amp;Исходные_данные_2__2[Наименование товара],0))</f>
        <v>44965</v>
      </c>
      <c r="F343" t="str">
        <f t="array" ref="F343">INDEX(Исходные_данные_2__2[[Город отправки ]],MATCH('Исходные данные 2'!B343&amp;'Исходные данные 2'!C343,Исходные_данные_2__2[ФИО покупателя]&amp;Исходные_данные_2__2[Наименование товара],0))</f>
        <v>Волгоград</v>
      </c>
    </row>
    <row r="344" spans="1:6" x14ac:dyDescent="0.25">
      <c r="A344" s="2" t="s">
        <v>422</v>
      </c>
      <c r="B344" t="s">
        <v>97</v>
      </c>
      <c r="C344" t="s">
        <v>5</v>
      </c>
      <c r="D344">
        <v>0</v>
      </c>
      <c r="E344" s="1">
        <f t="array" ref="E344">INDEX(Исходные_данные_2__2[Дата продажи],MATCH('Исходные данные 2'!B344&amp;'Исходные данные 2'!C344,Исходные_данные_2__2[ФИО покупателя]&amp;Исходные_данные_2__2[Наименование товара],0))</f>
        <v>44946</v>
      </c>
      <c r="F344" t="str">
        <f t="array" ref="F344">INDEX(Исходные_данные_2__2[[Город отправки ]],MATCH('Исходные данные 2'!B344&amp;'Исходные данные 2'!C344,Исходные_данные_2__2[ФИО покупателя]&amp;Исходные_данные_2__2[Наименование товара],0))</f>
        <v>Волгоград</v>
      </c>
    </row>
    <row r="345" spans="1:6" x14ac:dyDescent="0.25">
      <c r="A345" s="2" t="s">
        <v>422</v>
      </c>
      <c r="B345" t="s">
        <v>314</v>
      </c>
      <c r="C345" t="s">
        <v>15</v>
      </c>
      <c r="D345">
        <v>0</v>
      </c>
      <c r="E345" s="1">
        <f t="array" ref="E345">INDEX(Исходные_данные_2__2[Дата продажи],MATCH('Исходные данные 2'!B345&amp;'Исходные данные 2'!C345,Исходные_данные_2__2[ФИО покупателя]&amp;Исходные_данные_2__2[Наименование товара],0))</f>
        <v>44996</v>
      </c>
      <c r="F345" t="str">
        <f t="array" ref="F345">INDEX(Исходные_данные_2__2[[Город отправки ]],MATCH('Исходные данные 2'!B345&amp;'Исходные данные 2'!C345,Исходные_данные_2__2[ФИО покупателя]&amp;Исходные_данные_2__2[Наименование товара],0))</f>
        <v>Волгоград</v>
      </c>
    </row>
    <row r="346" spans="1:6" x14ac:dyDescent="0.25">
      <c r="A346" s="2" t="s">
        <v>422</v>
      </c>
      <c r="B346" t="s">
        <v>274</v>
      </c>
      <c r="C346" t="s">
        <v>22</v>
      </c>
      <c r="D346">
        <v>0</v>
      </c>
      <c r="E346" s="1">
        <f t="array" ref="E346">INDEX(Исходные_данные_2__2[Дата продажи],MATCH('Исходные данные 2'!B346&amp;'Исходные данные 2'!C346,Исходные_данные_2__2[ФИО покупателя]&amp;Исходные_данные_2__2[Наименование товара],0))</f>
        <v>44987</v>
      </c>
      <c r="F346" t="str">
        <f t="array" ref="F346">INDEX(Исходные_данные_2__2[[Город отправки ]],MATCH('Исходные данные 2'!B346&amp;'Исходные данные 2'!C346,Исходные_данные_2__2[ФИО покупателя]&amp;Исходные_данные_2__2[Наименование товара],0))</f>
        <v>Ростов-на-Дону</v>
      </c>
    </row>
    <row r="347" spans="1:6" x14ac:dyDescent="0.25">
      <c r="A347" s="2" t="s">
        <v>422</v>
      </c>
      <c r="B347" t="s">
        <v>199</v>
      </c>
      <c r="C347" t="s">
        <v>22</v>
      </c>
      <c r="D347">
        <v>0</v>
      </c>
      <c r="E347" s="1">
        <f t="array" ref="E347">INDEX(Исходные_данные_2__2[Дата продажи],MATCH('Исходные данные 2'!B347&amp;'Исходные данные 2'!C347,Исходные_данные_2__2[ФИО покупателя]&amp;Исходные_данные_2__2[Наименование товара],0))</f>
        <v>44967</v>
      </c>
      <c r="F347" t="str">
        <f t="array" ref="F347">INDEX(Исходные_данные_2__2[[Город отправки ]],MATCH('Исходные данные 2'!B347&amp;'Исходные данные 2'!C347,Исходные_данные_2__2[ФИО покупателя]&amp;Исходные_данные_2__2[Наименование товара],0))</f>
        <v>Сочи</v>
      </c>
    </row>
    <row r="348" spans="1:6" x14ac:dyDescent="0.25">
      <c r="A348" s="2" t="s">
        <v>422</v>
      </c>
      <c r="B348" t="s">
        <v>374</v>
      </c>
      <c r="C348" t="s">
        <v>5</v>
      </c>
      <c r="D348">
        <v>0</v>
      </c>
      <c r="E348" s="1">
        <f t="array" ref="E348">INDEX(Исходные_данные_2__2[Дата продажи],MATCH('Исходные данные 2'!B348&amp;'Исходные данные 2'!C348,Исходные_данные_2__2[ФИО покупателя]&amp;Исходные_данные_2__2[Наименование товара],0))</f>
        <v>45008</v>
      </c>
      <c r="F348" t="str">
        <f t="array" ref="F348">INDEX(Исходные_данные_2__2[[Город отправки ]],MATCH('Исходные данные 2'!B348&amp;'Исходные данные 2'!C348,Исходные_данные_2__2[ФИО покупателя]&amp;Исходные_данные_2__2[Наименование товара],0))</f>
        <v>Ростов-на-Дону</v>
      </c>
    </row>
    <row r="349" spans="1:6" x14ac:dyDescent="0.25">
      <c r="A349" s="2" t="s">
        <v>422</v>
      </c>
      <c r="B349" t="s">
        <v>4</v>
      </c>
      <c r="C349" t="s">
        <v>5</v>
      </c>
      <c r="D349">
        <v>0</v>
      </c>
      <c r="E349" s="1">
        <f t="array" ref="E349">INDEX(Исходные_данные_2__2[Дата продажи],MATCH('Исходные данные 2'!B349&amp;'Исходные данные 2'!C349,Исходные_данные_2__2[ФИО покупателя]&amp;Исходные_данные_2__2[Наименование товара],0))</f>
        <v>44927</v>
      </c>
      <c r="F349" t="str">
        <f t="array" ref="F349">INDEX(Исходные_данные_2__2[[Город отправки ]],MATCH('Исходные данные 2'!B349&amp;'Исходные данные 2'!C349,Исходные_данные_2__2[ФИО покупателя]&amp;Исходные_данные_2__2[Наименование товара],0))</f>
        <v>Сочи</v>
      </c>
    </row>
    <row r="350" spans="1:6" x14ac:dyDescent="0.25">
      <c r="A350" s="2" t="s">
        <v>422</v>
      </c>
      <c r="B350" t="s">
        <v>378</v>
      </c>
      <c r="C350" t="s">
        <v>5</v>
      </c>
      <c r="D350">
        <v>0</v>
      </c>
      <c r="E350" s="1">
        <f t="array" ref="E350">INDEX(Исходные_данные_2__2[Дата продажи],MATCH('Исходные данные 2'!B350&amp;'Исходные данные 2'!C350,Исходные_данные_2__2[ФИО покупателя]&amp;Исходные_данные_2__2[Наименование товара],0))</f>
        <v>45009</v>
      </c>
      <c r="F350" t="str">
        <f t="array" ref="F350">INDEX(Исходные_данные_2__2[[Город отправки ]],MATCH('Исходные данные 2'!B350&amp;'Исходные данные 2'!C350,Исходные_данные_2__2[ФИО покупателя]&amp;Исходные_данные_2__2[Наименование товара],0))</f>
        <v>Волгоград</v>
      </c>
    </row>
    <row r="351" spans="1:6" x14ac:dyDescent="0.25">
      <c r="A351" s="2" t="s">
        <v>422</v>
      </c>
      <c r="B351" t="s">
        <v>298</v>
      </c>
      <c r="C351" t="s">
        <v>17</v>
      </c>
      <c r="D351">
        <v>0</v>
      </c>
      <c r="E351" s="1">
        <f t="array" ref="E351">INDEX(Исходные_данные_2__2[Дата продажи],MATCH('Исходные данные 2'!B351&amp;'Исходные данные 2'!C351,Исходные_данные_2__2[ФИО покупателя]&amp;Исходные_данные_2__2[Наименование товара],0))</f>
        <v>44992</v>
      </c>
      <c r="F351" t="str">
        <f t="array" ref="F351">INDEX(Исходные_данные_2__2[[Город отправки ]],MATCH('Исходные данные 2'!B351&amp;'Исходные данные 2'!C351,Исходные_данные_2__2[ФИО покупателя]&amp;Исходные_данные_2__2[Наименование товара],0))</f>
        <v>Ростов-на-Дону</v>
      </c>
    </row>
    <row r="352" spans="1:6" x14ac:dyDescent="0.25">
      <c r="A352" s="2" t="s">
        <v>422</v>
      </c>
      <c r="B352" t="s">
        <v>300</v>
      </c>
      <c r="C352" t="s">
        <v>37</v>
      </c>
      <c r="D352">
        <v>0</v>
      </c>
      <c r="E352" s="1">
        <f t="array" ref="E352">INDEX(Исходные_данные_2__2[Дата продажи],MATCH('Исходные данные 2'!B352&amp;'Исходные данные 2'!C352,Исходные_данные_2__2[ФИО покупателя]&amp;Исходные_данные_2__2[Наименование товара],0))</f>
        <v>44992</v>
      </c>
      <c r="F352" t="str">
        <f t="array" ref="F352">INDEX(Исходные_данные_2__2[[Город отправки ]],MATCH('Исходные данные 2'!B352&amp;'Исходные данные 2'!C352,Исходные_данные_2__2[ФИО покупателя]&amp;Исходные_данные_2__2[Наименование товара],0))</f>
        <v>Ростов-на-Дону</v>
      </c>
    </row>
    <row r="353" spans="1:6" x14ac:dyDescent="0.25">
      <c r="A353" s="2" t="s">
        <v>422</v>
      </c>
      <c r="B353" t="s">
        <v>201</v>
      </c>
      <c r="C353" t="s">
        <v>17</v>
      </c>
      <c r="D353">
        <v>0</v>
      </c>
      <c r="E353" s="1">
        <f t="array" ref="E353">INDEX(Исходные_данные_2__2[Дата продажи],MATCH('Исходные данные 2'!B353&amp;'Исходные данные 2'!C353,Исходные_данные_2__2[ФИО покупателя]&amp;Исходные_данные_2__2[Наименование товара],0))</f>
        <v>44967</v>
      </c>
      <c r="F353" t="str">
        <f t="array" ref="F353">INDEX(Исходные_данные_2__2[[Город отправки ]],MATCH('Исходные данные 2'!B353&amp;'Исходные данные 2'!C353,Исходные_данные_2__2[ФИО покупателя]&amp;Исходные_данные_2__2[Наименование товара],0))</f>
        <v>Сочи</v>
      </c>
    </row>
    <row r="354" spans="1:6" x14ac:dyDescent="0.25">
      <c r="A354" s="2" t="s">
        <v>422</v>
      </c>
      <c r="B354" t="s">
        <v>173</v>
      </c>
      <c r="C354" t="s">
        <v>17</v>
      </c>
      <c r="D354">
        <v>0</v>
      </c>
      <c r="E354" s="1">
        <f t="array" ref="E354">INDEX(Исходные_данные_2__2[Дата продажи],MATCH('Исходные данные 2'!B354&amp;'Исходные данные 2'!C354,Исходные_данные_2__2[ФИО покупателя]&amp;Исходные_данные_2__2[Наименование товара],0))</f>
        <v>44962</v>
      </c>
      <c r="F354" t="str">
        <f t="array" ref="F354">INDEX(Исходные_данные_2__2[[Город отправки ]],MATCH('Исходные данные 2'!B354&amp;'Исходные данные 2'!C354,Исходные_данные_2__2[ФИО покупателя]&amp;Исходные_данные_2__2[Наименование товара],0))</f>
        <v>Ростов-на-Дону</v>
      </c>
    </row>
    <row r="355" spans="1:6" x14ac:dyDescent="0.25">
      <c r="A355" s="2" t="s">
        <v>422</v>
      </c>
      <c r="B355" t="s">
        <v>392</v>
      </c>
      <c r="C355" t="s">
        <v>17</v>
      </c>
      <c r="D355">
        <v>0</v>
      </c>
      <c r="E355" s="1">
        <f t="array" ref="E355">INDEX(Исходные_данные_2__2[Дата продажи],MATCH('Исходные данные 2'!B355&amp;'Исходные данные 2'!C355,Исходные_данные_2__2[ФИО покупателя]&amp;Исходные_данные_2__2[Наименование товара],0))</f>
        <v>45010</v>
      </c>
      <c r="F355" t="str">
        <f t="array" ref="F355">INDEX(Исходные_данные_2__2[[Город отправки ]],MATCH('Исходные данные 2'!B355&amp;'Исходные данные 2'!C355,Исходные_данные_2__2[ФИО покупателя]&amp;Исходные_данные_2__2[Наименование товара],0))</f>
        <v>Сочи</v>
      </c>
    </row>
    <row r="356" spans="1:6" x14ac:dyDescent="0.25">
      <c r="A356" s="2" t="s">
        <v>422</v>
      </c>
      <c r="B356" t="s">
        <v>174</v>
      </c>
      <c r="C356" t="s">
        <v>17</v>
      </c>
      <c r="D356">
        <v>0</v>
      </c>
      <c r="E356" s="1">
        <f t="array" ref="E356">INDEX(Исходные_данные_2__2[Дата продажи],MATCH('Исходные данные 2'!B356&amp;'Исходные данные 2'!C356,Исходные_данные_2__2[ФИО покупателя]&amp;Исходные_данные_2__2[Наименование товара],0))</f>
        <v>44962</v>
      </c>
      <c r="F356" t="str">
        <f t="array" ref="F356">INDEX(Исходные_данные_2__2[[Город отправки ]],MATCH('Исходные данные 2'!B356&amp;'Исходные данные 2'!C356,Исходные_данные_2__2[ФИО покупателя]&amp;Исходные_данные_2__2[Наименование товара],0))</f>
        <v>Ростов-на-Дону</v>
      </c>
    </row>
    <row r="357" spans="1:6" x14ac:dyDescent="0.25">
      <c r="A357" s="2" t="s">
        <v>422</v>
      </c>
      <c r="B357" t="s">
        <v>156</v>
      </c>
      <c r="C357" t="s">
        <v>17</v>
      </c>
      <c r="D357">
        <v>0</v>
      </c>
      <c r="E357" s="1">
        <f t="array" ref="E357">INDEX(Исходные_данные_2__2[Дата продажи],MATCH('Исходные данные 2'!B357&amp;'Исходные данные 2'!C357,Исходные_данные_2__2[ФИО покупателя]&amp;Исходные_данные_2__2[Наименование товара],0))</f>
        <v>44959</v>
      </c>
      <c r="F357" t="str">
        <f t="array" ref="F357">INDEX(Исходные_данные_2__2[[Город отправки ]],MATCH('Исходные данные 2'!B357&amp;'Исходные данные 2'!C357,Исходные_данные_2__2[ФИО покупателя]&amp;Исходные_данные_2__2[Наименование товара],0))</f>
        <v>Ростов-на-Дону</v>
      </c>
    </row>
    <row r="358" spans="1:6" x14ac:dyDescent="0.25">
      <c r="A358" s="2" t="s">
        <v>422</v>
      </c>
      <c r="B358" t="s">
        <v>393</v>
      </c>
      <c r="C358" t="s">
        <v>15</v>
      </c>
      <c r="D358">
        <v>0</v>
      </c>
      <c r="E358" s="1">
        <f t="array" ref="E358">INDEX(Исходные_данные_2__2[Дата продажи],MATCH('Исходные данные 2'!B358&amp;'Исходные данные 2'!C358,Исходные_данные_2__2[ФИО покупателя]&amp;Исходные_данные_2__2[Наименование товара],0))</f>
        <v>45010</v>
      </c>
      <c r="F358" t="str">
        <f t="array" ref="F358">INDEX(Исходные_данные_2__2[[Город отправки ]],MATCH('Исходные данные 2'!B358&amp;'Исходные данные 2'!C358,Исходные_данные_2__2[ФИО покупателя]&amp;Исходные_данные_2__2[Наименование товара],0))</f>
        <v>Волгоград</v>
      </c>
    </row>
    <row r="359" spans="1:6" x14ac:dyDescent="0.25">
      <c r="A359" s="2" t="s">
        <v>422</v>
      </c>
      <c r="B359" t="s">
        <v>403</v>
      </c>
      <c r="C359" t="s">
        <v>17</v>
      </c>
      <c r="D359">
        <v>0</v>
      </c>
      <c r="E359" s="1">
        <f t="array" ref="E359">INDEX(Исходные_данные_2__2[Дата продажи],MATCH('Исходные данные 2'!B359&amp;'Исходные данные 2'!C359,Исходные_данные_2__2[ФИО покупателя]&amp;Исходные_данные_2__2[Наименование товара],0))</f>
        <v>45012</v>
      </c>
      <c r="F359" t="str">
        <f t="array" ref="F359">INDEX(Исходные_данные_2__2[[Город отправки ]],MATCH('Исходные данные 2'!B359&amp;'Исходные данные 2'!C359,Исходные_данные_2__2[ФИО покупателя]&amp;Исходные_данные_2__2[Наименование товара],0))</f>
        <v>Сочи</v>
      </c>
    </row>
    <row r="360" spans="1:6" x14ac:dyDescent="0.25">
      <c r="A360" s="2" t="s">
        <v>422</v>
      </c>
      <c r="B360" t="s">
        <v>48</v>
      </c>
      <c r="C360" t="s">
        <v>22</v>
      </c>
      <c r="D360">
        <v>0</v>
      </c>
      <c r="E360" s="1">
        <f t="array" ref="E360">INDEX(Исходные_данные_2__2[Дата продажи],MATCH('Исходные данные 2'!B360&amp;'Исходные данные 2'!C360,Исходные_данные_2__2[ФИО покупателя]&amp;Исходные_данные_2__2[Наименование товара],0))</f>
        <v>44935</v>
      </c>
      <c r="F360" t="str">
        <f t="array" ref="F360">INDEX(Исходные_данные_2__2[[Город отправки ]],MATCH('Исходные данные 2'!B360&amp;'Исходные данные 2'!C360,Исходные_данные_2__2[ФИО покупателя]&amp;Исходные_данные_2__2[Наименование товара],0))</f>
        <v>Ростов-на-Дону</v>
      </c>
    </row>
    <row r="361" spans="1:6" x14ac:dyDescent="0.25">
      <c r="A361" s="2" t="s">
        <v>422</v>
      </c>
      <c r="B361" t="s">
        <v>223</v>
      </c>
      <c r="C361" t="s">
        <v>17</v>
      </c>
      <c r="D361">
        <v>0</v>
      </c>
      <c r="E361" s="1">
        <f t="array" ref="E361">INDEX(Исходные_данные_2__2[Дата продажи],MATCH('Исходные данные 2'!B361&amp;'Исходные данные 2'!C361,Исходные_данные_2__2[ФИО покупателя]&amp;Исходные_данные_2__2[Наименование товара],0))</f>
        <v>44973</v>
      </c>
      <c r="F361" t="str">
        <f t="array" ref="F361">INDEX(Исходные_данные_2__2[[Город отправки ]],MATCH('Исходные данные 2'!B361&amp;'Исходные данные 2'!C361,Исходные_данные_2__2[ФИО покупателя]&amp;Исходные_данные_2__2[Наименование товара],0))</f>
        <v>Сочи</v>
      </c>
    </row>
    <row r="362" spans="1:6" x14ac:dyDescent="0.25">
      <c r="A362" s="2" t="s">
        <v>422</v>
      </c>
      <c r="B362" t="s">
        <v>366</v>
      </c>
      <c r="C362" t="s">
        <v>17</v>
      </c>
      <c r="D362">
        <v>0</v>
      </c>
      <c r="E362" s="1">
        <f t="array" ref="E362">INDEX(Исходные_данные_2__2[Дата продажи],MATCH('Исходные данные 2'!B362&amp;'Исходные данные 2'!C362,Исходные_данные_2__2[ФИО покупателя]&amp;Исходные_данные_2__2[Наименование товара],0))</f>
        <v>45006</v>
      </c>
      <c r="F362" t="str">
        <f t="array" ref="F362">INDEX(Исходные_данные_2__2[[Город отправки ]],MATCH('Исходные данные 2'!B362&amp;'Исходные данные 2'!C362,Исходные_данные_2__2[ФИО покупателя]&amp;Исходные_данные_2__2[Наименование товара],0))</f>
        <v>Волгоград</v>
      </c>
    </row>
    <row r="363" spans="1:6" x14ac:dyDescent="0.25">
      <c r="A363" s="2" t="s">
        <v>422</v>
      </c>
      <c r="B363" t="s">
        <v>61</v>
      </c>
      <c r="C363" t="s">
        <v>8</v>
      </c>
      <c r="D363">
        <v>0</v>
      </c>
      <c r="E363" s="1">
        <f t="array" ref="E363">INDEX(Исходные_данные_2__2[Дата продажи],MATCH('Исходные данные 2'!B363&amp;'Исходные данные 2'!C363,Исходные_данные_2__2[ФИО покупателя]&amp;Исходные_данные_2__2[Наименование товара],0))</f>
        <v>44938</v>
      </c>
      <c r="F363" t="str">
        <f t="array" ref="F363">INDEX(Исходные_данные_2__2[[Город отправки ]],MATCH('Исходные данные 2'!B363&amp;'Исходные данные 2'!C363,Исходные_данные_2__2[ФИО покупателя]&amp;Исходные_данные_2__2[Наименование товара],0))</f>
        <v>Ростов-на-Дону</v>
      </c>
    </row>
    <row r="364" spans="1:6" x14ac:dyDescent="0.25">
      <c r="A364" s="2" t="s">
        <v>422</v>
      </c>
      <c r="B364" t="s">
        <v>303</v>
      </c>
      <c r="C364" t="s">
        <v>37</v>
      </c>
      <c r="D364">
        <v>0</v>
      </c>
      <c r="E364" s="1">
        <f t="array" ref="E364">INDEX(Исходные_данные_2__2[Дата продажи],MATCH('Исходные данные 2'!B364&amp;'Исходные данные 2'!C364,Исходные_данные_2__2[ФИО покупателя]&amp;Исходные_данные_2__2[Наименование товара],0))</f>
        <v>44993</v>
      </c>
      <c r="F364" t="str">
        <f t="array" ref="F364">INDEX(Исходные_данные_2__2[[Город отправки ]],MATCH('Исходные данные 2'!B364&amp;'Исходные данные 2'!C364,Исходные_данные_2__2[ФИО покупателя]&amp;Исходные_данные_2__2[Наименование товара],0))</f>
        <v>Ростов-на-Дону</v>
      </c>
    </row>
    <row r="365" spans="1:6" x14ac:dyDescent="0.25">
      <c r="A365" s="2" t="s">
        <v>422</v>
      </c>
      <c r="B365" t="s">
        <v>132</v>
      </c>
      <c r="C365" t="s">
        <v>17</v>
      </c>
      <c r="D365">
        <v>0</v>
      </c>
      <c r="E365" s="1">
        <f t="array" ref="E365">INDEX(Исходные_данные_2__2[Дата продажи],MATCH('Исходные данные 2'!B365&amp;'Исходные данные 2'!C365,Исходные_данные_2__2[ФИО покупателя]&amp;Исходные_данные_2__2[Наименование товара],0))</f>
        <v>44954</v>
      </c>
      <c r="F365" t="str">
        <f t="array" ref="F365">INDEX(Исходные_данные_2__2[[Город отправки ]],MATCH('Исходные данные 2'!B365&amp;'Исходные данные 2'!C365,Исходные_данные_2__2[ФИО покупателя]&amp;Исходные_данные_2__2[Наименование товара],0))</f>
        <v>Ростов-на-Дону</v>
      </c>
    </row>
    <row r="366" spans="1:6" x14ac:dyDescent="0.25">
      <c r="A366" s="2" t="s">
        <v>422</v>
      </c>
      <c r="B366" t="s">
        <v>304</v>
      </c>
      <c r="C366" t="s">
        <v>17</v>
      </c>
      <c r="D366">
        <v>0</v>
      </c>
      <c r="E366" s="1">
        <f t="array" ref="E366">INDEX(Исходные_данные_2__2[Дата продажи],MATCH('Исходные данные 2'!B366&amp;'Исходные данные 2'!C366,Исходные_данные_2__2[ФИО покупателя]&amp;Исходные_данные_2__2[Наименование товара],0))</f>
        <v>44993</v>
      </c>
      <c r="F366" t="str">
        <f t="array" ref="F366">INDEX(Исходные_данные_2__2[[Город отправки ]],MATCH('Исходные данные 2'!B366&amp;'Исходные данные 2'!C366,Исходные_данные_2__2[ФИО покупателя]&amp;Исходные_данные_2__2[Наименование товара],0))</f>
        <v>Ростов-на-Дону</v>
      </c>
    </row>
    <row r="367" spans="1:6" x14ac:dyDescent="0.25">
      <c r="A367" s="2" t="s">
        <v>422</v>
      </c>
      <c r="B367" t="s">
        <v>410</v>
      </c>
      <c r="C367" t="s">
        <v>8</v>
      </c>
      <c r="D367">
        <v>0</v>
      </c>
      <c r="E367" s="1">
        <f t="array" ref="E367">INDEX(Исходные_данные_2__2[Дата продажи],MATCH('Исходные данные 2'!B367&amp;'Исходные данные 2'!C367,Исходные_данные_2__2[ФИО покупателя]&amp;Исходные_данные_2__2[Наименование товара],0))</f>
        <v>45015</v>
      </c>
      <c r="F367" t="str">
        <f t="array" ref="F367">INDEX(Исходные_данные_2__2[[Город отправки ]],MATCH('Исходные данные 2'!B367&amp;'Исходные данные 2'!C367,Исходные_данные_2__2[ФИО покупателя]&amp;Исходные_данные_2__2[Наименование товара],0))</f>
        <v>Сочи</v>
      </c>
    </row>
    <row r="368" spans="1:6" x14ac:dyDescent="0.25">
      <c r="A368" s="2" t="s">
        <v>422</v>
      </c>
      <c r="B368" t="s">
        <v>21</v>
      </c>
      <c r="C368" t="s">
        <v>22</v>
      </c>
      <c r="D368">
        <v>0</v>
      </c>
      <c r="E368" s="1">
        <f t="array" ref="E368">INDEX(Исходные_данные_2__2[Дата продажи],MATCH('Исходные данные 2'!B368&amp;'Исходные данные 2'!C368,Исходные_данные_2__2[ФИО покупателя]&amp;Исходные_данные_2__2[Наименование товара],0))</f>
        <v>44928</v>
      </c>
      <c r="F368" t="str">
        <f t="array" ref="F368">INDEX(Исходные_данные_2__2[[Город отправки ]],MATCH('Исходные данные 2'!B368&amp;'Исходные данные 2'!C368,Исходные_данные_2__2[ФИО покупателя]&amp;Исходные_данные_2__2[Наименование товара],0))</f>
        <v>Волгоград</v>
      </c>
    </row>
    <row r="369" spans="1:6" x14ac:dyDescent="0.25">
      <c r="A369" s="2" t="s">
        <v>422</v>
      </c>
      <c r="B369" t="s">
        <v>204</v>
      </c>
      <c r="C369" t="s">
        <v>17</v>
      </c>
      <c r="D369">
        <v>0</v>
      </c>
      <c r="E369" s="1">
        <f t="array" ref="E369">INDEX(Исходные_данные_2__2[Дата продажи],MATCH('Исходные данные 2'!B369&amp;'Исходные данные 2'!C369,Исходные_данные_2__2[ФИО покупателя]&amp;Исходные_данные_2__2[Наименование товара],0))</f>
        <v>44968</v>
      </c>
      <c r="F369" t="str">
        <f t="array" ref="F369">INDEX(Исходные_данные_2__2[[Город отправки ]],MATCH('Исходные данные 2'!B369&amp;'Исходные данные 2'!C369,Исходные_данные_2__2[ФИО покупателя]&amp;Исходные_данные_2__2[Наименование товара],0))</f>
        <v>Волгоград</v>
      </c>
    </row>
    <row r="370" spans="1:6" x14ac:dyDescent="0.25">
      <c r="A370" s="2" t="s">
        <v>422</v>
      </c>
      <c r="B370" t="s">
        <v>260</v>
      </c>
      <c r="C370" t="s">
        <v>37</v>
      </c>
      <c r="D370">
        <v>0</v>
      </c>
      <c r="E370" s="1">
        <f t="array" ref="E370">INDEX(Исходные_данные_2__2[Дата продажи],MATCH('Исходные данные 2'!B370&amp;'Исходные данные 2'!C370,Исходные_данные_2__2[ФИО покупателя]&amp;Исходные_данные_2__2[Наименование товара],0))</f>
        <v>44984</v>
      </c>
      <c r="F370" t="str">
        <f t="array" ref="F370">INDEX(Исходные_данные_2__2[[Город отправки ]],MATCH('Исходные данные 2'!B370&amp;'Исходные данные 2'!C370,Исходные_данные_2__2[ФИО покупателя]&amp;Исходные_данные_2__2[Наименование товара],0))</f>
        <v>Волгоград</v>
      </c>
    </row>
    <row r="371" spans="1:6" x14ac:dyDescent="0.25">
      <c r="A371" s="2" t="s">
        <v>422</v>
      </c>
      <c r="B371" t="s">
        <v>335</v>
      </c>
      <c r="C371" t="s">
        <v>22</v>
      </c>
      <c r="D371">
        <v>0</v>
      </c>
      <c r="E371" s="1">
        <f t="array" ref="E371">INDEX(Исходные_данные_2__2[Дата продажи],MATCH('Исходные данные 2'!B371&amp;'Исходные данные 2'!C371,Исходные_данные_2__2[ФИО покупателя]&amp;Исходные_данные_2__2[Наименование товара],0))</f>
        <v>45000</v>
      </c>
      <c r="F371" t="str">
        <f t="array" ref="F371">INDEX(Исходные_данные_2__2[[Город отправки ]],MATCH('Исходные данные 2'!B371&amp;'Исходные данные 2'!C371,Исходные_данные_2__2[ФИО покупателя]&amp;Исходные_данные_2__2[Наименование товара],0))</f>
        <v>Ростов-на-Дону</v>
      </c>
    </row>
    <row r="372" spans="1:6" x14ac:dyDescent="0.25">
      <c r="A372" s="2" t="s">
        <v>422</v>
      </c>
      <c r="B372" t="s">
        <v>82</v>
      </c>
      <c r="C372" t="s">
        <v>5</v>
      </c>
      <c r="D372">
        <v>0</v>
      </c>
      <c r="E372" s="1">
        <f t="array" ref="E372">INDEX(Исходные_данные_2__2[Дата продажи],MATCH('Исходные данные 2'!B372&amp;'Исходные данные 2'!C372,Исходные_данные_2__2[ФИО покупателя]&amp;Исходные_данные_2__2[Наименование товара],0))</f>
        <v>44942</v>
      </c>
      <c r="F372" t="str">
        <f t="array" ref="F372">INDEX(Исходные_данные_2__2[[Город отправки ]],MATCH('Исходные данные 2'!B372&amp;'Исходные данные 2'!C372,Исходные_данные_2__2[ФИО покупателя]&amp;Исходные_данные_2__2[Наименование товара],0))</f>
        <v>Ростов-на-Дону</v>
      </c>
    </row>
    <row r="373" spans="1:6" x14ac:dyDescent="0.25">
      <c r="A373" s="2" t="s">
        <v>422</v>
      </c>
      <c r="B373" t="s">
        <v>64</v>
      </c>
      <c r="C373" t="s">
        <v>17</v>
      </c>
      <c r="D373">
        <v>0</v>
      </c>
      <c r="E373" s="1">
        <f t="array" ref="E373">INDEX(Исходные_данные_2__2[Дата продажи],MATCH('Исходные данные 2'!B373&amp;'Исходные данные 2'!C373,Исходные_данные_2__2[ФИО покупателя]&amp;Исходные_данные_2__2[Наименование товара],0))</f>
        <v>44938</v>
      </c>
      <c r="F373" t="str">
        <f t="array" ref="F373">INDEX(Исходные_данные_2__2[[Город отправки ]],MATCH('Исходные данные 2'!B373&amp;'Исходные данные 2'!C373,Исходные_данные_2__2[ФИО покупателя]&amp;Исходные_данные_2__2[Наименование товара],0))</f>
        <v>Волгоград</v>
      </c>
    </row>
    <row r="374" spans="1:6" x14ac:dyDescent="0.25">
      <c r="A374" s="2" t="s">
        <v>422</v>
      </c>
      <c r="B374" t="s">
        <v>307</v>
      </c>
      <c r="C374" t="s">
        <v>5</v>
      </c>
      <c r="D374">
        <v>0</v>
      </c>
      <c r="E374" s="1">
        <f t="array" ref="E374">INDEX(Исходные_данные_2__2[Дата продажи],MATCH('Исходные данные 2'!B374&amp;'Исходные данные 2'!C374,Исходные_данные_2__2[ФИО покупателя]&amp;Исходные_данные_2__2[Наименование товара],0))</f>
        <v>44994</v>
      </c>
      <c r="F374" t="str">
        <f t="array" ref="F374">INDEX(Исходные_данные_2__2[[Город отправки ]],MATCH('Исходные данные 2'!B374&amp;'Исходные данные 2'!C374,Исходные_данные_2__2[ФИО покупателя]&amp;Исходные_данные_2__2[Наименование товара],0))</f>
        <v>Ростов-на-Дону</v>
      </c>
    </row>
    <row r="375" spans="1:6" x14ac:dyDescent="0.25">
      <c r="A375" s="2" t="s">
        <v>422</v>
      </c>
      <c r="B375" t="s">
        <v>394</v>
      </c>
      <c r="C375" t="s">
        <v>5</v>
      </c>
      <c r="D375">
        <v>0</v>
      </c>
      <c r="E375" s="1">
        <f t="array" ref="E375">INDEX(Исходные_данные_2__2[Дата продажи],MATCH('Исходные данные 2'!B375&amp;'Исходные данные 2'!C375,Исходные_данные_2__2[ФИО покупателя]&amp;Исходные_данные_2__2[Наименование товара],0))</f>
        <v>45010</v>
      </c>
      <c r="F375" t="str">
        <f t="array" ref="F375">INDEX(Исходные_данные_2__2[[Город отправки ]],MATCH('Исходные данные 2'!B375&amp;'Исходные данные 2'!C375,Исходные_данные_2__2[ФИО покупателя]&amp;Исходные_данные_2__2[Наименование товара],0))</f>
        <v>Ростов-на-Дону</v>
      </c>
    </row>
    <row r="376" spans="1:6" x14ac:dyDescent="0.25">
      <c r="A376" s="2" t="s">
        <v>422</v>
      </c>
      <c r="B376" t="s">
        <v>381</v>
      </c>
      <c r="C376" t="s">
        <v>5</v>
      </c>
      <c r="D376">
        <v>0</v>
      </c>
      <c r="E376" s="1">
        <f t="array" ref="E376">INDEX(Исходные_данные_2__2[Дата продажи],MATCH('Исходные данные 2'!B376&amp;'Исходные данные 2'!C376,Исходные_данные_2__2[ФИО покупателя]&amp;Исходные_данные_2__2[Наименование товара],0))</f>
        <v>45009</v>
      </c>
      <c r="F376" t="str">
        <f t="array" ref="F376">INDEX(Исходные_данные_2__2[[Город отправки ]],MATCH('Исходные данные 2'!B376&amp;'Исходные данные 2'!C376,Исходные_данные_2__2[ФИО покупателя]&amp;Исходные_данные_2__2[Наименование товара],0))</f>
        <v>Сочи</v>
      </c>
    </row>
    <row r="377" spans="1:6" x14ac:dyDescent="0.25">
      <c r="A377" s="2" t="s">
        <v>422</v>
      </c>
      <c r="B377" t="s">
        <v>289</v>
      </c>
      <c r="C377" t="s">
        <v>8</v>
      </c>
      <c r="D377">
        <v>0</v>
      </c>
      <c r="E377" s="1">
        <f t="array" ref="E377">INDEX(Исходные_данные_2__2[Дата продажи],MATCH('Исходные данные 2'!B377&amp;'Исходные данные 2'!C377,Исходные_данные_2__2[ФИО покупателя]&amp;Исходные_данные_2__2[Наименование товара],0))</f>
        <v>44990</v>
      </c>
      <c r="F377" t="str">
        <f t="array" ref="F377">INDEX(Исходные_данные_2__2[[Город отправки ]],MATCH('Исходные данные 2'!B377&amp;'Исходные данные 2'!C377,Исходные_данные_2__2[ФИО покупателя]&amp;Исходные_данные_2__2[Наименование товара],0))</f>
        <v>Ростов-на-Дону</v>
      </c>
    </row>
    <row r="378" spans="1:6" x14ac:dyDescent="0.25">
      <c r="A378" s="2" t="s">
        <v>422</v>
      </c>
      <c r="B378" t="s">
        <v>382</v>
      </c>
      <c r="C378" t="s">
        <v>22</v>
      </c>
      <c r="D378">
        <v>0</v>
      </c>
      <c r="E378" s="1">
        <f t="array" ref="E378">INDEX(Исходные_данные_2__2[Дата продажи],MATCH('Исходные данные 2'!B378&amp;'Исходные данные 2'!C378,Исходные_данные_2__2[ФИО покупателя]&amp;Исходные_данные_2__2[Наименование товара],0))</f>
        <v>45009</v>
      </c>
      <c r="F378" t="str">
        <f t="array" ref="F378">INDEX(Исходные_данные_2__2[[Город отправки ]],MATCH('Исходные данные 2'!B378&amp;'Исходные данные 2'!C378,Исходные_данные_2__2[ФИО покупателя]&amp;Исходные_данные_2__2[Наименование товара],0))</f>
        <v>Волгоград</v>
      </c>
    </row>
    <row r="379" spans="1:6" x14ac:dyDescent="0.25">
      <c r="A379" s="2" t="s">
        <v>422</v>
      </c>
      <c r="B379" t="s">
        <v>363</v>
      </c>
      <c r="C379" t="s">
        <v>5</v>
      </c>
      <c r="D379">
        <v>0</v>
      </c>
      <c r="E379" s="1">
        <f t="array" ref="E379">INDEX(Исходные_данные_2__2[Дата продажи],MATCH('Исходные данные 2'!B379&amp;'Исходные данные 2'!C379,Исходные_данные_2__2[ФИО покупателя]&amp;Исходные_данные_2__2[Наименование товара],0))</f>
        <v>45005</v>
      </c>
      <c r="F379" t="str">
        <f t="array" ref="F379">INDEX(Исходные_данные_2__2[[Город отправки ]],MATCH('Исходные данные 2'!B379&amp;'Исходные данные 2'!C379,Исходные_данные_2__2[ФИО покупателя]&amp;Исходные_данные_2__2[Наименование товара],0))</f>
        <v>Ростов-на-Дону</v>
      </c>
    </row>
    <row r="380" spans="1:6" x14ac:dyDescent="0.25">
      <c r="A380" s="2" t="s">
        <v>422</v>
      </c>
      <c r="B380" t="s">
        <v>276</v>
      </c>
      <c r="C380" t="s">
        <v>8</v>
      </c>
      <c r="D380">
        <v>0</v>
      </c>
      <c r="E380" s="1">
        <f t="array" ref="E380">INDEX(Исходные_данные_2__2[Дата продажи],MATCH('Исходные данные 2'!B380&amp;'Исходные данные 2'!C380,Исходные_данные_2__2[ФИО покупателя]&amp;Исходные_данные_2__2[Наименование товара],0))</f>
        <v>44987</v>
      </c>
      <c r="F380" t="str">
        <f t="array" ref="F380">INDEX(Исходные_данные_2__2[[Город отправки ]],MATCH('Исходные данные 2'!B380&amp;'Исходные данные 2'!C380,Исходные_данные_2__2[ФИО покупателя]&amp;Исходные_данные_2__2[Наименование товара],0))</f>
        <v>Волгоград</v>
      </c>
    </row>
    <row r="381" spans="1:6" x14ac:dyDescent="0.25">
      <c r="A381" s="2" t="s">
        <v>422</v>
      </c>
      <c r="B381" t="s">
        <v>277</v>
      </c>
      <c r="C381" t="s">
        <v>5</v>
      </c>
      <c r="D381">
        <v>0</v>
      </c>
      <c r="E381" s="1">
        <f t="array" ref="E381">INDEX(Исходные_данные_2__2[Дата продажи],MATCH('Исходные данные 2'!B381&amp;'Исходные данные 2'!C381,Исходные_данные_2__2[ФИО покупателя]&amp;Исходные_данные_2__2[Наименование товара],0))</f>
        <v>44987</v>
      </c>
      <c r="F381" t="str">
        <f t="array" ref="F381">INDEX(Исходные_данные_2__2[[Город отправки ]],MATCH('Исходные данные 2'!B381&amp;'Исходные данные 2'!C381,Исходные_данные_2__2[ФИО покупателя]&amp;Исходные_данные_2__2[Наименование товара],0))</f>
        <v>Ростов-на-Дону</v>
      </c>
    </row>
    <row r="382" spans="1:6" x14ac:dyDescent="0.25">
      <c r="A382" s="2" t="s">
        <v>422</v>
      </c>
      <c r="B382" t="s">
        <v>261</v>
      </c>
      <c r="C382" t="s">
        <v>5</v>
      </c>
      <c r="D382">
        <v>0</v>
      </c>
      <c r="E382" s="1">
        <f t="array" ref="E382">INDEX(Исходные_данные_2__2[Дата продажи],MATCH('Исходные данные 2'!B382&amp;'Исходные данные 2'!C382,Исходные_данные_2__2[ФИО покупателя]&amp;Исходные_данные_2__2[Наименование товара],0))</f>
        <v>44984</v>
      </c>
      <c r="F382" t="str">
        <f t="array" ref="F382">INDEX(Исходные_данные_2__2[[Город отправки ]],MATCH('Исходные данные 2'!B382&amp;'Исходные данные 2'!C382,Исходные_данные_2__2[ФИО покупателя]&amp;Исходные_данные_2__2[Наименование товара],0))</f>
        <v>Ростов-на-Дону</v>
      </c>
    </row>
    <row r="383" spans="1:6" x14ac:dyDescent="0.25">
      <c r="A383" s="2" t="s">
        <v>422</v>
      </c>
      <c r="B383" t="s">
        <v>411</v>
      </c>
      <c r="C383" t="s">
        <v>8</v>
      </c>
      <c r="D383">
        <v>0</v>
      </c>
      <c r="E383" s="1">
        <f t="array" ref="E383">INDEX(Исходные_данные_2__2[Дата продажи],MATCH('Исходные данные 2'!B383&amp;'Исходные данные 2'!C383,Исходные_данные_2__2[ФИО покупателя]&amp;Исходные_данные_2__2[Наименование товара],0))</f>
        <v>45015</v>
      </c>
      <c r="F383" t="str">
        <f t="array" ref="F383">INDEX(Исходные_данные_2__2[[Город отправки ]],MATCH('Исходные данные 2'!B383&amp;'Исходные данные 2'!C383,Исходные_данные_2__2[ФИО покупателя]&amp;Исходные_данные_2__2[Наименование товара],0))</f>
        <v>Сочи</v>
      </c>
    </row>
    <row r="384" spans="1:6" x14ac:dyDescent="0.25">
      <c r="A384" s="2" t="s">
        <v>422</v>
      </c>
      <c r="B384" t="s">
        <v>352</v>
      </c>
      <c r="C384" t="s">
        <v>17</v>
      </c>
      <c r="D384">
        <v>0</v>
      </c>
      <c r="E384" s="1">
        <f t="array" ref="E384">INDEX(Исходные_данные_2__2[Дата продажи],MATCH('Исходные данные 2'!B384&amp;'Исходные данные 2'!C384,Исходные_данные_2__2[ФИО покупателя]&amp;Исходные_данные_2__2[Наименование товара],0))</f>
        <v>45003</v>
      </c>
      <c r="F384" t="str">
        <f t="array" ref="F384">INDEX(Исходные_данные_2__2[[Город отправки ]],MATCH('Исходные данные 2'!B384&amp;'Исходные данные 2'!C384,Исходные_данные_2__2[ФИО покупателя]&amp;Исходные_данные_2__2[Наименование товара],0))</f>
        <v>Волгоград</v>
      </c>
    </row>
    <row r="385" spans="1:6" x14ac:dyDescent="0.25">
      <c r="A385" s="2" t="s">
        <v>422</v>
      </c>
      <c r="B385" t="s">
        <v>271</v>
      </c>
      <c r="C385" t="s">
        <v>5</v>
      </c>
      <c r="D385">
        <v>0</v>
      </c>
      <c r="E385" s="1">
        <f t="array" ref="E385">INDEX(Исходные_данные_2__2[Дата продажи],MATCH('Исходные данные 2'!B385&amp;'Исходные данные 2'!C385,Исходные_данные_2__2[ФИО покупателя]&amp;Исходные_данные_2__2[Наименование товара],0))</f>
        <v>44986</v>
      </c>
      <c r="F385" t="str">
        <f t="array" ref="F385">INDEX(Исходные_данные_2__2[[Город отправки ]],MATCH('Исходные данные 2'!B385&amp;'Исходные данные 2'!C385,Исходные_данные_2__2[ФИО покупателя]&amp;Исходные_данные_2__2[Наименование товара],0))</f>
        <v>Ростов-на-Дону</v>
      </c>
    </row>
    <row r="386" spans="1:6" x14ac:dyDescent="0.25">
      <c r="A386" s="2" t="s">
        <v>422</v>
      </c>
      <c r="B386" t="s">
        <v>134</v>
      </c>
      <c r="C386" t="s">
        <v>15</v>
      </c>
      <c r="D386">
        <v>0</v>
      </c>
      <c r="E386" s="1">
        <f t="array" ref="E386">INDEX(Исходные_данные_2__2[Дата продажи],MATCH('Исходные данные 2'!B386&amp;'Исходные данные 2'!C386,Исходные_данные_2__2[ФИО покупателя]&amp;Исходные_данные_2__2[Наименование товара],0))</f>
        <v>44954</v>
      </c>
      <c r="F386" t="str">
        <f t="array" ref="F386">INDEX(Исходные_данные_2__2[[Город отправки ]],MATCH('Исходные данные 2'!B386&amp;'Исходные данные 2'!C386,Исходные_данные_2__2[ФИО покупателя]&amp;Исходные_данные_2__2[Наименование товара],0))</f>
        <v>Ростов-на-Дону</v>
      </c>
    </row>
    <row r="387" spans="1:6" x14ac:dyDescent="0.25">
      <c r="A387" s="2" t="s">
        <v>422</v>
      </c>
      <c r="B387" t="s">
        <v>76</v>
      </c>
      <c r="C387" t="s">
        <v>5</v>
      </c>
      <c r="D387">
        <v>0</v>
      </c>
      <c r="E387" s="1">
        <f t="array" ref="E387">INDEX(Исходные_данные_2__2[Дата продажи],MATCH('Исходные данные 2'!B387&amp;'Исходные данные 2'!C387,Исходные_данные_2__2[ФИО покупателя]&amp;Исходные_данные_2__2[Наименование товара],0))</f>
        <v>44940</v>
      </c>
      <c r="F387" t="str">
        <f t="array" ref="F387">INDEX(Исходные_данные_2__2[[Город отправки ]],MATCH('Исходные данные 2'!B387&amp;'Исходные данные 2'!C387,Исходные_данные_2__2[ФИО покупателя]&amp;Исходные_данные_2__2[Наименование товара],0))</f>
        <v>Сочи</v>
      </c>
    </row>
    <row r="388" spans="1:6" x14ac:dyDescent="0.25">
      <c r="A388" s="2" t="s">
        <v>422</v>
      </c>
      <c r="B388" t="s">
        <v>39</v>
      </c>
      <c r="C388" t="s">
        <v>8</v>
      </c>
      <c r="D388">
        <v>0</v>
      </c>
      <c r="E388" s="1">
        <f t="array" ref="E388">INDEX(Исходные_данные_2__2[Дата продажи],MATCH('Исходные данные 2'!B388&amp;'Исходные данные 2'!C388,Исходные_данные_2__2[ФИО покупателя]&amp;Исходные_данные_2__2[Наименование товара],0))</f>
        <v>44933</v>
      </c>
      <c r="F388" t="str">
        <f t="array" ref="F388">INDEX(Исходные_данные_2__2[[Город отправки ]],MATCH('Исходные данные 2'!B388&amp;'Исходные данные 2'!C388,Исходные_данные_2__2[ФИО покупателя]&amp;Исходные_данные_2__2[Наименование товара],0))</f>
        <v>Сочи</v>
      </c>
    </row>
    <row r="389" spans="1:6" x14ac:dyDescent="0.25">
      <c r="A389" s="2" t="s">
        <v>422</v>
      </c>
      <c r="B389" t="s">
        <v>262</v>
      </c>
      <c r="C389" t="s">
        <v>5</v>
      </c>
      <c r="D389">
        <v>0</v>
      </c>
      <c r="E389" s="1">
        <f t="array" ref="E389">INDEX(Исходные_данные_2__2[Дата продажи],MATCH('Исходные данные 2'!B389&amp;'Исходные данные 2'!C389,Исходные_данные_2__2[ФИО покупателя]&amp;Исходные_данные_2__2[Наименование товара],0))</f>
        <v>44984</v>
      </c>
      <c r="F389" t="str">
        <f t="array" ref="F389">INDEX(Исходные_данные_2__2[[Город отправки ]],MATCH('Исходные данные 2'!B389&amp;'Исходные данные 2'!C389,Исходные_данные_2__2[ФИО покупателя]&amp;Исходные_данные_2__2[Наименование товара],0))</f>
        <v>Ростов-на-Дону</v>
      </c>
    </row>
    <row r="390" spans="1:6" x14ac:dyDescent="0.25">
      <c r="A390" s="2" t="s">
        <v>422</v>
      </c>
      <c r="B390" t="s">
        <v>259</v>
      </c>
      <c r="C390" t="s">
        <v>5</v>
      </c>
      <c r="D390">
        <v>0</v>
      </c>
      <c r="E390" s="1">
        <f t="array" ref="E390">INDEX(Исходные_данные_2__2[Дата продажи],MATCH('Исходные данные 2'!B390&amp;'Исходные данные 2'!C390,Исходные_данные_2__2[ФИО покупателя]&amp;Исходные_данные_2__2[Наименование товара],0))</f>
        <v>44983</v>
      </c>
      <c r="F390" t="str">
        <f t="array" ref="F390">INDEX(Исходные_данные_2__2[[Город отправки ]],MATCH('Исходные данные 2'!B390&amp;'Исходные данные 2'!C390,Исходные_данные_2__2[ФИО покупателя]&amp;Исходные_данные_2__2[Наименование товара],0))</f>
        <v>Волгоград</v>
      </c>
    </row>
    <row r="391" spans="1:6" x14ac:dyDescent="0.25">
      <c r="A391" s="2" t="s">
        <v>422</v>
      </c>
      <c r="B391" t="s">
        <v>291</v>
      </c>
      <c r="C391" t="s">
        <v>37</v>
      </c>
      <c r="D391">
        <v>0</v>
      </c>
      <c r="E391" s="1">
        <f t="array" ref="E391">INDEX(Исходные_данные_2__2[Дата продажи],MATCH('Исходные данные 2'!B391&amp;'Исходные данные 2'!C391,Исходные_данные_2__2[ФИО покупателя]&amp;Исходные_данные_2__2[Наименование товара],0))</f>
        <v>44990</v>
      </c>
      <c r="F391" t="str">
        <f t="array" ref="F391">INDEX(Исходные_данные_2__2[[Город отправки ]],MATCH('Исходные данные 2'!B391&amp;'Исходные данные 2'!C391,Исходные_данные_2__2[ФИО покупателя]&amp;Исходные_данные_2__2[Наименование товара],0))</f>
        <v>Волгоград</v>
      </c>
    </row>
    <row r="392" spans="1:6" x14ac:dyDescent="0.25">
      <c r="A392" s="2" t="s">
        <v>422</v>
      </c>
      <c r="B392" t="s">
        <v>250</v>
      </c>
      <c r="C392" t="s">
        <v>5</v>
      </c>
      <c r="D392">
        <v>0</v>
      </c>
      <c r="E392" s="1">
        <f t="array" ref="E392">INDEX(Исходные_данные_2__2[Дата продажи],MATCH('Исходные данные 2'!B392&amp;'Исходные данные 2'!C392,Исходные_данные_2__2[ФИО покупателя]&amp;Исходные_данные_2__2[Наименование товара],0))</f>
        <v>44980</v>
      </c>
      <c r="F392" t="str">
        <f t="array" ref="F392">INDEX(Исходные_данные_2__2[[Город отправки ]],MATCH('Исходные данные 2'!B392&amp;'Исходные данные 2'!C392,Исходные_данные_2__2[ФИО покупателя]&amp;Исходные_данные_2__2[Наименование товара],0))</f>
        <v>Волгоград</v>
      </c>
    </row>
    <row r="393" spans="1:6" x14ac:dyDescent="0.25">
      <c r="A393" s="2" t="s">
        <v>422</v>
      </c>
      <c r="B393" t="s">
        <v>246</v>
      </c>
      <c r="C393" t="s">
        <v>8</v>
      </c>
      <c r="D393">
        <v>0</v>
      </c>
      <c r="E393" s="1">
        <f t="array" ref="E393">INDEX(Исходные_данные_2__2[Дата продажи],MATCH('Исходные данные 2'!B393&amp;'Исходные данные 2'!C393,Исходные_данные_2__2[ФИО покупателя]&amp;Исходные_данные_2__2[Наименование товара],0))</f>
        <v>44979</v>
      </c>
      <c r="F393" t="str">
        <f t="array" ref="F393">INDEX(Исходные_данные_2__2[[Город отправки ]],MATCH('Исходные данные 2'!B393&amp;'Исходные данные 2'!C393,Исходные_данные_2__2[ФИО покупателя]&amp;Исходные_данные_2__2[Наименование товара],0))</f>
        <v>Сочи</v>
      </c>
    </row>
    <row r="394" spans="1:6" x14ac:dyDescent="0.25">
      <c r="A394" s="2" t="s">
        <v>422</v>
      </c>
      <c r="B394" t="s">
        <v>49</v>
      </c>
      <c r="C394" t="s">
        <v>17</v>
      </c>
      <c r="D394">
        <v>0</v>
      </c>
      <c r="E394" s="1">
        <f t="array" ref="E394">INDEX(Исходные_данные_2__2[Дата продажи],MATCH('Исходные данные 2'!B394&amp;'Исходные данные 2'!C394,Исходные_данные_2__2[ФИО покупателя]&amp;Исходные_данные_2__2[Наименование товара],0))</f>
        <v>44935</v>
      </c>
      <c r="F394" t="str">
        <f t="array" ref="F394">INDEX(Исходные_данные_2__2[[Город отправки ]],MATCH('Исходные данные 2'!B394&amp;'Исходные данные 2'!C394,Исходные_данные_2__2[ФИО покупателя]&amp;Исходные_данные_2__2[Наименование товара],0))</f>
        <v>Ростов-на-Дону</v>
      </c>
    </row>
    <row r="395" spans="1:6" x14ac:dyDescent="0.25">
      <c r="A395" s="2" t="s">
        <v>422</v>
      </c>
      <c r="B395" t="s">
        <v>144</v>
      </c>
      <c r="C395" t="s">
        <v>8</v>
      </c>
      <c r="D395">
        <v>0</v>
      </c>
      <c r="E395" s="1">
        <f t="array" ref="E395">INDEX(Исходные_данные_2__2[Дата продажи],MATCH('Исходные данные 2'!B395&amp;'Исходные данные 2'!C395,Исходные_данные_2__2[ФИО покупателя]&amp;Исходные_данные_2__2[Наименование товара],0))</f>
        <v>44956</v>
      </c>
      <c r="F395" t="str">
        <f t="array" ref="F395">INDEX(Исходные_данные_2__2[[Город отправки ]],MATCH('Исходные данные 2'!B395&amp;'Исходные данные 2'!C395,Исходные_данные_2__2[ФИО покупателя]&amp;Исходные_данные_2__2[Наименование товара],0))</f>
        <v>Ростов-на-Дону</v>
      </c>
    </row>
    <row r="396" spans="1:6" x14ac:dyDescent="0.25">
      <c r="A396" s="2" t="s">
        <v>422</v>
      </c>
      <c r="B396" t="s">
        <v>128</v>
      </c>
      <c r="C396" t="s">
        <v>5</v>
      </c>
      <c r="D396">
        <v>0</v>
      </c>
      <c r="E396" s="1">
        <f t="array" ref="E396">INDEX(Исходные_данные_2__2[Дата продажи],MATCH('Исходные данные 2'!B396&amp;'Исходные данные 2'!C396,Исходные_данные_2__2[ФИО покупателя]&amp;Исходные_данные_2__2[Наименование товара],0))</f>
        <v>44953</v>
      </c>
      <c r="F396" t="str">
        <f t="array" ref="F396">INDEX(Исходные_данные_2__2[[Город отправки ]],MATCH('Исходные данные 2'!B396&amp;'Исходные данные 2'!C396,Исходные_данные_2__2[ФИО покупателя]&amp;Исходные_данные_2__2[Наименование товара],0))</f>
        <v>Волгоград</v>
      </c>
    </row>
    <row r="397" spans="1:6" x14ac:dyDescent="0.25">
      <c r="A397" s="2" t="s">
        <v>422</v>
      </c>
      <c r="B397" t="s">
        <v>129</v>
      </c>
      <c r="C397" t="s">
        <v>5</v>
      </c>
      <c r="D397">
        <v>0</v>
      </c>
      <c r="E397" s="1">
        <f t="array" ref="E397">INDEX(Исходные_данные_2__2[Дата продажи],MATCH('Исходные данные 2'!B397&amp;'Исходные данные 2'!C397,Исходные_данные_2__2[ФИО покупателя]&amp;Исходные_данные_2__2[Наименование товара],0))</f>
        <v>44953</v>
      </c>
      <c r="F397" t="str">
        <f t="array" ref="F397">INDEX(Исходные_данные_2__2[[Город отправки ]],MATCH('Исходные данные 2'!B397&amp;'Исходные данные 2'!C397,Исходные_данные_2__2[ФИО покупателя]&amp;Исходные_данные_2__2[Наименование товара],0))</f>
        <v>Ростов-на-Дону</v>
      </c>
    </row>
    <row r="398" spans="1:6" x14ac:dyDescent="0.25">
      <c r="A398" s="2" t="s">
        <v>422</v>
      </c>
      <c r="B398" t="s">
        <v>336</v>
      </c>
      <c r="C398" t="s">
        <v>5</v>
      </c>
      <c r="D398">
        <v>0</v>
      </c>
      <c r="E398" s="1">
        <f t="array" ref="E398">INDEX(Исходные_данные_2__2[Дата продажи],MATCH('Исходные данные 2'!B398&amp;'Исходные данные 2'!C398,Исходные_данные_2__2[ФИО покупателя]&amp;Исходные_данные_2__2[Наименование товара],0))</f>
        <v>45000</v>
      </c>
      <c r="F398" t="str">
        <f t="array" ref="F398">INDEX(Исходные_данные_2__2[[Город отправки ]],MATCH('Исходные данные 2'!B398&amp;'Исходные данные 2'!C398,Исходные_данные_2__2[ФИО покупателя]&amp;Исходные_данные_2__2[Наименование товара],0))</f>
        <v>Ростов-на-Дону</v>
      </c>
    </row>
    <row r="399" spans="1:6" x14ac:dyDescent="0.25">
      <c r="A399" s="2" t="s">
        <v>422</v>
      </c>
      <c r="B399" t="s">
        <v>81</v>
      </c>
      <c r="C399" t="s">
        <v>5</v>
      </c>
      <c r="D399">
        <v>0</v>
      </c>
      <c r="E399" s="1">
        <f t="array" ref="E399">INDEX(Исходные_данные_2__2[Дата продажи],MATCH('Исходные данные 2'!B399&amp;'Исходные данные 2'!C399,Исходные_данные_2__2[ФИО покупателя]&amp;Исходные_данные_2__2[Наименование товара],0))</f>
        <v>44941</v>
      </c>
      <c r="F399" t="str">
        <f t="array" ref="F399">INDEX(Исходные_данные_2__2[[Город отправки ]],MATCH('Исходные данные 2'!B399&amp;'Исходные данные 2'!C399,Исходные_данные_2__2[ФИО покупателя]&amp;Исходные_данные_2__2[Наименование товара],0))</f>
        <v>Сочи</v>
      </c>
    </row>
    <row r="400" spans="1:6" x14ac:dyDescent="0.25">
      <c r="A400" s="2" t="s">
        <v>422</v>
      </c>
      <c r="B400" t="s">
        <v>28</v>
      </c>
      <c r="C400" t="s">
        <v>5</v>
      </c>
      <c r="D400">
        <v>0</v>
      </c>
      <c r="E400" s="1">
        <f t="array" ref="E400">INDEX(Исходные_данные_2__2[Дата продажи],MATCH('Исходные данные 2'!B400&amp;'Исходные данные 2'!C400,Исходные_данные_2__2[ФИО покупателя]&amp;Исходные_данные_2__2[Наименование товара],0))</f>
        <v>44930</v>
      </c>
      <c r="F400" t="str">
        <f t="array" ref="F400">INDEX(Исходные_данные_2__2[[Город отправки ]],MATCH('Исходные данные 2'!B400&amp;'Исходные данные 2'!C400,Исходные_данные_2__2[ФИО покупателя]&amp;Исходные_данные_2__2[Наименование товара],0))</f>
        <v>Ростов-на-Дону</v>
      </c>
    </row>
    <row r="401" spans="1:6" x14ac:dyDescent="0.25">
      <c r="A401" s="2" t="s">
        <v>422</v>
      </c>
      <c r="B401" t="s">
        <v>151</v>
      </c>
      <c r="C401" t="s">
        <v>15</v>
      </c>
      <c r="D401">
        <v>0</v>
      </c>
      <c r="E401" s="1">
        <f t="array" ref="E401">INDEX(Исходные_данные_2__2[Дата продажи],MATCH('Исходные данные 2'!B401&amp;'Исходные данные 2'!C401,Исходные_данные_2__2[ФИО покупателя]&amp;Исходные_данные_2__2[Наименование товара],0))</f>
        <v>44957</v>
      </c>
      <c r="F401" t="str">
        <f t="array" ref="F401">INDEX(Исходные_данные_2__2[[Город отправки ]],MATCH('Исходные данные 2'!B401&amp;'Исходные данные 2'!C401,Исходные_данные_2__2[ФИО покупателя]&amp;Исходные_данные_2__2[Наименование товара],0))</f>
        <v>Волгоград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M172"/>
  <sheetViews>
    <sheetView topLeftCell="R1" zoomScale="60" zoomScaleNormal="60" workbookViewId="0">
      <selection activeCell="H65" sqref="H65"/>
    </sheetView>
  </sheetViews>
  <sheetFormatPr defaultRowHeight="15" x14ac:dyDescent="0.25"/>
  <cols>
    <col min="1" max="1" width="16.5703125" style="24" bestFit="1" customWidth="1"/>
    <col min="2" max="2" width="27.28515625" customWidth="1"/>
    <col min="3" max="3" width="29.85546875" bestFit="1" customWidth="1"/>
    <col min="4" max="4" width="26.5703125" customWidth="1"/>
    <col min="5" max="5" width="41.85546875" bestFit="1" customWidth="1"/>
    <col min="6" max="6" width="38.28515625" bestFit="1" customWidth="1"/>
    <col min="7" max="7" width="51.5703125" bestFit="1" customWidth="1"/>
    <col min="8" max="8" width="34.140625" bestFit="1" customWidth="1"/>
    <col min="9" max="9" width="51.5703125" bestFit="1" customWidth="1"/>
    <col min="10" max="10" width="25.5703125" bestFit="1" customWidth="1"/>
    <col min="11" max="11" width="24.85546875" customWidth="1"/>
    <col min="12" max="12" width="18.85546875" bestFit="1" customWidth="1"/>
    <col min="13" max="13" width="32.7109375" customWidth="1"/>
    <col min="14" max="14" width="10.28515625" customWidth="1"/>
    <col min="15" max="15" width="38.42578125" customWidth="1"/>
    <col min="16" max="16" width="45.7109375" customWidth="1"/>
    <col min="17" max="17" width="39.85546875" customWidth="1"/>
    <col min="18" max="18" width="27.7109375" customWidth="1"/>
    <col min="19" max="19" width="37.140625" customWidth="1"/>
    <col min="20" max="20" width="25" customWidth="1"/>
    <col min="21" max="21" width="12.140625" bestFit="1" customWidth="1"/>
    <col min="22" max="22" width="12.42578125" bestFit="1" customWidth="1"/>
    <col min="23" max="23" width="25.85546875" customWidth="1"/>
    <col min="24" max="24" width="32.7109375" bestFit="1" customWidth="1"/>
    <col min="25" max="25" width="10.28515625" bestFit="1" customWidth="1"/>
    <col min="26" max="26" width="39.85546875" bestFit="1" customWidth="1"/>
    <col min="27" max="27" width="27.7109375" bestFit="1" customWidth="1"/>
    <col min="28" max="28" width="37.140625" bestFit="1" customWidth="1"/>
    <col min="29" max="30" width="25" bestFit="1" customWidth="1"/>
    <col min="31" max="31" width="25" customWidth="1"/>
    <col min="32" max="32" width="47" bestFit="1" customWidth="1"/>
    <col min="33" max="33" width="25.85546875" bestFit="1" customWidth="1"/>
    <col min="34" max="34" width="32.7109375" bestFit="1" customWidth="1"/>
    <col min="35" max="35" width="10.28515625" bestFit="1" customWidth="1"/>
    <col min="36" max="36" width="39.85546875" bestFit="1" customWidth="1"/>
    <col min="37" max="37" width="27.7109375" bestFit="1" customWidth="1"/>
    <col min="38" max="38" width="37.140625" bestFit="1" customWidth="1"/>
    <col min="39" max="41" width="25" bestFit="1" customWidth="1"/>
    <col min="42" max="89" width="10.140625" bestFit="1" customWidth="1"/>
    <col min="90" max="90" width="11.85546875" bestFit="1" customWidth="1"/>
    <col min="91" max="400" width="20.85546875" bestFit="1" customWidth="1"/>
    <col min="401" max="401" width="11.85546875" bestFit="1" customWidth="1"/>
  </cols>
  <sheetData>
    <row r="1" spans="1:39" x14ac:dyDescent="0.25">
      <c r="A1" s="25" t="s">
        <v>423</v>
      </c>
      <c r="B1" t="s" vm="3">
        <v>551</v>
      </c>
      <c r="W1" s="22" t="s">
        <v>414</v>
      </c>
      <c r="X1" t="s">
        <v>418</v>
      </c>
      <c r="AG1" s="22" t="s">
        <v>414</v>
      </c>
      <c r="AH1" t="s">
        <v>420</v>
      </c>
    </row>
    <row r="3" spans="1:39" x14ac:dyDescent="0.25">
      <c r="A3" s="25" t="s">
        <v>424</v>
      </c>
      <c r="B3" s="22" t="s">
        <v>425</v>
      </c>
      <c r="C3" s="22" t="s">
        <v>414</v>
      </c>
      <c r="D3" s="22" t="s">
        <v>2</v>
      </c>
      <c r="E3" t="s">
        <v>426</v>
      </c>
      <c r="F3" t="s">
        <v>427</v>
      </c>
      <c r="G3" t="s">
        <v>428</v>
      </c>
      <c r="H3" t="s">
        <v>429</v>
      </c>
      <c r="I3" t="s">
        <v>430</v>
      </c>
      <c r="J3" t="s">
        <v>431</v>
      </c>
      <c r="L3" s="22" t="s">
        <v>432</v>
      </c>
      <c r="M3" t="s">
        <v>433</v>
      </c>
      <c r="N3" t="s">
        <v>434</v>
      </c>
      <c r="O3" t="s">
        <v>435</v>
      </c>
      <c r="P3" t="s">
        <v>436</v>
      </c>
      <c r="Q3" t="s">
        <v>437</v>
      </c>
      <c r="R3" t="s">
        <v>438</v>
      </c>
      <c r="S3" t="s">
        <v>439</v>
      </c>
      <c r="T3" t="s">
        <v>440</v>
      </c>
      <c r="W3" s="22" t="s">
        <v>432</v>
      </c>
      <c r="X3" t="s">
        <v>433</v>
      </c>
      <c r="Y3" t="s">
        <v>434</v>
      </c>
      <c r="Z3" t="s">
        <v>437</v>
      </c>
      <c r="AA3" t="s">
        <v>438</v>
      </c>
      <c r="AB3" t="s">
        <v>439</v>
      </c>
      <c r="AC3" t="s">
        <v>440</v>
      </c>
      <c r="AG3" s="22" t="s">
        <v>432</v>
      </c>
      <c r="AH3" t="s">
        <v>433</v>
      </c>
      <c r="AI3" t="s">
        <v>434</v>
      </c>
      <c r="AJ3" t="s">
        <v>437</v>
      </c>
      <c r="AK3" t="s">
        <v>438</v>
      </c>
      <c r="AL3" t="s">
        <v>439</v>
      </c>
      <c r="AM3" t="s">
        <v>440</v>
      </c>
    </row>
    <row r="4" spans="1:39" x14ac:dyDescent="0.25">
      <c r="A4" s="24">
        <v>1</v>
      </c>
      <c r="B4" t="s">
        <v>441</v>
      </c>
      <c r="C4" t="s">
        <v>418</v>
      </c>
      <c r="D4" t="s">
        <v>5</v>
      </c>
      <c r="E4" s="66">
        <v>163.13</v>
      </c>
      <c r="F4" s="66">
        <v>507.46</v>
      </c>
      <c r="G4" s="66">
        <v>762</v>
      </c>
      <c r="H4" s="66">
        <v>0</v>
      </c>
      <c r="I4" s="66">
        <v>762</v>
      </c>
      <c r="J4" s="66">
        <v>114.3</v>
      </c>
      <c r="L4" s="23" t="s">
        <v>442</v>
      </c>
      <c r="M4">
        <v>50</v>
      </c>
      <c r="N4">
        <v>36066</v>
      </c>
      <c r="O4">
        <v>6957.17</v>
      </c>
      <c r="P4">
        <v>29108.83</v>
      </c>
      <c r="Q4">
        <v>24173.67</v>
      </c>
      <c r="R4">
        <v>5409.9</v>
      </c>
      <c r="S4">
        <v>1633.7897999999998</v>
      </c>
      <c r="T4">
        <v>4848.6402000000007</v>
      </c>
      <c r="W4" s="23" t="s">
        <v>442</v>
      </c>
      <c r="X4">
        <v>27</v>
      </c>
      <c r="Y4">
        <v>19594</v>
      </c>
      <c r="Z4">
        <v>13103.039999999999</v>
      </c>
      <c r="AA4">
        <v>2939.1000000000004</v>
      </c>
      <c r="AB4">
        <v>887.60820000000012</v>
      </c>
      <c r="AC4">
        <v>2664.2518000000023</v>
      </c>
      <c r="AG4" s="23" t="s">
        <v>442</v>
      </c>
      <c r="AH4">
        <v>23</v>
      </c>
      <c r="AI4">
        <v>16472</v>
      </c>
      <c r="AJ4">
        <v>11070.629999999997</v>
      </c>
      <c r="AK4">
        <v>2470.8000000000002</v>
      </c>
      <c r="AL4">
        <v>746.1816</v>
      </c>
      <c r="AM4">
        <v>2184.3884000000035</v>
      </c>
    </row>
    <row r="5" spans="1:39" x14ac:dyDescent="0.25">
      <c r="A5" s="24">
        <v>2</v>
      </c>
      <c r="B5" t="s">
        <v>442</v>
      </c>
      <c r="C5" t="s">
        <v>418</v>
      </c>
      <c r="D5" t="s">
        <v>5</v>
      </c>
      <c r="E5" s="66">
        <v>163.13</v>
      </c>
      <c r="F5" s="66">
        <v>507.46</v>
      </c>
      <c r="G5" s="66">
        <v>762</v>
      </c>
      <c r="H5" s="66">
        <v>0</v>
      </c>
      <c r="I5" s="66">
        <v>762</v>
      </c>
      <c r="J5" s="66">
        <v>114.3</v>
      </c>
      <c r="L5" s="26" t="s">
        <v>5</v>
      </c>
      <c r="M5">
        <v>8</v>
      </c>
      <c r="N5">
        <v>6096</v>
      </c>
      <c r="O5">
        <v>1305.04</v>
      </c>
      <c r="P5">
        <v>4790.96</v>
      </c>
      <c r="Q5">
        <v>4059.68</v>
      </c>
      <c r="R5">
        <v>914.39999999999986</v>
      </c>
      <c r="S5">
        <v>276.14879999999994</v>
      </c>
      <c r="T5">
        <v>845.77120000000059</v>
      </c>
      <c r="W5" s="26" t="s">
        <v>5</v>
      </c>
      <c r="X5">
        <v>3</v>
      </c>
      <c r="Y5">
        <v>2286</v>
      </c>
      <c r="Z5">
        <v>1522.3799999999999</v>
      </c>
      <c r="AA5">
        <v>342.9</v>
      </c>
      <c r="AB5">
        <v>103.55579999999999</v>
      </c>
      <c r="AC5">
        <v>317.16420000000005</v>
      </c>
      <c r="AG5" s="26" t="s">
        <v>5</v>
      </c>
      <c r="AH5">
        <v>5</v>
      </c>
      <c r="AI5">
        <v>3810</v>
      </c>
      <c r="AJ5">
        <v>2537.2999999999997</v>
      </c>
      <c r="AK5">
        <v>571.5</v>
      </c>
      <c r="AL5">
        <v>172.59299999999999</v>
      </c>
      <c r="AM5">
        <v>528.60700000000031</v>
      </c>
    </row>
    <row r="6" spans="1:39" x14ac:dyDescent="0.25">
      <c r="A6" s="24">
        <v>3</v>
      </c>
      <c r="B6" t="s">
        <v>443</v>
      </c>
      <c r="C6" t="s">
        <v>418</v>
      </c>
      <c r="D6" t="s">
        <v>5</v>
      </c>
      <c r="E6" s="66">
        <v>163.13</v>
      </c>
      <c r="F6" s="66">
        <v>507.46</v>
      </c>
      <c r="G6" s="66">
        <v>762</v>
      </c>
      <c r="H6" s="66">
        <v>0</v>
      </c>
      <c r="I6" s="66">
        <v>762</v>
      </c>
      <c r="J6" s="66">
        <v>114.3</v>
      </c>
      <c r="L6" s="26" t="s">
        <v>8</v>
      </c>
      <c r="M6">
        <v>19</v>
      </c>
      <c r="N6">
        <v>11743</v>
      </c>
      <c r="O6">
        <v>1846.8000000000006</v>
      </c>
      <c r="P6">
        <v>9896.1999999999989</v>
      </c>
      <c r="Q6">
        <v>8389.0699999999961</v>
      </c>
      <c r="R6">
        <v>1761.4499999999996</v>
      </c>
      <c r="S6">
        <v>531.95789999999988</v>
      </c>
      <c r="T6">
        <v>1060.5221000000051</v>
      </c>
      <c r="W6" s="26" t="s">
        <v>8</v>
      </c>
      <c r="X6">
        <v>10</v>
      </c>
      <c r="Y6">
        <v>6190</v>
      </c>
      <c r="Z6">
        <v>4415.2999999999984</v>
      </c>
      <c r="AA6">
        <v>928.50000000000011</v>
      </c>
      <c r="AB6">
        <v>280.40700000000004</v>
      </c>
      <c r="AC6">
        <v>565.7930000000016</v>
      </c>
      <c r="AG6" s="26" t="s">
        <v>8</v>
      </c>
      <c r="AH6">
        <v>9</v>
      </c>
      <c r="AI6">
        <v>5553</v>
      </c>
      <c r="AJ6">
        <v>3973.7699999999986</v>
      </c>
      <c r="AK6">
        <v>832.95000000000016</v>
      </c>
      <c r="AL6">
        <v>251.55090000000004</v>
      </c>
      <c r="AM6">
        <v>494.72910000000149</v>
      </c>
    </row>
    <row r="7" spans="1:39" x14ac:dyDescent="0.25">
      <c r="A7" s="24">
        <v>4</v>
      </c>
      <c r="B7" t="s">
        <v>443</v>
      </c>
      <c r="C7" t="s">
        <v>418</v>
      </c>
      <c r="D7" t="s">
        <v>5</v>
      </c>
      <c r="E7" s="66">
        <v>163.13</v>
      </c>
      <c r="F7" s="66">
        <v>507.46</v>
      </c>
      <c r="G7" s="66">
        <v>762</v>
      </c>
      <c r="H7" s="66">
        <v>0</v>
      </c>
      <c r="I7" s="66">
        <v>762</v>
      </c>
      <c r="J7" s="66">
        <v>114.3</v>
      </c>
      <c r="L7" s="26" t="s">
        <v>22</v>
      </c>
      <c r="M7">
        <v>2</v>
      </c>
      <c r="N7">
        <v>1392</v>
      </c>
      <c r="O7">
        <v>238.86</v>
      </c>
      <c r="P7">
        <v>1153.1399999999999</v>
      </c>
      <c r="Q7">
        <v>927.52</v>
      </c>
      <c r="R7">
        <v>208.79999999999998</v>
      </c>
      <c r="S7">
        <v>63.057599999999994</v>
      </c>
      <c r="T7">
        <v>192.62240000000008</v>
      </c>
      <c r="W7" s="26" t="s">
        <v>22</v>
      </c>
      <c r="X7">
        <v>2</v>
      </c>
      <c r="Y7">
        <v>1392</v>
      </c>
      <c r="Z7">
        <v>927.52</v>
      </c>
      <c r="AA7">
        <v>208.79999999999998</v>
      </c>
      <c r="AB7">
        <v>63.057599999999994</v>
      </c>
      <c r="AC7">
        <v>192.62240000000008</v>
      </c>
      <c r="AG7" s="26" t="s">
        <v>37</v>
      </c>
      <c r="AH7">
        <v>4</v>
      </c>
      <c r="AI7">
        <v>2724</v>
      </c>
      <c r="AJ7">
        <v>1814.28</v>
      </c>
      <c r="AK7">
        <v>408.59999999999997</v>
      </c>
      <c r="AL7">
        <v>123.39719999999998</v>
      </c>
      <c r="AM7">
        <v>377.72280000000012</v>
      </c>
    </row>
    <row r="8" spans="1:39" x14ac:dyDescent="0.25">
      <c r="A8" s="24">
        <v>5</v>
      </c>
      <c r="B8" t="s">
        <v>443</v>
      </c>
      <c r="C8" t="s">
        <v>418</v>
      </c>
      <c r="D8" t="s">
        <v>5</v>
      </c>
      <c r="E8" s="66">
        <v>163.13</v>
      </c>
      <c r="F8" s="66">
        <v>507.46</v>
      </c>
      <c r="G8" s="66">
        <v>762</v>
      </c>
      <c r="H8" s="66">
        <v>0</v>
      </c>
      <c r="I8" s="66">
        <v>762</v>
      </c>
      <c r="J8" s="66">
        <v>114.3</v>
      </c>
      <c r="L8" s="26" t="s">
        <v>37</v>
      </c>
      <c r="M8">
        <v>5</v>
      </c>
      <c r="N8">
        <v>3405</v>
      </c>
      <c r="O8">
        <v>546.20000000000005</v>
      </c>
      <c r="P8">
        <v>2858.8</v>
      </c>
      <c r="Q8">
        <v>2267.85</v>
      </c>
      <c r="R8">
        <v>510.74999999999994</v>
      </c>
      <c r="S8">
        <v>154.24649999999997</v>
      </c>
      <c r="T8">
        <v>472.15350000000012</v>
      </c>
      <c r="W8" s="26" t="s">
        <v>37</v>
      </c>
      <c r="X8">
        <v>1</v>
      </c>
      <c r="Y8">
        <v>681</v>
      </c>
      <c r="Z8">
        <v>453.57</v>
      </c>
      <c r="AA8">
        <v>102.14999999999999</v>
      </c>
      <c r="AB8">
        <v>30.849299999999996</v>
      </c>
      <c r="AC8">
        <v>94.43070000000003</v>
      </c>
      <c r="AG8" s="26" t="s">
        <v>17</v>
      </c>
      <c r="AH8">
        <v>3</v>
      </c>
      <c r="AI8">
        <v>2145</v>
      </c>
      <c r="AJ8">
        <v>1428.3</v>
      </c>
      <c r="AK8">
        <v>321.75</v>
      </c>
      <c r="AL8">
        <v>97.168499999999995</v>
      </c>
      <c r="AM8">
        <v>297.78150000000005</v>
      </c>
    </row>
    <row r="9" spans="1:39" x14ac:dyDescent="0.25">
      <c r="A9" s="24">
        <v>6</v>
      </c>
      <c r="B9" t="s">
        <v>443</v>
      </c>
      <c r="C9" t="s">
        <v>418</v>
      </c>
      <c r="D9" t="s">
        <v>5</v>
      </c>
      <c r="E9" s="66">
        <v>163.13</v>
      </c>
      <c r="F9" s="66">
        <v>507.46</v>
      </c>
      <c r="G9" s="66">
        <v>762</v>
      </c>
      <c r="H9" s="66">
        <v>0</v>
      </c>
      <c r="I9" s="66">
        <v>762</v>
      </c>
      <c r="J9" s="66">
        <v>114.3</v>
      </c>
      <c r="L9" s="26" t="s">
        <v>17</v>
      </c>
      <c r="M9">
        <v>11</v>
      </c>
      <c r="N9">
        <v>7830</v>
      </c>
      <c r="O9">
        <v>1449.4699999999998</v>
      </c>
      <c r="P9">
        <v>6380.5300000000007</v>
      </c>
      <c r="Q9">
        <v>5237.1000000000004</v>
      </c>
      <c r="R9">
        <v>1174.5</v>
      </c>
      <c r="S9">
        <v>354.69900000000001</v>
      </c>
      <c r="T9">
        <v>1063.7009999999996</v>
      </c>
      <c r="W9" s="26" t="s">
        <v>17</v>
      </c>
      <c r="X9">
        <v>8</v>
      </c>
      <c r="Y9">
        <v>5685</v>
      </c>
      <c r="Z9">
        <v>3808.7999999999997</v>
      </c>
      <c r="AA9">
        <v>852.75</v>
      </c>
      <c r="AB9">
        <v>257.53050000000002</v>
      </c>
      <c r="AC9">
        <v>765.9195000000002</v>
      </c>
      <c r="AG9" s="26" t="s">
        <v>15</v>
      </c>
      <c r="AH9">
        <v>2</v>
      </c>
      <c r="AI9">
        <v>2240</v>
      </c>
      <c r="AJ9">
        <v>1316.98</v>
      </c>
      <c r="AK9">
        <v>336</v>
      </c>
      <c r="AL9">
        <v>101.47199999999999</v>
      </c>
      <c r="AM9">
        <v>485.548</v>
      </c>
    </row>
    <row r="10" spans="1:39" x14ac:dyDescent="0.25">
      <c r="A10" s="24">
        <v>7</v>
      </c>
      <c r="B10" t="s">
        <v>443</v>
      </c>
      <c r="C10" t="s">
        <v>418</v>
      </c>
      <c r="D10" t="s">
        <v>5</v>
      </c>
      <c r="E10" s="66">
        <v>163.13</v>
      </c>
      <c r="F10" s="66">
        <v>507.46</v>
      </c>
      <c r="G10" s="66">
        <v>762</v>
      </c>
      <c r="H10" s="66">
        <v>0</v>
      </c>
      <c r="I10" s="66">
        <v>762</v>
      </c>
      <c r="J10" s="66">
        <v>114.3</v>
      </c>
      <c r="L10" s="26" t="s">
        <v>15</v>
      </c>
      <c r="M10">
        <v>5</v>
      </c>
      <c r="N10">
        <v>5600</v>
      </c>
      <c r="O10">
        <v>1570.7999999999997</v>
      </c>
      <c r="P10">
        <v>4029.2000000000003</v>
      </c>
      <c r="Q10">
        <v>3292.45</v>
      </c>
      <c r="R10">
        <v>840</v>
      </c>
      <c r="S10">
        <v>253.67999999999998</v>
      </c>
      <c r="T10">
        <v>1213.8700000000001</v>
      </c>
      <c r="W10" s="26" t="s">
        <v>15</v>
      </c>
      <c r="X10">
        <v>3</v>
      </c>
      <c r="Y10">
        <v>3360</v>
      </c>
      <c r="Z10">
        <v>1975.47</v>
      </c>
      <c r="AA10">
        <v>504</v>
      </c>
      <c r="AB10">
        <v>152.208</v>
      </c>
      <c r="AC10">
        <v>728.322</v>
      </c>
      <c r="AG10" s="23" t="s">
        <v>441</v>
      </c>
      <c r="AH10">
        <v>30</v>
      </c>
      <c r="AI10">
        <v>22019</v>
      </c>
      <c r="AJ10">
        <v>14601.689999999999</v>
      </c>
      <c r="AK10">
        <v>3302.8500000000008</v>
      </c>
      <c r="AL10">
        <v>997.4607000000002</v>
      </c>
      <c r="AM10">
        <v>3116.999299999999</v>
      </c>
    </row>
    <row r="11" spans="1:39" x14ac:dyDescent="0.25">
      <c r="A11" s="24">
        <v>8</v>
      </c>
      <c r="B11" t="s">
        <v>442</v>
      </c>
      <c r="C11" t="s">
        <v>418</v>
      </c>
      <c r="D11" t="s">
        <v>5</v>
      </c>
      <c r="E11" s="66">
        <v>163.13</v>
      </c>
      <c r="F11" s="66">
        <v>507.46</v>
      </c>
      <c r="G11" s="66">
        <v>762</v>
      </c>
      <c r="H11" s="66">
        <v>0</v>
      </c>
      <c r="I11" s="66">
        <v>762</v>
      </c>
      <c r="J11" s="66">
        <v>114.3</v>
      </c>
      <c r="L11" s="23" t="s">
        <v>441</v>
      </c>
      <c r="M11">
        <v>46</v>
      </c>
      <c r="N11">
        <v>33530</v>
      </c>
      <c r="O11">
        <v>6429.24</v>
      </c>
      <c r="P11">
        <v>27100.760000000002</v>
      </c>
      <c r="Q11">
        <v>22268.419999999995</v>
      </c>
      <c r="R11">
        <v>5029.5000000000009</v>
      </c>
      <c r="S11">
        <v>1518.9090000000003</v>
      </c>
      <c r="T11">
        <v>4713.1710000000048</v>
      </c>
      <c r="W11" s="23" t="s">
        <v>441</v>
      </c>
      <c r="X11">
        <v>16</v>
      </c>
      <c r="Y11">
        <v>11511</v>
      </c>
      <c r="Z11">
        <v>7666.7300000000014</v>
      </c>
      <c r="AA11">
        <v>1726.6499999999999</v>
      </c>
      <c r="AB11">
        <v>521.4482999999999</v>
      </c>
      <c r="AC11">
        <v>1596.171699999999</v>
      </c>
      <c r="AG11" s="26" t="s">
        <v>5</v>
      </c>
      <c r="AH11">
        <v>6</v>
      </c>
      <c r="AI11">
        <v>4572</v>
      </c>
      <c r="AJ11">
        <v>3044.7599999999998</v>
      </c>
      <c r="AK11">
        <v>685.8</v>
      </c>
      <c r="AL11">
        <v>207.11159999999998</v>
      </c>
      <c r="AM11">
        <v>634.3284000000001</v>
      </c>
    </row>
    <row r="12" spans="1:39" x14ac:dyDescent="0.25">
      <c r="A12" s="24">
        <v>9</v>
      </c>
      <c r="B12" t="s">
        <v>441</v>
      </c>
      <c r="C12" t="s">
        <v>418</v>
      </c>
      <c r="D12" t="s">
        <v>5</v>
      </c>
      <c r="E12" s="66">
        <v>163.13</v>
      </c>
      <c r="F12" s="66">
        <v>507.46</v>
      </c>
      <c r="G12" s="66">
        <v>762</v>
      </c>
      <c r="H12" s="66">
        <v>0</v>
      </c>
      <c r="I12" s="66">
        <v>762</v>
      </c>
      <c r="J12" s="66">
        <v>114.3</v>
      </c>
      <c r="L12" s="26" t="s">
        <v>5</v>
      </c>
      <c r="M12">
        <v>8</v>
      </c>
      <c r="N12">
        <v>6096</v>
      </c>
      <c r="O12">
        <v>1305.04</v>
      </c>
      <c r="P12">
        <v>4790.96</v>
      </c>
      <c r="Q12">
        <v>4059.68</v>
      </c>
      <c r="R12">
        <v>914.39999999999986</v>
      </c>
      <c r="S12">
        <v>276.14879999999994</v>
      </c>
      <c r="T12">
        <v>845.77120000000059</v>
      </c>
      <c r="W12" s="26" t="s">
        <v>5</v>
      </c>
      <c r="X12">
        <v>2</v>
      </c>
      <c r="Y12">
        <v>1524</v>
      </c>
      <c r="Z12">
        <v>1014.92</v>
      </c>
      <c r="AA12">
        <v>228.6</v>
      </c>
      <c r="AB12">
        <v>69.037199999999999</v>
      </c>
      <c r="AC12">
        <v>211.44280000000015</v>
      </c>
      <c r="AG12" s="26" t="s">
        <v>8</v>
      </c>
      <c r="AH12">
        <v>6</v>
      </c>
      <c r="AI12">
        <v>3714</v>
      </c>
      <c r="AJ12">
        <v>2649.1799999999994</v>
      </c>
      <c r="AK12">
        <v>557.1</v>
      </c>
      <c r="AL12">
        <v>168.24420000000001</v>
      </c>
      <c r="AM12">
        <v>339.47580000000073</v>
      </c>
    </row>
    <row r="13" spans="1:39" x14ac:dyDescent="0.25">
      <c r="A13" s="24">
        <v>10</v>
      </c>
      <c r="B13" t="s">
        <v>443</v>
      </c>
      <c r="C13" t="s">
        <v>418</v>
      </c>
      <c r="D13" t="s">
        <v>5</v>
      </c>
      <c r="E13" s="66">
        <v>163.13</v>
      </c>
      <c r="F13" s="66">
        <v>507.46</v>
      </c>
      <c r="G13" s="66">
        <v>762</v>
      </c>
      <c r="H13" s="66">
        <v>0</v>
      </c>
      <c r="I13" s="66">
        <v>762</v>
      </c>
      <c r="J13" s="66">
        <v>114.3</v>
      </c>
      <c r="L13" s="26" t="s">
        <v>8</v>
      </c>
      <c r="M13">
        <v>9</v>
      </c>
      <c r="N13">
        <v>5571</v>
      </c>
      <c r="O13">
        <v>874.80000000000018</v>
      </c>
      <c r="P13">
        <v>4696.2</v>
      </c>
      <c r="Q13">
        <v>3973.7699999999986</v>
      </c>
      <c r="R13">
        <v>835.65000000000009</v>
      </c>
      <c r="S13">
        <v>252.36630000000002</v>
      </c>
      <c r="T13">
        <v>509.21370000000172</v>
      </c>
      <c r="W13" s="26" t="s">
        <v>8</v>
      </c>
      <c r="X13">
        <v>3</v>
      </c>
      <c r="Y13">
        <v>1857</v>
      </c>
      <c r="Z13">
        <v>1324.59</v>
      </c>
      <c r="AA13">
        <v>278.54999999999995</v>
      </c>
      <c r="AB13">
        <v>84.122099999999989</v>
      </c>
      <c r="AC13">
        <v>169.73790000000014</v>
      </c>
      <c r="AG13" s="26" t="s">
        <v>22</v>
      </c>
      <c r="AH13">
        <v>6</v>
      </c>
      <c r="AI13">
        <v>4176</v>
      </c>
      <c r="AJ13">
        <v>2782.5600000000004</v>
      </c>
      <c r="AK13">
        <v>626.4</v>
      </c>
      <c r="AL13">
        <v>189.1728</v>
      </c>
      <c r="AM13">
        <v>577.86719999999946</v>
      </c>
    </row>
    <row r="14" spans="1:39" x14ac:dyDescent="0.25">
      <c r="A14" s="24">
        <v>11</v>
      </c>
      <c r="B14" t="s">
        <v>442</v>
      </c>
      <c r="C14" t="s">
        <v>418</v>
      </c>
      <c r="D14" t="s">
        <v>5</v>
      </c>
      <c r="E14" s="66">
        <v>163.13</v>
      </c>
      <c r="F14" s="66">
        <v>507.46</v>
      </c>
      <c r="G14" s="66">
        <v>762</v>
      </c>
      <c r="H14" s="66">
        <v>0</v>
      </c>
      <c r="I14" s="66">
        <v>762</v>
      </c>
      <c r="J14" s="66">
        <v>114.3</v>
      </c>
      <c r="L14" s="26" t="s">
        <v>22</v>
      </c>
      <c r="M14">
        <v>8</v>
      </c>
      <c r="N14">
        <v>5568</v>
      </c>
      <c r="O14">
        <v>955.44000000000028</v>
      </c>
      <c r="P14">
        <v>4612.5599999999995</v>
      </c>
      <c r="Q14">
        <v>3710.0800000000008</v>
      </c>
      <c r="R14">
        <v>835.19999999999993</v>
      </c>
      <c r="S14">
        <v>252.23039999999997</v>
      </c>
      <c r="T14">
        <v>770.48959999999943</v>
      </c>
      <c r="W14" s="26" t="s">
        <v>22</v>
      </c>
      <c r="X14">
        <v>2</v>
      </c>
      <c r="Y14">
        <v>1392</v>
      </c>
      <c r="Z14">
        <v>927.52</v>
      </c>
      <c r="AA14">
        <v>208.79999999999998</v>
      </c>
      <c r="AB14">
        <v>63.057599999999994</v>
      </c>
      <c r="AC14">
        <v>192.62240000000008</v>
      </c>
      <c r="AG14" s="26" t="s">
        <v>37</v>
      </c>
      <c r="AH14">
        <v>6</v>
      </c>
      <c r="AI14">
        <v>4052</v>
      </c>
      <c r="AJ14">
        <v>2721.42</v>
      </c>
      <c r="AK14">
        <v>607.79999999999995</v>
      </c>
      <c r="AL14">
        <v>183.55559999999997</v>
      </c>
      <c r="AM14">
        <v>539.22439999999983</v>
      </c>
    </row>
    <row r="15" spans="1:39" x14ac:dyDescent="0.25">
      <c r="A15" s="24">
        <v>12</v>
      </c>
      <c r="B15" t="s">
        <v>441</v>
      </c>
      <c r="C15" t="s">
        <v>418</v>
      </c>
      <c r="D15" t="s">
        <v>8</v>
      </c>
      <c r="E15" s="66">
        <v>97.2</v>
      </c>
      <c r="F15" s="66">
        <v>441.53</v>
      </c>
      <c r="G15" s="66">
        <v>619</v>
      </c>
      <c r="H15" s="66">
        <v>0</v>
      </c>
      <c r="I15" s="66">
        <v>619</v>
      </c>
      <c r="J15" s="66">
        <v>92.85</v>
      </c>
      <c r="L15" s="26" t="s">
        <v>37</v>
      </c>
      <c r="M15">
        <v>9</v>
      </c>
      <c r="N15">
        <v>6095</v>
      </c>
      <c r="O15">
        <v>983.16000000000008</v>
      </c>
      <c r="P15">
        <v>5111.84</v>
      </c>
      <c r="Q15">
        <v>4082.1300000000006</v>
      </c>
      <c r="R15">
        <v>914.24999999999989</v>
      </c>
      <c r="S15">
        <v>276.10349999999994</v>
      </c>
      <c r="T15">
        <v>822.5164999999995</v>
      </c>
      <c r="W15" s="26" t="s">
        <v>37</v>
      </c>
      <c r="X15">
        <v>3</v>
      </c>
      <c r="Y15">
        <v>2043</v>
      </c>
      <c r="Z15">
        <v>1360.71</v>
      </c>
      <c r="AA15">
        <v>306.45</v>
      </c>
      <c r="AB15">
        <v>92.547899999999998</v>
      </c>
      <c r="AC15">
        <v>283.29209999999989</v>
      </c>
      <c r="AG15" s="26" t="s">
        <v>17</v>
      </c>
      <c r="AH15">
        <v>3</v>
      </c>
      <c r="AI15">
        <v>2145</v>
      </c>
      <c r="AJ15">
        <v>1428.3</v>
      </c>
      <c r="AK15">
        <v>321.75</v>
      </c>
      <c r="AL15">
        <v>97.168499999999995</v>
      </c>
      <c r="AM15">
        <v>297.78150000000005</v>
      </c>
    </row>
    <row r="16" spans="1:39" x14ac:dyDescent="0.25">
      <c r="A16" s="24">
        <v>13</v>
      </c>
      <c r="B16" t="s">
        <v>443</v>
      </c>
      <c r="C16" t="s">
        <v>418</v>
      </c>
      <c r="D16" t="s">
        <v>8</v>
      </c>
      <c r="E16" s="66">
        <v>97.2</v>
      </c>
      <c r="F16" s="66">
        <v>441.53</v>
      </c>
      <c r="G16" s="66">
        <v>619</v>
      </c>
      <c r="H16" s="66">
        <v>0</v>
      </c>
      <c r="I16" s="66">
        <v>619</v>
      </c>
      <c r="J16" s="66">
        <v>92.85</v>
      </c>
      <c r="L16" s="26" t="s">
        <v>17</v>
      </c>
      <c r="M16">
        <v>8</v>
      </c>
      <c r="N16">
        <v>5720</v>
      </c>
      <c r="O16">
        <v>1054.1599999999999</v>
      </c>
      <c r="P16">
        <v>4665.84</v>
      </c>
      <c r="Q16">
        <v>3808.7999999999997</v>
      </c>
      <c r="R16">
        <v>858</v>
      </c>
      <c r="S16">
        <v>259.11599999999999</v>
      </c>
      <c r="T16">
        <v>794.08400000000029</v>
      </c>
      <c r="W16" s="26" t="s">
        <v>17</v>
      </c>
      <c r="X16">
        <v>5</v>
      </c>
      <c r="Y16">
        <v>3575</v>
      </c>
      <c r="Z16">
        <v>2380.5</v>
      </c>
      <c r="AA16">
        <v>536.25</v>
      </c>
      <c r="AB16">
        <v>161.94749999999999</v>
      </c>
      <c r="AC16">
        <v>496.30250000000001</v>
      </c>
      <c r="AG16" s="26" t="s">
        <v>15</v>
      </c>
      <c r="AH16">
        <v>3</v>
      </c>
      <c r="AI16">
        <v>3360</v>
      </c>
      <c r="AJ16">
        <v>1975.47</v>
      </c>
      <c r="AK16">
        <v>504</v>
      </c>
      <c r="AL16">
        <v>152.208</v>
      </c>
      <c r="AM16">
        <v>728.322</v>
      </c>
    </row>
    <row r="17" spans="1:39" x14ac:dyDescent="0.25">
      <c r="A17" s="24">
        <v>14</v>
      </c>
      <c r="B17" t="s">
        <v>443</v>
      </c>
      <c r="C17" t="s">
        <v>418</v>
      </c>
      <c r="D17" t="s">
        <v>8</v>
      </c>
      <c r="E17" s="66">
        <v>97.2</v>
      </c>
      <c r="F17" s="66">
        <v>441.53</v>
      </c>
      <c r="G17" s="66">
        <v>619</v>
      </c>
      <c r="H17" s="66">
        <v>0.02</v>
      </c>
      <c r="I17" s="66">
        <v>607</v>
      </c>
      <c r="J17" s="66">
        <v>91.05</v>
      </c>
      <c r="L17" s="26" t="s">
        <v>15</v>
      </c>
      <c r="M17">
        <v>4</v>
      </c>
      <c r="N17">
        <v>4480</v>
      </c>
      <c r="O17">
        <v>1256.6399999999999</v>
      </c>
      <c r="P17">
        <v>3223.36</v>
      </c>
      <c r="Q17">
        <v>2633.96</v>
      </c>
      <c r="R17">
        <v>672</v>
      </c>
      <c r="S17">
        <v>202.94399999999999</v>
      </c>
      <c r="T17">
        <v>971.096</v>
      </c>
      <c r="W17" s="26" t="s">
        <v>15</v>
      </c>
      <c r="X17">
        <v>1</v>
      </c>
      <c r="Y17">
        <v>1120</v>
      </c>
      <c r="Z17">
        <v>658.49</v>
      </c>
      <c r="AA17">
        <v>168</v>
      </c>
      <c r="AB17">
        <v>50.735999999999997</v>
      </c>
      <c r="AC17">
        <v>242.774</v>
      </c>
      <c r="AG17" s="23" t="s">
        <v>443</v>
      </c>
      <c r="AH17">
        <v>37</v>
      </c>
      <c r="AI17">
        <v>28502</v>
      </c>
      <c r="AJ17">
        <v>18618.700000000004</v>
      </c>
      <c r="AK17">
        <v>4275.3000000000011</v>
      </c>
      <c r="AL17">
        <v>1291.1406000000002</v>
      </c>
      <c r="AM17">
        <v>4316.8593999999921</v>
      </c>
    </row>
    <row r="18" spans="1:39" x14ac:dyDescent="0.25">
      <c r="A18" s="24">
        <v>15</v>
      </c>
      <c r="B18" t="s">
        <v>442</v>
      </c>
      <c r="C18" t="s">
        <v>418</v>
      </c>
      <c r="D18" t="s">
        <v>8</v>
      </c>
      <c r="E18" s="66">
        <v>97.2</v>
      </c>
      <c r="F18" s="66">
        <v>441.53</v>
      </c>
      <c r="G18" s="66">
        <v>619</v>
      </c>
      <c r="H18" s="66">
        <v>0</v>
      </c>
      <c r="I18" s="66">
        <v>619</v>
      </c>
      <c r="J18" s="66">
        <v>92.85</v>
      </c>
      <c r="L18" s="23" t="s">
        <v>443</v>
      </c>
      <c r="M18">
        <v>60</v>
      </c>
      <c r="N18">
        <v>44564</v>
      </c>
      <c r="O18">
        <v>8888.99</v>
      </c>
      <c r="P18">
        <v>35675.01</v>
      </c>
      <c r="Q18">
        <v>29548.79</v>
      </c>
      <c r="R18">
        <v>6684.5999999999995</v>
      </c>
      <c r="S18">
        <v>2018.7491999999997</v>
      </c>
      <c r="T18">
        <v>6311.8608000000004</v>
      </c>
      <c r="W18" s="23" t="s">
        <v>443</v>
      </c>
      <c r="X18">
        <v>23</v>
      </c>
      <c r="Y18">
        <v>16062</v>
      </c>
      <c r="Z18">
        <v>10930.089999999998</v>
      </c>
      <c r="AA18">
        <v>2409.2999999999993</v>
      </c>
      <c r="AB18">
        <v>727.6085999999998</v>
      </c>
      <c r="AC18">
        <v>1995.0014000000026</v>
      </c>
      <c r="AG18" s="26" t="s">
        <v>5</v>
      </c>
      <c r="AH18">
        <v>5</v>
      </c>
      <c r="AI18">
        <v>3810</v>
      </c>
      <c r="AJ18">
        <v>2537.2999999999997</v>
      </c>
      <c r="AK18">
        <v>571.5</v>
      </c>
      <c r="AL18">
        <v>172.59299999999999</v>
      </c>
      <c r="AM18">
        <v>528.60700000000031</v>
      </c>
    </row>
    <row r="19" spans="1:39" x14ac:dyDescent="0.25">
      <c r="A19" s="24">
        <v>16</v>
      </c>
      <c r="B19" t="s">
        <v>443</v>
      </c>
      <c r="C19" t="s">
        <v>418</v>
      </c>
      <c r="D19" t="s">
        <v>8</v>
      </c>
      <c r="E19" s="66">
        <v>97.2</v>
      </c>
      <c r="F19" s="66">
        <v>441.53</v>
      </c>
      <c r="G19" s="66">
        <v>619</v>
      </c>
      <c r="H19" s="66">
        <v>0.05</v>
      </c>
      <c r="I19" s="66">
        <v>589</v>
      </c>
      <c r="J19" s="66">
        <v>88.35</v>
      </c>
      <c r="L19" s="26" t="s">
        <v>5</v>
      </c>
      <c r="M19">
        <v>11</v>
      </c>
      <c r="N19">
        <v>8382</v>
      </c>
      <c r="O19">
        <v>1794.4300000000003</v>
      </c>
      <c r="P19">
        <v>6587.57</v>
      </c>
      <c r="Q19">
        <v>5582.0599999999995</v>
      </c>
      <c r="R19">
        <v>1257.2999999999997</v>
      </c>
      <c r="S19">
        <v>379.70459999999991</v>
      </c>
      <c r="T19">
        <v>1162.9354000000012</v>
      </c>
      <c r="W19" s="26" t="s">
        <v>5</v>
      </c>
      <c r="X19">
        <v>6</v>
      </c>
      <c r="Y19">
        <v>4572</v>
      </c>
      <c r="Z19">
        <v>3044.7599999999998</v>
      </c>
      <c r="AA19">
        <v>685.8</v>
      </c>
      <c r="AB19">
        <v>207.11159999999998</v>
      </c>
      <c r="AC19">
        <v>634.3284000000001</v>
      </c>
      <c r="AG19" s="26" t="s">
        <v>8</v>
      </c>
      <c r="AH19">
        <v>8</v>
      </c>
      <c r="AI19">
        <v>4952</v>
      </c>
      <c r="AJ19">
        <v>3532.2399999999989</v>
      </c>
      <c r="AK19">
        <v>742.80000000000007</v>
      </c>
      <c r="AL19">
        <v>224.32560000000001</v>
      </c>
      <c r="AM19">
        <v>452.63440000000094</v>
      </c>
    </row>
    <row r="20" spans="1:39" x14ac:dyDescent="0.25">
      <c r="A20" s="24">
        <v>17</v>
      </c>
      <c r="B20" t="s">
        <v>443</v>
      </c>
      <c r="C20" t="s">
        <v>418</v>
      </c>
      <c r="D20" t="s">
        <v>8</v>
      </c>
      <c r="E20" s="66">
        <v>97.2</v>
      </c>
      <c r="F20" s="66">
        <v>441.53</v>
      </c>
      <c r="G20" s="66">
        <v>619</v>
      </c>
      <c r="H20" s="66">
        <v>0</v>
      </c>
      <c r="I20" s="66">
        <v>619</v>
      </c>
      <c r="J20" s="66">
        <v>92.85</v>
      </c>
      <c r="L20" s="26" t="s">
        <v>8</v>
      </c>
      <c r="M20">
        <v>18</v>
      </c>
      <c r="N20">
        <v>11100</v>
      </c>
      <c r="O20">
        <v>1749.6000000000006</v>
      </c>
      <c r="P20">
        <v>9350.4</v>
      </c>
      <c r="Q20">
        <v>7947.5399999999963</v>
      </c>
      <c r="R20">
        <v>1664.9999999999995</v>
      </c>
      <c r="S20">
        <v>502.82999999999987</v>
      </c>
      <c r="T20">
        <v>984.63000000000375</v>
      </c>
      <c r="W20" s="26" t="s">
        <v>8</v>
      </c>
      <c r="X20">
        <v>10</v>
      </c>
      <c r="Y20">
        <v>6148</v>
      </c>
      <c r="Z20">
        <v>4415.2999999999984</v>
      </c>
      <c r="AA20">
        <v>922.20000000000016</v>
      </c>
      <c r="AB20">
        <v>278.50440000000003</v>
      </c>
      <c r="AC20">
        <v>531.99560000000179</v>
      </c>
      <c r="AG20" s="26" t="s">
        <v>22</v>
      </c>
      <c r="AH20">
        <v>7</v>
      </c>
      <c r="AI20">
        <v>4852</v>
      </c>
      <c r="AJ20">
        <v>3246.3200000000006</v>
      </c>
      <c r="AK20">
        <v>727.8</v>
      </c>
      <c r="AL20">
        <v>219.79559999999998</v>
      </c>
      <c r="AM20">
        <v>658.08439999999928</v>
      </c>
    </row>
    <row r="21" spans="1:39" x14ac:dyDescent="0.25">
      <c r="A21" s="24">
        <v>18</v>
      </c>
      <c r="B21" t="s">
        <v>443</v>
      </c>
      <c r="C21" t="s">
        <v>418</v>
      </c>
      <c r="D21" t="s">
        <v>8</v>
      </c>
      <c r="E21" s="66">
        <v>97.2</v>
      </c>
      <c r="F21" s="66">
        <v>441.53</v>
      </c>
      <c r="G21" s="66">
        <v>619</v>
      </c>
      <c r="H21" s="66">
        <v>0</v>
      </c>
      <c r="I21" s="66">
        <v>619</v>
      </c>
      <c r="J21" s="66">
        <v>92.85</v>
      </c>
      <c r="L21" s="26" t="s">
        <v>22</v>
      </c>
      <c r="M21">
        <v>7</v>
      </c>
      <c r="N21">
        <v>4852</v>
      </c>
      <c r="O21">
        <v>836.01000000000022</v>
      </c>
      <c r="P21">
        <v>4015.99</v>
      </c>
      <c r="Q21">
        <v>3246.3200000000006</v>
      </c>
      <c r="R21">
        <v>727.8</v>
      </c>
      <c r="S21">
        <v>219.79559999999998</v>
      </c>
      <c r="T21">
        <v>658.08439999999928</v>
      </c>
      <c r="W21" s="26" t="s">
        <v>37</v>
      </c>
      <c r="X21">
        <v>2</v>
      </c>
      <c r="Y21">
        <v>1362</v>
      </c>
      <c r="Z21">
        <v>907.14</v>
      </c>
      <c r="AA21">
        <v>204.29999999999998</v>
      </c>
      <c r="AB21">
        <v>61.698599999999992</v>
      </c>
      <c r="AC21">
        <v>188.86140000000006</v>
      </c>
      <c r="AG21" s="26" t="s">
        <v>37</v>
      </c>
      <c r="AH21">
        <v>3</v>
      </c>
      <c r="AI21">
        <v>2043</v>
      </c>
      <c r="AJ21">
        <v>1360.71</v>
      </c>
      <c r="AK21">
        <v>306.45</v>
      </c>
      <c r="AL21">
        <v>92.547899999999998</v>
      </c>
      <c r="AM21">
        <v>283.29209999999989</v>
      </c>
    </row>
    <row r="22" spans="1:39" x14ac:dyDescent="0.25">
      <c r="A22" s="24">
        <v>19</v>
      </c>
      <c r="B22" t="s">
        <v>443</v>
      </c>
      <c r="C22" t="s">
        <v>418</v>
      </c>
      <c r="D22" t="s">
        <v>8</v>
      </c>
      <c r="E22" s="66">
        <v>97.2</v>
      </c>
      <c r="F22" s="66">
        <v>441.53</v>
      </c>
      <c r="G22" s="66">
        <v>619</v>
      </c>
      <c r="H22" s="66">
        <v>0</v>
      </c>
      <c r="I22" s="66">
        <v>619</v>
      </c>
      <c r="J22" s="66">
        <v>92.85</v>
      </c>
      <c r="L22" s="26" t="s">
        <v>37</v>
      </c>
      <c r="M22">
        <v>5</v>
      </c>
      <c r="N22">
        <v>3405</v>
      </c>
      <c r="O22">
        <v>546.20000000000005</v>
      </c>
      <c r="P22">
        <v>2858.8</v>
      </c>
      <c r="Q22">
        <v>2267.85</v>
      </c>
      <c r="R22">
        <v>510.74999999999994</v>
      </c>
      <c r="S22">
        <v>154.24649999999997</v>
      </c>
      <c r="T22">
        <v>472.15350000000012</v>
      </c>
      <c r="W22" s="26" t="s">
        <v>17</v>
      </c>
      <c r="X22">
        <v>4</v>
      </c>
      <c r="Y22">
        <v>2860</v>
      </c>
      <c r="Z22">
        <v>1904.3999999999999</v>
      </c>
      <c r="AA22">
        <v>429</v>
      </c>
      <c r="AB22">
        <v>129.55799999999999</v>
      </c>
      <c r="AC22">
        <v>397.04200000000014</v>
      </c>
      <c r="AG22" s="26" t="s">
        <v>17</v>
      </c>
      <c r="AH22">
        <v>7</v>
      </c>
      <c r="AI22">
        <v>5005</v>
      </c>
      <c r="AJ22">
        <v>3332.7</v>
      </c>
      <c r="AK22">
        <v>750.75</v>
      </c>
      <c r="AL22">
        <v>226.72649999999999</v>
      </c>
      <c r="AM22">
        <v>694.82350000000019</v>
      </c>
    </row>
    <row r="23" spans="1:39" x14ac:dyDescent="0.25">
      <c r="A23" s="24">
        <v>20</v>
      </c>
      <c r="B23" t="s">
        <v>442</v>
      </c>
      <c r="C23" t="s">
        <v>418</v>
      </c>
      <c r="D23" t="s">
        <v>8</v>
      </c>
      <c r="E23" s="66">
        <v>97.2</v>
      </c>
      <c r="F23" s="66">
        <v>441.53</v>
      </c>
      <c r="G23" s="66">
        <v>619</v>
      </c>
      <c r="H23" s="66">
        <v>0</v>
      </c>
      <c r="I23" s="66">
        <v>619</v>
      </c>
      <c r="J23" s="66">
        <v>92.85</v>
      </c>
      <c r="L23" s="26" t="s">
        <v>17</v>
      </c>
      <c r="M23">
        <v>11</v>
      </c>
      <c r="N23">
        <v>7865</v>
      </c>
      <c r="O23">
        <v>1449.4699999999998</v>
      </c>
      <c r="P23">
        <v>6415.5300000000007</v>
      </c>
      <c r="Q23">
        <v>5237.1000000000004</v>
      </c>
      <c r="R23">
        <v>1179.75</v>
      </c>
      <c r="S23">
        <v>356.28449999999998</v>
      </c>
      <c r="T23">
        <v>1091.8654999999997</v>
      </c>
      <c r="W23" s="26" t="s">
        <v>15</v>
      </c>
      <c r="X23">
        <v>1</v>
      </c>
      <c r="Y23">
        <v>1120</v>
      </c>
      <c r="Z23">
        <v>658.49</v>
      </c>
      <c r="AA23">
        <v>168</v>
      </c>
      <c r="AB23">
        <v>50.735999999999997</v>
      </c>
      <c r="AC23">
        <v>242.774</v>
      </c>
      <c r="AG23" s="26" t="s">
        <v>15</v>
      </c>
      <c r="AH23">
        <v>7</v>
      </c>
      <c r="AI23">
        <v>7840</v>
      </c>
      <c r="AJ23">
        <v>4609.4299999999994</v>
      </c>
      <c r="AK23">
        <v>1176</v>
      </c>
      <c r="AL23">
        <v>355.15199999999999</v>
      </c>
      <c r="AM23">
        <v>1699.4180000000006</v>
      </c>
    </row>
    <row r="24" spans="1:39" x14ac:dyDescent="0.25">
      <c r="A24" s="24">
        <v>21</v>
      </c>
      <c r="B24" t="s">
        <v>442</v>
      </c>
      <c r="C24" t="s">
        <v>418</v>
      </c>
      <c r="D24" t="s">
        <v>8</v>
      </c>
      <c r="E24" s="66">
        <v>97.2</v>
      </c>
      <c r="F24" s="66">
        <v>441.53</v>
      </c>
      <c r="G24" s="66">
        <v>619</v>
      </c>
      <c r="H24" s="66">
        <v>0</v>
      </c>
      <c r="I24" s="66">
        <v>619</v>
      </c>
      <c r="J24" s="66">
        <v>92.85</v>
      </c>
      <c r="L24" s="26" t="s">
        <v>15</v>
      </c>
      <c r="M24">
        <v>8</v>
      </c>
      <c r="N24">
        <v>8960</v>
      </c>
      <c r="O24">
        <v>2513.2799999999993</v>
      </c>
      <c r="P24">
        <v>6446.7200000000012</v>
      </c>
      <c r="Q24">
        <v>5267.9199999999992</v>
      </c>
      <c r="R24">
        <v>1344</v>
      </c>
      <c r="S24">
        <v>405.88799999999998</v>
      </c>
      <c r="T24">
        <v>1942.1920000000009</v>
      </c>
      <c r="W24" s="23" t="s">
        <v>444</v>
      </c>
      <c r="X24">
        <v>66</v>
      </c>
      <c r="Y24">
        <v>47167</v>
      </c>
      <c r="Z24">
        <v>31699.859999999971</v>
      </c>
      <c r="AA24">
        <v>7075.0500000000047</v>
      </c>
      <c r="AB24">
        <v>2136.6651000000015</v>
      </c>
      <c r="AC24">
        <v>6255.4249000000236</v>
      </c>
      <c r="AG24" s="23" t="s">
        <v>444</v>
      </c>
      <c r="AH24">
        <v>90</v>
      </c>
      <c r="AI24">
        <v>66993</v>
      </c>
      <c r="AJ24">
        <v>44291.019999999953</v>
      </c>
      <c r="AK24">
        <v>10048.949999999999</v>
      </c>
      <c r="AL24">
        <v>3034.7828999999997</v>
      </c>
      <c r="AM24">
        <v>9618.2471000000496</v>
      </c>
    </row>
    <row r="25" spans="1:39" x14ac:dyDescent="0.25">
      <c r="A25" s="24">
        <v>22</v>
      </c>
      <c r="B25" t="s">
        <v>442</v>
      </c>
      <c r="C25" t="s">
        <v>418</v>
      </c>
      <c r="D25" t="s">
        <v>8</v>
      </c>
      <c r="E25" s="66">
        <v>97.2</v>
      </c>
      <c r="F25" s="66">
        <v>441.53</v>
      </c>
      <c r="G25" s="66">
        <v>619</v>
      </c>
      <c r="H25" s="66">
        <v>0</v>
      </c>
      <c r="I25" s="66">
        <v>619</v>
      </c>
      <c r="J25" s="66">
        <v>92.85</v>
      </c>
      <c r="L25" s="23" t="s">
        <v>444</v>
      </c>
      <c r="M25">
        <v>156</v>
      </c>
      <c r="N25">
        <v>114160</v>
      </c>
      <c r="O25">
        <v>22275.400000000027</v>
      </c>
      <c r="P25">
        <v>91884.599999999977</v>
      </c>
      <c r="Q25">
        <v>75990.880000000048</v>
      </c>
      <c r="R25">
        <v>17123.999999999993</v>
      </c>
      <c r="S25">
        <v>5171.4479999999976</v>
      </c>
      <c r="T25">
        <v>15873.671999999955</v>
      </c>
    </row>
    <row r="26" spans="1:39" x14ac:dyDescent="0.25">
      <c r="A26" s="24">
        <v>23</v>
      </c>
      <c r="B26" t="s">
        <v>441</v>
      </c>
      <c r="C26" t="s">
        <v>418</v>
      </c>
      <c r="D26" t="s">
        <v>8</v>
      </c>
      <c r="E26" s="66">
        <v>97.2</v>
      </c>
      <c r="F26" s="66">
        <v>441.53</v>
      </c>
      <c r="G26" s="66">
        <v>619</v>
      </c>
      <c r="H26" s="66">
        <v>0</v>
      </c>
      <c r="I26" s="66">
        <v>619</v>
      </c>
      <c r="J26" s="66">
        <v>92.85</v>
      </c>
    </row>
    <row r="27" spans="1:39" x14ac:dyDescent="0.25">
      <c r="A27" s="24">
        <v>24</v>
      </c>
      <c r="B27" t="s">
        <v>442</v>
      </c>
      <c r="C27" t="s">
        <v>418</v>
      </c>
      <c r="D27" t="s">
        <v>8</v>
      </c>
      <c r="E27" s="66">
        <v>97.2</v>
      </c>
      <c r="F27" s="66">
        <v>441.53</v>
      </c>
      <c r="G27" s="66">
        <v>619</v>
      </c>
      <c r="H27" s="66">
        <v>0</v>
      </c>
      <c r="I27" s="66">
        <v>619</v>
      </c>
      <c r="J27" s="66">
        <v>92.85</v>
      </c>
    </row>
    <row r="28" spans="1:39" x14ac:dyDescent="0.25">
      <c r="A28" s="24">
        <v>25</v>
      </c>
      <c r="B28" t="s">
        <v>443</v>
      </c>
      <c r="C28" t="s">
        <v>418</v>
      </c>
      <c r="D28" t="s">
        <v>8</v>
      </c>
      <c r="E28" s="66">
        <v>97.2</v>
      </c>
      <c r="F28" s="66">
        <v>441.53</v>
      </c>
      <c r="G28" s="66">
        <v>619</v>
      </c>
      <c r="H28" s="66">
        <v>0</v>
      </c>
      <c r="I28" s="66">
        <v>619</v>
      </c>
      <c r="J28" s="66">
        <v>92.85</v>
      </c>
    </row>
    <row r="29" spans="1:39" x14ac:dyDescent="0.25">
      <c r="A29" s="24">
        <v>26</v>
      </c>
      <c r="B29" t="s">
        <v>443</v>
      </c>
      <c r="C29" t="s">
        <v>418</v>
      </c>
      <c r="D29" t="s">
        <v>8</v>
      </c>
      <c r="E29" s="66">
        <v>97.2</v>
      </c>
      <c r="F29" s="66">
        <v>441.53</v>
      </c>
      <c r="G29" s="66">
        <v>619</v>
      </c>
      <c r="H29" s="66">
        <v>0</v>
      </c>
      <c r="I29" s="66">
        <v>619</v>
      </c>
      <c r="J29" s="66">
        <v>92.85</v>
      </c>
    </row>
    <row r="30" spans="1:39" x14ac:dyDescent="0.25">
      <c r="A30" s="24">
        <v>27</v>
      </c>
      <c r="B30" t="s">
        <v>442</v>
      </c>
      <c r="C30" t="s">
        <v>418</v>
      </c>
      <c r="D30" t="s">
        <v>8</v>
      </c>
      <c r="E30" s="66">
        <v>97.2</v>
      </c>
      <c r="F30" s="66">
        <v>441.53</v>
      </c>
      <c r="G30" s="66">
        <v>619</v>
      </c>
      <c r="H30" s="66">
        <v>0</v>
      </c>
      <c r="I30" s="66">
        <v>619</v>
      </c>
      <c r="J30" s="66">
        <v>92.85</v>
      </c>
    </row>
    <row r="31" spans="1:39" x14ac:dyDescent="0.25">
      <c r="A31" s="24">
        <v>28</v>
      </c>
      <c r="B31" t="s">
        <v>441</v>
      </c>
      <c r="C31" t="s">
        <v>418</v>
      </c>
      <c r="D31" t="s">
        <v>8</v>
      </c>
      <c r="E31" s="66">
        <v>97.2</v>
      </c>
      <c r="F31" s="66">
        <v>441.53</v>
      </c>
      <c r="G31" s="66">
        <v>619</v>
      </c>
      <c r="H31" s="66">
        <v>0</v>
      </c>
      <c r="I31" s="66">
        <v>619</v>
      </c>
      <c r="J31" s="66">
        <v>92.85</v>
      </c>
    </row>
    <row r="32" spans="1:39" x14ac:dyDescent="0.25">
      <c r="A32" s="24">
        <v>29</v>
      </c>
      <c r="B32" t="s">
        <v>442</v>
      </c>
      <c r="C32" t="s">
        <v>418</v>
      </c>
      <c r="D32" t="s">
        <v>8</v>
      </c>
      <c r="E32" s="66">
        <v>97.2</v>
      </c>
      <c r="F32" s="66">
        <v>441.53</v>
      </c>
      <c r="G32" s="66">
        <v>619</v>
      </c>
      <c r="H32" s="66">
        <v>0</v>
      </c>
      <c r="I32" s="66">
        <v>619</v>
      </c>
      <c r="J32" s="66">
        <v>92.85</v>
      </c>
    </row>
    <row r="33" spans="1:10" x14ac:dyDescent="0.25">
      <c r="A33" s="24">
        <v>30</v>
      </c>
      <c r="B33" t="s">
        <v>442</v>
      </c>
      <c r="C33" t="s">
        <v>418</v>
      </c>
      <c r="D33" t="s">
        <v>8</v>
      </c>
      <c r="E33" s="66">
        <v>97.2</v>
      </c>
      <c r="F33" s="66">
        <v>441.53</v>
      </c>
      <c r="G33" s="66">
        <v>619</v>
      </c>
      <c r="H33" s="66">
        <v>0</v>
      </c>
      <c r="I33" s="66">
        <v>619</v>
      </c>
      <c r="J33" s="66">
        <v>92.85</v>
      </c>
    </row>
    <row r="34" spans="1:10" x14ac:dyDescent="0.25">
      <c r="A34" s="24">
        <v>31</v>
      </c>
      <c r="B34" t="s">
        <v>443</v>
      </c>
      <c r="C34" t="s">
        <v>418</v>
      </c>
      <c r="D34" t="s">
        <v>8</v>
      </c>
      <c r="E34" s="66">
        <v>97.2</v>
      </c>
      <c r="F34" s="66">
        <v>441.53</v>
      </c>
      <c r="G34" s="66">
        <v>619</v>
      </c>
      <c r="H34" s="66">
        <v>0</v>
      </c>
      <c r="I34" s="66">
        <v>619</v>
      </c>
      <c r="J34" s="66">
        <v>92.85</v>
      </c>
    </row>
    <row r="35" spans="1:10" x14ac:dyDescent="0.25">
      <c r="A35" s="24">
        <v>32</v>
      </c>
      <c r="B35" t="s">
        <v>442</v>
      </c>
      <c r="C35" t="s">
        <v>418</v>
      </c>
      <c r="D35" t="s">
        <v>8</v>
      </c>
      <c r="E35" s="66">
        <v>97.2</v>
      </c>
      <c r="F35" s="66">
        <v>441.53</v>
      </c>
      <c r="G35" s="66">
        <v>619</v>
      </c>
      <c r="H35" s="66">
        <v>0</v>
      </c>
      <c r="I35" s="66">
        <v>619</v>
      </c>
      <c r="J35" s="66">
        <v>92.85</v>
      </c>
    </row>
    <row r="36" spans="1:10" x14ac:dyDescent="0.25">
      <c r="A36" s="24">
        <v>33</v>
      </c>
      <c r="B36" t="s">
        <v>443</v>
      </c>
      <c r="C36" t="s">
        <v>418</v>
      </c>
      <c r="D36" t="s">
        <v>8</v>
      </c>
      <c r="E36" s="66">
        <v>97.2</v>
      </c>
      <c r="F36" s="66">
        <v>441.53</v>
      </c>
      <c r="G36" s="66">
        <v>619</v>
      </c>
      <c r="H36" s="66">
        <v>0</v>
      </c>
      <c r="I36" s="66">
        <v>619</v>
      </c>
      <c r="J36" s="66">
        <v>92.85</v>
      </c>
    </row>
    <row r="37" spans="1:10" x14ac:dyDescent="0.25">
      <c r="A37" s="24">
        <v>34</v>
      </c>
      <c r="B37" t="s">
        <v>442</v>
      </c>
      <c r="C37" t="s">
        <v>418</v>
      </c>
      <c r="D37" t="s">
        <v>8</v>
      </c>
      <c r="E37" s="66">
        <v>97.2</v>
      </c>
      <c r="F37" s="66">
        <v>441.53</v>
      </c>
      <c r="G37" s="66">
        <v>619</v>
      </c>
      <c r="H37" s="66">
        <v>0</v>
      </c>
      <c r="I37" s="66">
        <v>619</v>
      </c>
      <c r="J37" s="66">
        <v>92.85</v>
      </c>
    </row>
    <row r="38" spans="1:10" x14ac:dyDescent="0.25">
      <c r="A38" s="24">
        <v>35</v>
      </c>
      <c r="B38" t="s">
        <v>441</v>
      </c>
      <c r="C38" t="s">
        <v>418</v>
      </c>
      <c r="D38" t="s">
        <v>22</v>
      </c>
      <c r="E38" s="66">
        <v>119.43</v>
      </c>
      <c r="F38" s="66">
        <v>463.76</v>
      </c>
      <c r="G38" s="66">
        <v>696</v>
      </c>
      <c r="H38" s="66">
        <v>0</v>
      </c>
      <c r="I38" s="66">
        <v>696</v>
      </c>
      <c r="J38" s="66">
        <v>104.39999999999999</v>
      </c>
    </row>
    <row r="39" spans="1:10" x14ac:dyDescent="0.25">
      <c r="A39" s="24">
        <v>36</v>
      </c>
      <c r="B39" t="s">
        <v>442</v>
      </c>
      <c r="C39" t="s">
        <v>418</v>
      </c>
      <c r="D39" t="s">
        <v>22</v>
      </c>
      <c r="E39" s="66">
        <v>119.43</v>
      </c>
      <c r="F39" s="66">
        <v>463.76</v>
      </c>
      <c r="G39" s="66">
        <v>696</v>
      </c>
      <c r="H39" s="66">
        <v>0</v>
      </c>
      <c r="I39" s="66">
        <v>696</v>
      </c>
      <c r="J39" s="66">
        <v>104.39999999999999</v>
      </c>
    </row>
    <row r="40" spans="1:10" x14ac:dyDescent="0.25">
      <c r="A40" s="24">
        <v>37</v>
      </c>
      <c r="B40" t="s">
        <v>441</v>
      </c>
      <c r="C40" t="s">
        <v>418</v>
      </c>
      <c r="D40" t="s">
        <v>22</v>
      </c>
      <c r="E40" s="66">
        <v>119.43</v>
      </c>
      <c r="F40" s="66">
        <v>463.76</v>
      </c>
      <c r="G40" s="66">
        <v>696</v>
      </c>
      <c r="H40" s="66">
        <v>0</v>
      </c>
      <c r="I40" s="66">
        <v>696</v>
      </c>
      <c r="J40" s="66">
        <v>104.39999999999999</v>
      </c>
    </row>
    <row r="41" spans="1:10" x14ac:dyDescent="0.25">
      <c r="A41" s="24">
        <v>38</v>
      </c>
      <c r="B41" t="s">
        <v>442</v>
      </c>
      <c r="C41" t="s">
        <v>418</v>
      </c>
      <c r="D41" t="s">
        <v>22</v>
      </c>
      <c r="E41" s="66">
        <v>119.43</v>
      </c>
      <c r="F41" s="66">
        <v>463.76</v>
      </c>
      <c r="G41" s="66">
        <v>696</v>
      </c>
      <c r="H41" s="66">
        <v>0</v>
      </c>
      <c r="I41" s="66">
        <v>696</v>
      </c>
      <c r="J41" s="66">
        <v>104.39999999999999</v>
      </c>
    </row>
    <row r="42" spans="1:10" x14ac:dyDescent="0.25">
      <c r="A42" s="24">
        <v>39</v>
      </c>
      <c r="B42" t="s">
        <v>442</v>
      </c>
      <c r="C42" t="s">
        <v>418</v>
      </c>
      <c r="D42" t="s">
        <v>37</v>
      </c>
      <c r="E42" s="66">
        <v>109.24000000000001</v>
      </c>
      <c r="F42" s="66">
        <v>453.57</v>
      </c>
      <c r="G42" s="66">
        <v>681</v>
      </c>
      <c r="H42" s="66">
        <v>0</v>
      </c>
      <c r="I42" s="66">
        <v>681</v>
      </c>
      <c r="J42" s="66">
        <v>102.14999999999999</v>
      </c>
    </row>
    <row r="43" spans="1:10" x14ac:dyDescent="0.25">
      <c r="A43" s="24">
        <v>40</v>
      </c>
      <c r="B43" t="s">
        <v>441</v>
      </c>
      <c r="C43" t="s">
        <v>418</v>
      </c>
      <c r="D43" t="s">
        <v>37</v>
      </c>
      <c r="E43" s="66">
        <v>109.24000000000001</v>
      </c>
      <c r="F43" s="66">
        <v>453.57</v>
      </c>
      <c r="G43" s="66">
        <v>681</v>
      </c>
      <c r="H43" s="66">
        <v>0</v>
      </c>
      <c r="I43" s="66">
        <v>681</v>
      </c>
      <c r="J43" s="66">
        <v>102.14999999999999</v>
      </c>
    </row>
    <row r="44" spans="1:10" x14ac:dyDescent="0.25">
      <c r="A44" s="24">
        <v>41</v>
      </c>
      <c r="B44" t="s">
        <v>443</v>
      </c>
      <c r="C44" t="s">
        <v>418</v>
      </c>
      <c r="D44" t="s">
        <v>37</v>
      </c>
      <c r="E44" s="66">
        <v>109.24000000000001</v>
      </c>
      <c r="F44" s="66">
        <v>453.57</v>
      </c>
      <c r="G44" s="66">
        <v>681</v>
      </c>
      <c r="H44" s="66">
        <v>0</v>
      </c>
      <c r="I44" s="66">
        <v>681</v>
      </c>
      <c r="J44" s="66">
        <v>102.14999999999999</v>
      </c>
    </row>
    <row r="45" spans="1:10" x14ac:dyDescent="0.25">
      <c r="A45" s="24">
        <v>42</v>
      </c>
      <c r="B45" t="s">
        <v>441</v>
      </c>
      <c r="C45" t="s">
        <v>418</v>
      </c>
      <c r="D45" t="s">
        <v>37</v>
      </c>
      <c r="E45" s="66">
        <v>109.24000000000001</v>
      </c>
      <c r="F45" s="66">
        <v>453.57</v>
      </c>
      <c r="G45" s="66">
        <v>681</v>
      </c>
      <c r="H45" s="66">
        <v>0</v>
      </c>
      <c r="I45" s="66">
        <v>681</v>
      </c>
      <c r="J45" s="66">
        <v>102.14999999999999</v>
      </c>
    </row>
    <row r="46" spans="1:10" x14ac:dyDescent="0.25">
      <c r="A46" s="24">
        <v>43</v>
      </c>
      <c r="B46" t="s">
        <v>441</v>
      </c>
      <c r="C46" t="s">
        <v>418</v>
      </c>
      <c r="D46" t="s">
        <v>37</v>
      </c>
      <c r="E46" s="66">
        <v>109.24000000000001</v>
      </c>
      <c r="F46" s="66">
        <v>453.57</v>
      </c>
      <c r="G46" s="66">
        <v>681</v>
      </c>
      <c r="H46" s="66">
        <v>0</v>
      </c>
      <c r="I46" s="66">
        <v>681</v>
      </c>
      <c r="J46" s="66">
        <v>102.14999999999999</v>
      </c>
    </row>
    <row r="47" spans="1:10" x14ac:dyDescent="0.25">
      <c r="A47" s="24">
        <v>44</v>
      </c>
      <c r="B47" t="s">
        <v>443</v>
      </c>
      <c r="C47" t="s">
        <v>418</v>
      </c>
      <c r="D47" t="s">
        <v>37</v>
      </c>
      <c r="E47" s="66">
        <v>109.24000000000001</v>
      </c>
      <c r="F47" s="66">
        <v>453.57</v>
      </c>
      <c r="G47" s="66">
        <v>681</v>
      </c>
      <c r="H47" s="66">
        <v>0</v>
      </c>
      <c r="I47" s="66">
        <v>681</v>
      </c>
      <c r="J47" s="66">
        <v>102.14999999999999</v>
      </c>
    </row>
    <row r="48" spans="1:10" x14ac:dyDescent="0.25">
      <c r="A48" s="24">
        <v>45</v>
      </c>
      <c r="B48" t="s">
        <v>442</v>
      </c>
      <c r="C48" t="s">
        <v>418</v>
      </c>
      <c r="D48" t="s">
        <v>17</v>
      </c>
      <c r="E48" s="66">
        <v>131.76999999999998</v>
      </c>
      <c r="F48" s="66">
        <v>476.09999999999997</v>
      </c>
      <c r="G48" s="66">
        <v>715</v>
      </c>
      <c r="H48" s="66">
        <v>0</v>
      </c>
      <c r="I48" s="66">
        <v>715</v>
      </c>
      <c r="J48" s="66">
        <v>107.25</v>
      </c>
    </row>
    <row r="49" spans="1:13" x14ac:dyDescent="0.25">
      <c r="A49" s="24">
        <v>46</v>
      </c>
      <c r="B49" t="s">
        <v>442</v>
      </c>
      <c r="C49" t="s">
        <v>418</v>
      </c>
      <c r="D49" t="s">
        <v>17</v>
      </c>
      <c r="E49" s="66">
        <v>131.76999999999998</v>
      </c>
      <c r="F49" s="66">
        <v>476.09999999999997</v>
      </c>
      <c r="G49" s="66">
        <v>715</v>
      </c>
      <c r="H49" s="66">
        <v>0.05</v>
      </c>
      <c r="I49" s="66">
        <v>680</v>
      </c>
      <c r="J49" s="66">
        <v>102</v>
      </c>
    </row>
    <row r="50" spans="1:13" x14ac:dyDescent="0.25">
      <c r="A50" s="24">
        <v>47</v>
      </c>
      <c r="B50" t="s">
        <v>443</v>
      </c>
      <c r="C50" t="s">
        <v>418</v>
      </c>
      <c r="D50" t="s">
        <v>17</v>
      </c>
      <c r="E50" s="66">
        <v>131.76999999999998</v>
      </c>
      <c r="F50" s="66">
        <v>476.09999999999997</v>
      </c>
      <c r="G50" s="66">
        <v>715</v>
      </c>
      <c r="H50" s="66">
        <v>0</v>
      </c>
      <c r="I50" s="66">
        <v>715</v>
      </c>
      <c r="J50" s="66">
        <v>107.25</v>
      </c>
    </row>
    <row r="51" spans="1:13" x14ac:dyDescent="0.25">
      <c r="A51" s="24">
        <v>48</v>
      </c>
      <c r="B51" t="s">
        <v>443</v>
      </c>
      <c r="C51" t="s">
        <v>418</v>
      </c>
      <c r="D51" t="s">
        <v>17</v>
      </c>
      <c r="E51" s="66">
        <v>131.76999999999998</v>
      </c>
      <c r="F51" s="66">
        <v>476.09999999999997</v>
      </c>
      <c r="G51" s="66">
        <v>715</v>
      </c>
      <c r="H51" s="66">
        <v>0</v>
      </c>
      <c r="I51" s="66">
        <v>715</v>
      </c>
      <c r="J51" s="66">
        <v>107.25</v>
      </c>
    </row>
    <row r="52" spans="1:13" x14ac:dyDescent="0.25">
      <c r="A52" s="24">
        <v>49</v>
      </c>
      <c r="B52" t="s">
        <v>441</v>
      </c>
      <c r="C52" t="s">
        <v>418</v>
      </c>
      <c r="D52" t="s">
        <v>17</v>
      </c>
      <c r="E52" s="66">
        <v>131.76999999999998</v>
      </c>
      <c r="F52" s="66">
        <v>476.09999999999997</v>
      </c>
      <c r="G52" s="66">
        <v>715</v>
      </c>
      <c r="H52" s="66">
        <v>0</v>
      </c>
      <c r="I52" s="66">
        <v>715</v>
      </c>
      <c r="J52" s="66">
        <v>107.25</v>
      </c>
    </row>
    <row r="53" spans="1:13" x14ac:dyDescent="0.25">
      <c r="A53" s="24">
        <v>50</v>
      </c>
      <c r="B53" t="s">
        <v>441</v>
      </c>
      <c r="C53" t="s">
        <v>418</v>
      </c>
      <c r="D53" t="s">
        <v>17</v>
      </c>
      <c r="E53" s="66">
        <v>131.76999999999998</v>
      </c>
      <c r="F53" s="66">
        <v>476.09999999999997</v>
      </c>
      <c r="G53" s="66">
        <v>715</v>
      </c>
      <c r="H53" s="66">
        <v>0</v>
      </c>
      <c r="I53" s="66">
        <v>715</v>
      </c>
      <c r="J53" s="66">
        <v>107.25</v>
      </c>
    </row>
    <row r="54" spans="1:13" x14ac:dyDescent="0.25">
      <c r="A54" s="24">
        <v>51</v>
      </c>
      <c r="B54" t="s">
        <v>443</v>
      </c>
      <c r="C54" t="s">
        <v>418</v>
      </c>
      <c r="D54" t="s">
        <v>17</v>
      </c>
      <c r="E54" s="66">
        <v>131.76999999999998</v>
      </c>
      <c r="F54" s="66">
        <v>476.09999999999997</v>
      </c>
      <c r="G54" s="66">
        <v>715</v>
      </c>
      <c r="H54" s="66">
        <v>0</v>
      </c>
      <c r="I54" s="66">
        <v>715</v>
      </c>
      <c r="J54" s="66">
        <v>107.25</v>
      </c>
    </row>
    <row r="55" spans="1:13" x14ac:dyDescent="0.25">
      <c r="A55" s="24">
        <v>52</v>
      </c>
      <c r="B55" t="s">
        <v>441</v>
      </c>
      <c r="C55" t="s">
        <v>418</v>
      </c>
      <c r="D55" t="s">
        <v>17</v>
      </c>
      <c r="E55" s="66">
        <v>131.76999999999998</v>
      </c>
      <c r="F55" s="66">
        <v>476.09999999999997</v>
      </c>
      <c r="G55" s="66">
        <v>715</v>
      </c>
      <c r="H55" s="66">
        <v>0</v>
      </c>
      <c r="I55" s="66">
        <v>715</v>
      </c>
      <c r="J55" s="66">
        <v>107.25</v>
      </c>
    </row>
    <row r="56" spans="1:13" x14ac:dyDescent="0.25">
      <c r="A56" s="24">
        <v>53</v>
      </c>
      <c r="B56" t="s">
        <v>441</v>
      </c>
      <c r="C56" t="s">
        <v>418</v>
      </c>
      <c r="D56" t="s">
        <v>17</v>
      </c>
      <c r="E56" s="66">
        <v>131.76999999999998</v>
      </c>
      <c r="F56" s="66">
        <v>476.09999999999997</v>
      </c>
      <c r="G56" s="66">
        <v>715</v>
      </c>
      <c r="H56" s="66">
        <v>0</v>
      </c>
      <c r="I56" s="66">
        <v>715</v>
      </c>
      <c r="J56" s="66">
        <v>107.25</v>
      </c>
    </row>
    <row r="57" spans="1:13" x14ac:dyDescent="0.25">
      <c r="A57" s="24">
        <v>54</v>
      </c>
      <c r="B57" t="s">
        <v>443</v>
      </c>
      <c r="C57" t="s">
        <v>418</v>
      </c>
      <c r="D57" t="s">
        <v>17</v>
      </c>
      <c r="E57" s="66">
        <v>131.76999999999998</v>
      </c>
      <c r="F57" s="66">
        <v>476.09999999999997</v>
      </c>
      <c r="G57" s="66">
        <v>715</v>
      </c>
      <c r="H57" s="66">
        <v>0</v>
      </c>
      <c r="I57" s="66">
        <v>715</v>
      </c>
      <c r="J57" s="66">
        <v>107.25</v>
      </c>
    </row>
    <row r="58" spans="1:13" x14ac:dyDescent="0.25">
      <c r="A58" s="24">
        <v>55</v>
      </c>
      <c r="B58" t="s">
        <v>442</v>
      </c>
      <c r="C58" t="s">
        <v>418</v>
      </c>
      <c r="D58" t="s">
        <v>17</v>
      </c>
      <c r="E58" s="66">
        <v>131.76999999999998</v>
      </c>
      <c r="F58" s="66">
        <v>476.09999999999997</v>
      </c>
      <c r="G58" s="66">
        <v>715</v>
      </c>
      <c r="H58" s="66">
        <v>0</v>
      </c>
      <c r="I58" s="66">
        <v>715</v>
      </c>
      <c r="J58" s="66">
        <v>107.25</v>
      </c>
    </row>
    <row r="59" spans="1:13" x14ac:dyDescent="0.25">
      <c r="A59" s="24">
        <v>56</v>
      </c>
      <c r="B59" t="s">
        <v>441</v>
      </c>
      <c r="C59" t="s">
        <v>418</v>
      </c>
      <c r="D59" t="s">
        <v>17</v>
      </c>
      <c r="E59" s="66">
        <v>131.76999999999998</v>
      </c>
      <c r="F59" s="66">
        <v>476.09999999999997</v>
      </c>
      <c r="G59" s="66">
        <v>715</v>
      </c>
      <c r="H59" s="66">
        <v>0</v>
      </c>
      <c r="I59" s="66">
        <v>715</v>
      </c>
      <c r="J59" s="66">
        <v>107.25</v>
      </c>
    </row>
    <row r="60" spans="1:13" x14ac:dyDescent="0.25">
      <c r="A60" s="24">
        <v>57</v>
      </c>
      <c r="B60" t="s">
        <v>442</v>
      </c>
      <c r="C60" t="s">
        <v>418</v>
      </c>
      <c r="D60" t="s">
        <v>17</v>
      </c>
      <c r="E60" s="66">
        <v>131.76999999999998</v>
      </c>
      <c r="F60" s="66">
        <v>476.09999999999997</v>
      </c>
      <c r="G60" s="66">
        <v>715</v>
      </c>
      <c r="H60" s="66">
        <v>0</v>
      </c>
      <c r="I60" s="66">
        <v>715</v>
      </c>
      <c r="J60" s="66">
        <v>107.25</v>
      </c>
    </row>
    <row r="61" spans="1:13" x14ac:dyDescent="0.25">
      <c r="A61" s="24">
        <v>58</v>
      </c>
      <c r="B61" t="s">
        <v>442</v>
      </c>
      <c r="C61" t="s">
        <v>418</v>
      </c>
      <c r="D61" t="s">
        <v>17</v>
      </c>
      <c r="E61" s="66">
        <v>131.76999999999998</v>
      </c>
      <c r="F61" s="66">
        <v>476.09999999999997</v>
      </c>
      <c r="G61" s="66">
        <v>715</v>
      </c>
      <c r="H61" s="66">
        <v>0</v>
      </c>
      <c r="I61" s="66">
        <v>715</v>
      </c>
      <c r="J61" s="66">
        <v>107.25</v>
      </c>
    </row>
    <row r="62" spans="1:13" x14ac:dyDescent="0.25">
      <c r="A62" s="24">
        <v>59</v>
      </c>
      <c r="B62" t="s">
        <v>442</v>
      </c>
      <c r="C62" t="s">
        <v>418</v>
      </c>
      <c r="D62" t="s">
        <v>17</v>
      </c>
      <c r="E62" s="66">
        <v>131.76999999999998</v>
      </c>
      <c r="F62" s="66">
        <v>476.09999999999997</v>
      </c>
      <c r="G62" s="66">
        <v>715</v>
      </c>
      <c r="H62" s="66">
        <v>0</v>
      </c>
      <c r="I62" s="66">
        <v>715</v>
      </c>
      <c r="J62" s="66">
        <v>107.25</v>
      </c>
      <c r="M62" t="s">
        <v>445</v>
      </c>
    </row>
    <row r="63" spans="1:13" x14ac:dyDescent="0.25">
      <c r="A63" s="24">
        <v>60</v>
      </c>
      <c r="B63" t="s">
        <v>442</v>
      </c>
      <c r="C63" t="s">
        <v>418</v>
      </c>
      <c r="D63" t="s">
        <v>17</v>
      </c>
      <c r="E63" s="66">
        <v>131.76999999999998</v>
      </c>
      <c r="F63" s="66">
        <v>476.09999999999997</v>
      </c>
      <c r="G63" s="66">
        <v>715</v>
      </c>
      <c r="H63" s="66">
        <v>0</v>
      </c>
      <c r="I63" s="66">
        <v>715</v>
      </c>
      <c r="J63" s="66">
        <v>107.25</v>
      </c>
    </row>
    <row r="64" spans="1:13" x14ac:dyDescent="0.25">
      <c r="A64" s="24">
        <v>61</v>
      </c>
      <c r="B64" t="s">
        <v>442</v>
      </c>
      <c r="C64" t="s">
        <v>418</v>
      </c>
      <c r="D64" t="s">
        <v>17</v>
      </c>
      <c r="E64" s="66">
        <v>131.76999999999998</v>
      </c>
      <c r="F64" s="66">
        <v>476.09999999999997</v>
      </c>
      <c r="G64" s="66">
        <v>715</v>
      </c>
      <c r="H64" s="66">
        <v>0</v>
      </c>
      <c r="I64" s="66">
        <v>715</v>
      </c>
      <c r="J64" s="66">
        <v>107.25</v>
      </c>
    </row>
    <row r="65" spans="1:10" x14ac:dyDescent="0.25">
      <c r="A65" s="24">
        <v>62</v>
      </c>
      <c r="B65" t="s">
        <v>442</v>
      </c>
      <c r="C65" t="s">
        <v>418</v>
      </c>
      <c r="D65" t="s">
        <v>15</v>
      </c>
      <c r="E65" s="66">
        <v>314.15999999999997</v>
      </c>
      <c r="F65" s="66">
        <v>658.49</v>
      </c>
      <c r="G65" s="66">
        <v>1120</v>
      </c>
      <c r="H65" s="66">
        <v>0</v>
      </c>
      <c r="I65" s="66">
        <v>1120</v>
      </c>
      <c r="J65" s="66">
        <v>168</v>
      </c>
    </row>
    <row r="66" spans="1:10" x14ac:dyDescent="0.25">
      <c r="A66" s="24">
        <v>63</v>
      </c>
      <c r="B66" t="s">
        <v>442</v>
      </c>
      <c r="C66" t="s">
        <v>418</v>
      </c>
      <c r="D66" t="s">
        <v>15</v>
      </c>
      <c r="E66" s="66">
        <v>314.15999999999997</v>
      </c>
      <c r="F66" s="66">
        <v>658.49</v>
      </c>
      <c r="G66" s="66">
        <v>1120</v>
      </c>
      <c r="H66" s="66">
        <v>0</v>
      </c>
      <c r="I66" s="66">
        <v>1120</v>
      </c>
      <c r="J66" s="66">
        <v>168</v>
      </c>
    </row>
    <row r="67" spans="1:10" x14ac:dyDescent="0.25">
      <c r="A67" s="24">
        <v>64</v>
      </c>
      <c r="B67" t="s">
        <v>443</v>
      </c>
      <c r="C67" t="s">
        <v>418</v>
      </c>
      <c r="D67" t="s">
        <v>15</v>
      </c>
      <c r="E67" s="66">
        <v>314.15999999999997</v>
      </c>
      <c r="F67" s="66">
        <v>658.49</v>
      </c>
      <c r="G67" s="66">
        <v>1120</v>
      </c>
      <c r="H67" s="66">
        <v>0</v>
      </c>
      <c r="I67" s="66">
        <v>1120</v>
      </c>
      <c r="J67" s="66">
        <v>168</v>
      </c>
    </row>
    <row r="68" spans="1:10" x14ac:dyDescent="0.25">
      <c r="A68" s="24">
        <v>65</v>
      </c>
      <c r="B68" t="s">
        <v>441</v>
      </c>
      <c r="C68" t="s">
        <v>418</v>
      </c>
      <c r="D68" t="s">
        <v>15</v>
      </c>
      <c r="E68" s="66">
        <v>314.15999999999997</v>
      </c>
      <c r="F68" s="66">
        <v>658.49</v>
      </c>
      <c r="G68" s="66">
        <v>1120</v>
      </c>
      <c r="H68" s="66">
        <v>0</v>
      </c>
      <c r="I68" s="66">
        <v>1120</v>
      </c>
      <c r="J68" s="66">
        <v>168</v>
      </c>
    </row>
    <row r="69" spans="1:10" x14ac:dyDescent="0.25">
      <c r="A69" s="24">
        <v>66</v>
      </c>
      <c r="B69" t="s">
        <v>442</v>
      </c>
      <c r="C69" t="s">
        <v>418</v>
      </c>
      <c r="D69" t="s">
        <v>15</v>
      </c>
      <c r="E69" s="66">
        <v>314.15999999999997</v>
      </c>
      <c r="F69" s="66">
        <v>658.49</v>
      </c>
      <c r="G69" s="66">
        <v>1120</v>
      </c>
      <c r="H69" s="66">
        <v>0</v>
      </c>
      <c r="I69" s="66">
        <v>1120</v>
      </c>
      <c r="J69" s="66">
        <v>168</v>
      </c>
    </row>
    <row r="70" spans="1:10" x14ac:dyDescent="0.25">
      <c r="A70" s="24">
        <v>154</v>
      </c>
      <c r="B70" t="s">
        <v>443</v>
      </c>
      <c r="C70" t="s">
        <v>420</v>
      </c>
      <c r="D70" t="s">
        <v>5</v>
      </c>
      <c r="E70" s="66">
        <v>163.13</v>
      </c>
      <c r="F70" s="66">
        <v>507.46</v>
      </c>
      <c r="G70" s="66">
        <v>762</v>
      </c>
      <c r="H70" s="66">
        <v>0</v>
      </c>
      <c r="I70" s="66">
        <v>762</v>
      </c>
      <c r="J70" s="66">
        <v>114.3</v>
      </c>
    </row>
    <row r="71" spans="1:10" x14ac:dyDescent="0.25">
      <c r="A71" s="24">
        <v>155</v>
      </c>
      <c r="B71" t="s">
        <v>443</v>
      </c>
      <c r="C71" t="s">
        <v>420</v>
      </c>
      <c r="D71" t="s">
        <v>5</v>
      </c>
      <c r="E71" s="66">
        <v>163.13</v>
      </c>
      <c r="F71" s="66">
        <v>507.46</v>
      </c>
      <c r="G71" s="66">
        <v>762</v>
      </c>
      <c r="H71" s="66">
        <v>0</v>
      </c>
      <c r="I71" s="66">
        <v>762</v>
      </c>
      <c r="J71" s="66">
        <v>114.3</v>
      </c>
    </row>
    <row r="72" spans="1:10" x14ac:dyDescent="0.25">
      <c r="A72" s="24">
        <v>156</v>
      </c>
      <c r="B72" t="s">
        <v>443</v>
      </c>
      <c r="C72" t="s">
        <v>420</v>
      </c>
      <c r="D72" t="s">
        <v>5</v>
      </c>
      <c r="E72" s="66">
        <v>163.13</v>
      </c>
      <c r="F72" s="66">
        <v>507.46</v>
      </c>
      <c r="G72" s="66">
        <v>762</v>
      </c>
      <c r="H72" s="66">
        <v>0</v>
      </c>
      <c r="I72" s="66">
        <v>762</v>
      </c>
      <c r="J72" s="66">
        <v>114.3</v>
      </c>
    </row>
    <row r="73" spans="1:10" x14ac:dyDescent="0.25">
      <c r="A73" s="24">
        <v>157</v>
      </c>
      <c r="B73" t="s">
        <v>443</v>
      </c>
      <c r="C73" t="s">
        <v>420</v>
      </c>
      <c r="D73" t="s">
        <v>5</v>
      </c>
      <c r="E73" s="66">
        <v>163.13</v>
      </c>
      <c r="F73" s="66">
        <v>507.46</v>
      </c>
      <c r="G73" s="66">
        <v>762</v>
      </c>
      <c r="H73" s="66">
        <v>0</v>
      </c>
      <c r="I73" s="66">
        <v>762</v>
      </c>
      <c r="J73" s="66">
        <v>114.3</v>
      </c>
    </row>
    <row r="74" spans="1:10" x14ac:dyDescent="0.25">
      <c r="A74" s="24">
        <v>158</v>
      </c>
      <c r="B74" t="s">
        <v>442</v>
      </c>
      <c r="C74" t="s">
        <v>420</v>
      </c>
      <c r="D74" t="s">
        <v>5</v>
      </c>
      <c r="E74" s="66">
        <v>163.13</v>
      </c>
      <c r="F74" s="66">
        <v>507.46</v>
      </c>
      <c r="G74" s="66">
        <v>762</v>
      </c>
      <c r="H74" s="66">
        <v>0</v>
      </c>
      <c r="I74" s="66">
        <v>762</v>
      </c>
      <c r="J74" s="66">
        <v>114.3</v>
      </c>
    </row>
    <row r="75" spans="1:10" x14ac:dyDescent="0.25">
      <c r="A75" s="24">
        <v>159</v>
      </c>
      <c r="B75" t="s">
        <v>442</v>
      </c>
      <c r="C75" t="s">
        <v>420</v>
      </c>
      <c r="D75" t="s">
        <v>5</v>
      </c>
      <c r="E75" s="66">
        <v>163.13</v>
      </c>
      <c r="F75" s="66">
        <v>507.46</v>
      </c>
      <c r="G75" s="66">
        <v>762</v>
      </c>
      <c r="H75" s="66">
        <v>0</v>
      </c>
      <c r="I75" s="66">
        <v>762</v>
      </c>
      <c r="J75" s="66">
        <v>114.3</v>
      </c>
    </row>
    <row r="76" spans="1:10" x14ac:dyDescent="0.25">
      <c r="A76" s="24">
        <v>160</v>
      </c>
      <c r="B76" t="s">
        <v>443</v>
      </c>
      <c r="C76" t="s">
        <v>420</v>
      </c>
      <c r="D76" t="s">
        <v>5</v>
      </c>
      <c r="E76" s="66">
        <v>163.13</v>
      </c>
      <c r="F76" s="66">
        <v>507.46</v>
      </c>
      <c r="G76" s="66">
        <v>762</v>
      </c>
      <c r="H76" s="66">
        <v>0</v>
      </c>
      <c r="I76" s="66">
        <v>762</v>
      </c>
      <c r="J76" s="66">
        <v>114.3</v>
      </c>
    </row>
    <row r="77" spans="1:10" x14ac:dyDescent="0.25">
      <c r="A77" s="24">
        <v>161</v>
      </c>
      <c r="B77" t="s">
        <v>441</v>
      </c>
      <c r="C77" t="s">
        <v>420</v>
      </c>
      <c r="D77" t="s">
        <v>5</v>
      </c>
      <c r="E77" s="66">
        <v>163.13</v>
      </c>
      <c r="F77" s="66">
        <v>507.46</v>
      </c>
      <c r="G77" s="66">
        <v>762</v>
      </c>
      <c r="H77" s="66">
        <v>0</v>
      </c>
      <c r="I77" s="66">
        <v>762</v>
      </c>
      <c r="J77" s="66">
        <v>114.3</v>
      </c>
    </row>
    <row r="78" spans="1:10" x14ac:dyDescent="0.25">
      <c r="A78" s="24">
        <v>162</v>
      </c>
      <c r="B78" t="s">
        <v>441</v>
      </c>
      <c r="C78" t="s">
        <v>420</v>
      </c>
      <c r="D78" t="s">
        <v>5</v>
      </c>
      <c r="E78" s="66">
        <v>163.13</v>
      </c>
      <c r="F78" s="66">
        <v>507.46</v>
      </c>
      <c r="G78" s="66">
        <v>762</v>
      </c>
      <c r="H78" s="66">
        <v>0</v>
      </c>
      <c r="I78" s="66">
        <v>762</v>
      </c>
      <c r="J78" s="66">
        <v>114.3</v>
      </c>
    </row>
    <row r="79" spans="1:10" x14ac:dyDescent="0.25">
      <c r="A79" s="24">
        <v>163</v>
      </c>
      <c r="B79" t="s">
        <v>441</v>
      </c>
      <c r="C79" t="s">
        <v>420</v>
      </c>
      <c r="D79" t="s">
        <v>5</v>
      </c>
      <c r="E79" s="66">
        <v>163.13</v>
      </c>
      <c r="F79" s="66">
        <v>507.46</v>
      </c>
      <c r="G79" s="66">
        <v>762</v>
      </c>
      <c r="H79" s="66">
        <v>0</v>
      </c>
      <c r="I79" s="66">
        <v>762</v>
      </c>
      <c r="J79" s="66">
        <v>114.3</v>
      </c>
    </row>
    <row r="80" spans="1:10" x14ac:dyDescent="0.25">
      <c r="A80" s="24">
        <v>164</v>
      </c>
      <c r="B80" t="s">
        <v>441</v>
      </c>
      <c r="C80" t="s">
        <v>420</v>
      </c>
      <c r="D80" t="s">
        <v>5</v>
      </c>
      <c r="E80" s="66">
        <v>163.13</v>
      </c>
      <c r="F80" s="66">
        <v>507.46</v>
      </c>
      <c r="G80" s="66">
        <v>762</v>
      </c>
      <c r="H80" s="66">
        <v>0</v>
      </c>
      <c r="I80" s="66">
        <v>762</v>
      </c>
      <c r="J80" s="66">
        <v>114.3</v>
      </c>
    </row>
    <row r="81" spans="1:10" x14ac:dyDescent="0.25">
      <c r="A81" s="24">
        <v>165</v>
      </c>
      <c r="B81" t="s">
        <v>441</v>
      </c>
      <c r="C81" t="s">
        <v>420</v>
      </c>
      <c r="D81" t="s">
        <v>5</v>
      </c>
      <c r="E81" s="66">
        <v>163.13</v>
      </c>
      <c r="F81" s="66">
        <v>507.46</v>
      </c>
      <c r="G81" s="66">
        <v>762</v>
      </c>
      <c r="H81" s="66">
        <v>0</v>
      </c>
      <c r="I81" s="66">
        <v>762</v>
      </c>
      <c r="J81" s="66">
        <v>114.3</v>
      </c>
    </row>
    <row r="82" spans="1:10" x14ac:dyDescent="0.25">
      <c r="A82" s="24">
        <v>166</v>
      </c>
      <c r="B82" t="s">
        <v>441</v>
      </c>
      <c r="C82" t="s">
        <v>420</v>
      </c>
      <c r="D82" t="s">
        <v>5</v>
      </c>
      <c r="E82" s="66">
        <v>163.13</v>
      </c>
      <c r="F82" s="66">
        <v>507.46</v>
      </c>
      <c r="G82" s="66">
        <v>762</v>
      </c>
      <c r="H82" s="66">
        <v>0</v>
      </c>
      <c r="I82" s="66">
        <v>762</v>
      </c>
      <c r="J82" s="66">
        <v>114.3</v>
      </c>
    </row>
    <row r="83" spans="1:10" x14ac:dyDescent="0.25">
      <c r="A83" s="24">
        <v>167</v>
      </c>
      <c r="B83" t="s">
        <v>442</v>
      </c>
      <c r="C83" t="s">
        <v>420</v>
      </c>
      <c r="D83" t="s">
        <v>5</v>
      </c>
      <c r="E83" s="66">
        <v>163.13</v>
      </c>
      <c r="F83" s="66">
        <v>507.46</v>
      </c>
      <c r="G83" s="66">
        <v>762</v>
      </c>
      <c r="H83" s="66">
        <v>0</v>
      </c>
      <c r="I83" s="66">
        <v>762</v>
      </c>
      <c r="J83" s="66">
        <v>114.3</v>
      </c>
    </row>
    <row r="84" spans="1:10" x14ac:dyDescent="0.25">
      <c r="A84" s="24">
        <v>168</v>
      </c>
      <c r="B84" t="s">
        <v>442</v>
      </c>
      <c r="C84" t="s">
        <v>420</v>
      </c>
      <c r="D84" t="s">
        <v>5</v>
      </c>
      <c r="E84" s="66">
        <v>163.13</v>
      </c>
      <c r="F84" s="66">
        <v>507.46</v>
      </c>
      <c r="G84" s="66">
        <v>762</v>
      </c>
      <c r="H84" s="66">
        <v>0</v>
      </c>
      <c r="I84" s="66">
        <v>762</v>
      </c>
      <c r="J84" s="66">
        <v>114.3</v>
      </c>
    </row>
    <row r="85" spans="1:10" x14ac:dyDescent="0.25">
      <c r="A85" s="24">
        <v>169</v>
      </c>
      <c r="B85" t="s">
        <v>442</v>
      </c>
      <c r="C85" t="s">
        <v>420</v>
      </c>
      <c r="D85" t="s">
        <v>5</v>
      </c>
      <c r="E85" s="66">
        <v>163.13</v>
      </c>
      <c r="F85" s="66">
        <v>507.46</v>
      </c>
      <c r="G85" s="66">
        <v>762</v>
      </c>
      <c r="H85" s="66">
        <v>0</v>
      </c>
      <c r="I85" s="66">
        <v>762</v>
      </c>
      <c r="J85" s="66">
        <v>114.3</v>
      </c>
    </row>
    <row r="86" spans="1:10" x14ac:dyDescent="0.25">
      <c r="A86" s="24">
        <v>170</v>
      </c>
      <c r="B86" t="s">
        <v>442</v>
      </c>
      <c r="C86" t="s">
        <v>420</v>
      </c>
      <c r="D86" t="s">
        <v>8</v>
      </c>
      <c r="E86" s="66">
        <v>97.2</v>
      </c>
      <c r="F86" s="66">
        <v>441.53</v>
      </c>
      <c r="G86" s="66">
        <v>619</v>
      </c>
      <c r="H86" s="66">
        <v>0</v>
      </c>
      <c r="I86" s="66">
        <v>619</v>
      </c>
      <c r="J86" s="66">
        <v>92.85</v>
      </c>
    </row>
    <row r="87" spans="1:10" x14ac:dyDescent="0.25">
      <c r="A87" s="24">
        <v>171</v>
      </c>
      <c r="B87" t="s">
        <v>442</v>
      </c>
      <c r="C87" t="s">
        <v>420</v>
      </c>
      <c r="D87" t="s">
        <v>8</v>
      </c>
      <c r="E87" s="66">
        <v>97.2</v>
      </c>
      <c r="F87" s="66">
        <v>441.53</v>
      </c>
      <c r="G87" s="66">
        <v>619</v>
      </c>
      <c r="H87" s="66">
        <v>0</v>
      </c>
      <c r="I87" s="66">
        <v>619</v>
      </c>
      <c r="J87" s="66">
        <v>92.85</v>
      </c>
    </row>
    <row r="88" spans="1:10" x14ac:dyDescent="0.25">
      <c r="A88" s="24">
        <v>172</v>
      </c>
      <c r="B88" t="s">
        <v>443</v>
      </c>
      <c r="C88" t="s">
        <v>420</v>
      </c>
      <c r="D88" t="s">
        <v>8</v>
      </c>
      <c r="E88" s="66">
        <v>97.2</v>
      </c>
      <c r="F88" s="66">
        <v>441.53</v>
      </c>
      <c r="G88" s="66">
        <v>619</v>
      </c>
      <c r="H88" s="66">
        <v>0</v>
      </c>
      <c r="I88" s="66">
        <v>619</v>
      </c>
      <c r="J88" s="66">
        <v>92.85</v>
      </c>
    </row>
    <row r="89" spans="1:10" x14ac:dyDescent="0.25">
      <c r="A89" s="24">
        <v>173</v>
      </c>
      <c r="B89" t="s">
        <v>443</v>
      </c>
      <c r="C89" t="s">
        <v>420</v>
      </c>
      <c r="D89" t="s">
        <v>8</v>
      </c>
      <c r="E89" s="66">
        <v>97.2</v>
      </c>
      <c r="F89" s="66">
        <v>441.53</v>
      </c>
      <c r="G89" s="66">
        <v>619</v>
      </c>
      <c r="H89" s="66">
        <v>0</v>
      </c>
      <c r="I89" s="66">
        <v>619</v>
      </c>
      <c r="J89" s="66">
        <v>92.85</v>
      </c>
    </row>
    <row r="90" spans="1:10" x14ac:dyDescent="0.25">
      <c r="A90" s="24">
        <v>174</v>
      </c>
      <c r="B90" t="s">
        <v>442</v>
      </c>
      <c r="C90" t="s">
        <v>420</v>
      </c>
      <c r="D90" t="s">
        <v>8</v>
      </c>
      <c r="E90" s="66">
        <v>97.2</v>
      </c>
      <c r="F90" s="66">
        <v>441.53</v>
      </c>
      <c r="G90" s="66">
        <v>619</v>
      </c>
      <c r="H90" s="66">
        <v>0</v>
      </c>
      <c r="I90" s="66">
        <v>619</v>
      </c>
      <c r="J90" s="66">
        <v>92.85</v>
      </c>
    </row>
    <row r="91" spans="1:10" x14ac:dyDescent="0.25">
      <c r="A91" s="24">
        <v>175</v>
      </c>
      <c r="B91" t="s">
        <v>442</v>
      </c>
      <c r="C91" t="s">
        <v>420</v>
      </c>
      <c r="D91" t="s">
        <v>8</v>
      </c>
      <c r="E91" s="66">
        <v>97.2</v>
      </c>
      <c r="F91" s="66">
        <v>441.53</v>
      </c>
      <c r="G91" s="66">
        <v>619</v>
      </c>
      <c r="H91" s="66">
        <v>0</v>
      </c>
      <c r="I91" s="66">
        <v>619</v>
      </c>
      <c r="J91" s="66">
        <v>92.85</v>
      </c>
    </row>
    <row r="92" spans="1:10" x14ac:dyDescent="0.25">
      <c r="A92" s="24">
        <v>176</v>
      </c>
      <c r="B92" t="s">
        <v>442</v>
      </c>
      <c r="C92" t="s">
        <v>420</v>
      </c>
      <c r="D92" t="s">
        <v>8</v>
      </c>
      <c r="E92" s="66">
        <v>97.2</v>
      </c>
      <c r="F92" s="66">
        <v>441.53</v>
      </c>
      <c r="G92" s="66">
        <v>619</v>
      </c>
      <c r="H92" s="66">
        <v>0</v>
      </c>
      <c r="I92" s="66">
        <v>619</v>
      </c>
      <c r="J92" s="66">
        <v>92.85</v>
      </c>
    </row>
    <row r="93" spans="1:10" x14ac:dyDescent="0.25">
      <c r="A93" s="24">
        <v>177</v>
      </c>
      <c r="B93" t="s">
        <v>443</v>
      </c>
      <c r="C93" t="s">
        <v>420</v>
      </c>
      <c r="D93" t="s">
        <v>8</v>
      </c>
      <c r="E93" s="66">
        <v>97.2</v>
      </c>
      <c r="F93" s="66">
        <v>441.53</v>
      </c>
      <c r="G93" s="66">
        <v>619</v>
      </c>
      <c r="H93" s="66">
        <v>0</v>
      </c>
      <c r="I93" s="66">
        <v>619</v>
      </c>
      <c r="J93" s="66">
        <v>92.85</v>
      </c>
    </row>
    <row r="94" spans="1:10" x14ac:dyDescent="0.25">
      <c r="A94" s="24">
        <v>178</v>
      </c>
      <c r="B94" t="s">
        <v>441</v>
      </c>
      <c r="C94" t="s">
        <v>420</v>
      </c>
      <c r="D94" t="s">
        <v>8</v>
      </c>
      <c r="E94" s="66">
        <v>97.2</v>
      </c>
      <c r="F94" s="66">
        <v>441.53</v>
      </c>
      <c r="G94" s="66">
        <v>619</v>
      </c>
      <c r="H94" s="66">
        <v>0</v>
      </c>
      <c r="I94" s="66">
        <v>619</v>
      </c>
      <c r="J94" s="66">
        <v>92.85</v>
      </c>
    </row>
    <row r="95" spans="1:10" x14ac:dyDescent="0.25">
      <c r="A95" s="24">
        <v>179</v>
      </c>
      <c r="B95" t="s">
        <v>443</v>
      </c>
      <c r="C95" t="s">
        <v>420</v>
      </c>
      <c r="D95" t="s">
        <v>8</v>
      </c>
      <c r="E95" s="66">
        <v>97.2</v>
      </c>
      <c r="F95" s="66">
        <v>441.53</v>
      </c>
      <c r="G95" s="66">
        <v>619</v>
      </c>
      <c r="H95" s="66">
        <v>0</v>
      </c>
      <c r="I95" s="66">
        <v>619</v>
      </c>
      <c r="J95" s="66">
        <v>92.85</v>
      </c>
    </row>
    <row r="96" spans="1:10" x14ac:dyDescent="0.25">
      <c r="A96" s="24">
        <v>180</v>
      </c>
      <c r="B96" t="s">
        <v>443</v>
      </c>
      <c r="C96" t="s">
        <v>420</v>
      </c>
      <c r="D96" t="s">
        <v>8</v>
      </c>
      <c r="E96" s="66">
        <v>97.2</v>
      </c>
      <c r="F96" s="66">
        <v>441.53</v>
      </c>
      <c r="G96" s="66">
        <v>619</v>
      </c>
      <c r="H96" s="66">
        <v>0</v>
      </c>
      <c r="I96" s="66">
        <v>619</v>
      </c>
      <c r="J96" s="66">
        <v>92.85</v>
      </c>
    </row>
    <row r="97" spans="1:10" x14ac:dyDescent="0.25">
      <c r="A97" s="24">
        <v>181</v>
      </c>
      <c r="B97" t="s">
        <v>442</v>
      </c>
      <c r="C97" t="s">
        <v>420</v>
      </c>
      <c r="D97" t="s">
        <v>8</v>
      </c>
      <c r="E97" s="66">
        <v>97.2</v>
      </c>
      <c r="F97" s="66">
        <v>441.53</v>
      </c>
      <c r="G97" s="66">
        <v>619</v>
      </c>
      <c r="H97" s="66">
        <v>0</v>
      </c>
      <c r="I97" s="66">
        <v>619</v>
      </c>
      <c r="J97" s="66">
        <v>92.85</v>
      </c>
    </row>
    <row r="98" spans="1:10" x14ac:dyDescent="0.25">
      <c r="A98" s="24">
        <v>182</v>
      </c>
      <c r="B98" t="s">
        <v>441</v>
      </c>
      <c r="C98" t="s">
        <v>420</v>
      </c>
      <c r="D98" t="s">
        <v>8</v>
      </c>
      <c r="E98" s="66">
        <v>97.2</v>
      </c>
      <c r="F98" s="66">
        <v>441.53</v>
      </c>
      <c r="G98" s="66">
        <v>619</v>
      </c>
      <c r="H98" s="66">
        <v>0</v>
      </c>
      <c r="I98" s="66">
        <v>619</v>
      </c>
      <c r="J98" s="66">
        <v>92.85</v>
      </c>
    </row>
    <row r="99" spans="1:10" x14ac:dyDescent="0.25">
      <c r="A99" s="24">
        <v>183</v>
      </c>
      <c r="B99" t="s">
        <v>443</v>
      </c>
      <c r="C99" t="s">
        <v>420</v>
      </c>
      <c r="D99" t="s">
        <v>8</v>
      </c>
      <c r="E99" s="66">
        <v>97.2</v>
      </c>
      <c r="F99" s="66">
        <v>441.53</v>
      </c>
      <c r="G99" s="66">
        <v>619</v>
      </c>
      <c r="H99" s="66">
        <v>0</v>
      </c>
      <c r="I99" s="66">
        <v>619</v>
      </c>
      <c r="J99" s="66">
        <v>92.85</v>
      </c>
    </row>
    <row r="100" spans="1:10" x14ac:dyDescent="0.25">
      <c r="A100" s="24">
        <v>184</v>
      </c>
      <c r="B100" t="s">
        <v>441</v>
      </c>
      <c r="C100" t="s">
        <v>420</v>
      </c>
      <c r="D100" t="s">
        <v>8</v>
      </c>
      <c r="E100" s="66">
        <v>97.2</v>
      </c>
      <c r="F100" s="66">
        <v>441.53</v>
      </c>
      <c r="G100" s="66">
        <v>619</v>
      </c>
      <c r="H100" s="66">
        <v>0</v>
      </c>
      <c r="I100" s="66">
        <v>619</v>
      </c>
      <c r="J100" s="66">
        <v>92.85</v>
      </c>
    </row>
    <row r="101" spans="1:10" x14ac:dyDescent="0.25">
      <c r="A101" s="24">
        <v>185</v>
      </c>
      <c r="B101" t="s">
        <v>442</v>
      </c>
      <c r="C101" t="s">
        <v>420</v>
      </c>
      <c r="D101" t="s">
        <v>8</v>
      </c>
      <c r="E101" s="66">
        <v>97.2</v>
      </c>
      <c r="F101" s="66">
        <v>441.53</v>
      </c>
      <c r="G101" s="66">
        <v>619</v>
      </c>
      <c r="H101" s="66">
        <v>0</v>
      </c>
      <c r="I101" s="66">
        <v>619</v>
      </c>
      <c r="J101" s="66">
        <v>92.85</v>
      </c>
    </row>
    <row r="102" spans="1:10" x14ac:dyDescent="0.25">
      <c r="A102" s="24">
        <v>186</v>
      </c>
      <c r="B102" t="s">
        <v>442</v>
      </c>
      <c r="C102" t="s">
        <v>420</v>
      </c>
      <c r="D102" t="s">
        <v>8</v>
      </c>
      <c r="E102" s="66">
        <v>97.2</v>
      </c>
      <c r="F102" s="66">
        <v>441.53</v>
      </c>
      <c r="G102" s="66">
        <v>619</v>
      </c>
      <c r="H102" s="66">
        <v>0</v>
      </c>
      <c r="I102" s="66">
        <v>619</v>
      </c>
      <c r="J102" s="66">
        <v>92.85</v>
      </c>
    </row>
    <row r="103" spans="1:10" x14ac:dyDescent="0.25">
      <c r="A103" s="24">
        <v>187</v>
      </c>
      <c r="B103" t="s">
        <v>443</v>
      </c>
      <c r="C103" t="s">
        <v>420</v>
      </c>
      <c r="D103" t="s">
        <v>8</v>
      </c>
      <c r="E103" s="66">
        <v>97.2</v>
      </c>
      <c r="F103" s="66">
        <v>441.53</v>
      </c>
      <c r="G103" s="66">
        <v>619</v>
      </c>
      <c r="H103" s="66">
        <v>0</v>
      </c>
      <c r="I103" s="66">
        <v>619</v>
      </c>
      <c r="J103" s="66">
        <v>92.85</v>
      </c>
    </row>
    <row r="104" spans="1:10" x14ac:dyDescent="0.25">
      <c r="A104" s="24">
        <v>188</v>
      </c>
      <c r="B104" t="s">
        <v>441</v>
      </c>
      <c r="C104" t="s">
        <v>420</v>
      </c>
      <c r="D104" t="s">
        <v>8</v>
      </c>
      <c r="E104" s="66">
        <v>97.2</v>
      </c>
      <c r="F104" s="66">
        <v>441.53</v>
      </c>
      <c r="G104" s="66">
        <v>619</v>
      </c>
      <c r="H104" s="66">
        <v>0</v>
      </c>
      <c r="I104" s="66">
        <v>619</v>
      </c>
      <c r="J104" s="66">
        <v>92.85</v>
      </c>
    </row>
    <row r="105" spans="1:10" x14ac:dyDescent="0.25">
      <c r="A105" s="24">
        <v>189</v>
      </c>
      <c r="B105" t="s">
        <v>441</v>
      </c>
      <c r="C105" t="s">
        <v>420</v>
      </c>
      <c r="D105" t="s">
        <v>8</v>
      </c>
      <c r="E105" s="66">
        <v>97.2</v>
      </c>
      <c r="F105" s="66">
        <v>441.53</v>
      </c>
      <c r="G105" s="66">
        <v>619</v>
      </c>
      <c r="H105" s="66">
        <v>0</v>
      </c>
      <c r="I105" s="66">
        <v>619</v>
      </c>
      <c r="J105" s="66">
        <v>92.85</v>
      </c>
    </row>
    <row r="106" spans="1:10" x14ac:dyDescent="0.25">
      <c r="A106" s="24">
        <v>190</v>
      </c>
      <c r="B106" t="s">
        <v>443</v>
      </c>
      <c r="C106" t="s">
        <v>420</v>
      </c>
      <c r="D106" t="s">
        <v>8</v>
      </c>
      <c r="E106" s="66">
        <v>97.2</v>
      </c>
      <c r="F106" s="66">
        <v>441.53</v>
      </c>
      <c r="G106" s="66">
        <v>619</v>
      </c>
      <c r="H106" s="66">
        <v>0</v>
      </c>
      <c r="I106" s="66">
        <v>619</v>
      </c>
      <c r="J106" s="66">
        <v>92.85</v>
      </c>
    </row>
    <row r="107" spans="1:10" x14ac:dyDescent="0.25">
      <c r="A107" s="24">
        <v>191</v>
      </c>
      <c r="B107" t="s">
        <v>441</v>
      </c>
      <c r="C107" t="s">
        <v>420</v>
      </c>
      <c r="D107" t="s">
        <v>8</v>
      </c>
      <c r="E107" s="66">
        <v>97.2</v>
      </c>
      <c r="F107" s="66">
        <v>441.53</v>
      </c>
      <c r="G107" s="66">
        <v>619</v>
      </c>
      <c r="H107" s="66">
        <v>0</v>
      </c>
      <c r="I107" s="66">
        <v>619</v>
      </c>
      <c r="J107" s="66">
        <v>92.85</v>
      </c>
    </row>
    <row r="108" spans="1:10" x14ac:dyDescent="0.25">
      <c r="A108" s="24">
        <v>192</v>
      </c>
      <c r="B108" t="s">
        <v>442</v>
      </c>
      <c r="C108" t="s">
        <v>420</v>
      </c>
      <c r="D108" t="s">
        <v>8</v>
      </c>
      <c r="E108" s="66">
        <v>97.2</v>
      </c>
      <c r="F108" s="66">
        <v>441.53</v>
      </c>
      <c r="G108" s="66">
        <v>619</v>
      </c>
      <c r="H108" s="66">
        <v>0.03</v>
      </c>
      <c r="I108" s="66">
        <v>601</v>
      </c>
      <c r="J108" s="66">
        <v>90.149999999999991</v>
      </c>
    </row>
    <row r="109" spans="1:10" x14ac:dyDescent="0.25">
      <c r="A109" s="24">
        <v>193</v>
      </c>
      <c r="B109" t="s">
        <v>443</v>
      </c>
      <c r="C109" t="s">
        <v>420</v>
      </c>
      <c r="D109" t="s">
        <v>22</v>
      </c>
      <c r="E109" s="66">
        <v>119.43</v>
      </c>
      <c r="F109" s="66">
        <v>463.76</v>
      </c>
      <c r="G109" s="66">
        <v>696</v>
      </c>
      <c r="H109" s="66">
        <v>0</v>
      </c>
      <c r="I109" s="66">
        <v>696</v>
      </c>
      <c r="J109" s="66">
        <v>104.39999999999999</v>
      </c>
    </row>
    <row r="110" spans="1:10" x14ac:dyDescent="0.25">
      <c r="A110" s="24">
        <v>194</v>
      </c>
      <c r="B110" t="s">
        <v>441</v>
      </c>
      <c r="C110" t="s">
        <v>420</v>
      </c>
      <c r="D110" t="s">
        <v>22</v>
      </c>
      <c r="E110" s="66">
        <v>119.43</v>
      </c>
      <c r="F110" s="66">
        <v>463.76</v>
      </c>
      <c r="G110" s="66">
        <v>696</v>
      </c>
      <c r="H110" s="66">
        <v>0</v>
      </c>
      <c r="I110" s="66">
        <v>696</v>
      </c>
      <c r="J110" s="66">
        <v>104.39999999999999</v>
      </c>
    </row>
    <row r="111" spans="1:10" x14ac:dyDescent="0.25">
      <c r="A111" s="24">
        <v>195</v>
      </c>
      <c r="B111" t="s">
        <v>441</v>
      </c>
      <c r="C111" t="s">
        <v>420</v>
      </c>
      <c r="D111" t="s">
        <v>22</v>
      </c>
      <c r="E111" s="66">
        <v>119.43</v>
      </c>
      <c r="F111" s="66">
        <v>463.76</v>
      </c>
      <c r="G111" s="66">
        <v>696</v>
      </c>
      <c r="H111" s="66">
        <v>0</v>
      </c>
      <c r="I111" s="66">
        <v>696</v>
      </c>
      <c r="J111" s="66">
        <v>104.39999999999999</v>
      </c>
    </row>
    <row r="112" spans="1:10" x14ac:dyDescent="0.25">
      <c r="A112" s="24">
        <v>196</v>
      </c>
      <c r="B112" t="s">
        <v>443</v>
      </c>
      <c r="C112" t="s">
        <v>420</v>
      </c>
      <c r="D112" t="s">
        <v>22</v>
      </c>
      <c r="E112" s="66">
        <v>119.43</v>
      </c>
      <c r="F112" s="66">
        <v>463.76</v>
      </c>
      <c r="G112" s="66">
        <v>696</v>
      </c>
      <c r="H112" s="66">
        <v>0</v>
      </c>
      <c r="I112" s="66">
        <v>696</v>
      </c>
      <c r="J112" s="66">
        <v>104.39999999999999</v>
      </c>
    </row>
    <row r="113" spans="1:10" x14ac:dyDescent="0.25">
      <c r="A113" s="24">
        <v>197</v>
      </c>
      <c r="B113" t="s">
        <v>441</v>
      </c>
      <c r="C113" t="s">
        <v>420</v>
      </c>
      <c r="D113" t="s">
        <v>22</v>
      </c>
      <c r="E113" s="66">
        <v>119.43</v>
      </c>
      <c r="F113" s="66">
        <v>463.76</v>
      </c>
      <c r="G113" s="66">
        <v>696</v>
      </c>
      <c r="H113" s="66">
        <v>0</v>
      </c>
      <c r="I113" s="66">
        <v>696</v>
      </c>
      <c r="J113" s="66">
        <v>104.39999999999999</v>
      </c>
    </row>
    <row r="114" spans="1:10" x14ac:dyDescent="0.25">
      <c r="A114" s="24">
        <v>198</v>
      </c>
      <c r="B114" t="s">
        <v>441</v>
      </c>
      <c r="C114" t="s">
        <v>420</v>
      </c>
      <c r="D114" t="s">
        <v>22</v>
      </c>
      <c r="E114" s="66">
        <v>119.43</v>
      </c>
      <c r="F114" s="66">
        <v>463.76</v>
      </c>
      <c r="G114" s="66">
        <v>696</v>
      </c>
      <c r="H114" s="66">
        <v>0</v>
      </c>
      <c r="I114" s="66">
        <v>696</v>
      </c>
      <c r="J114" s="66">
        <v>104.39999999999999</v>
      </c>
    </row>
    <row r="115" spans="1:10" x14ac:dyDescent="0.25">
      <c r="A115" s="24">
        <v>199</v>
      </c>
      <c r="B115" t="s">
        <v>443</v>
      </c>
      <c r="C115" t="s">
        <v>420</v>
      </c>
      <c r="D115" t="s">
        <v>22</v>
      </c>
      <c r="E115" s="66">
        <v>119.43</v>
      </c>
      <c r="F115" s="66">
        <v>463.76</v>
      </c>
      <c r="G115" s="66">
        <v>696</v>
      </c>
      <c r="H115" s="66">
        <v>0</v>
      </c>
      <c r="I115" s="66">
        <v>696</v>
      </c>
      <c r="J115" s="66">
        <v>104.39999999999999</v>
      </c>
    </row>
    <row r="116" spans="1:10" x14ac:dyDescent="0.25">
      <c r="A116" s="24">
        <v>200</v>
      </c>
      <c r="B116" t="s">
        <v>443</v>
      </c>
      <c r="C116" t="s">
        <v>420</v>
      </c>
      <c r="D116" t="s">
        <v>22</v>
      </c>
      <c r="E116" s="66">
        <v>119.43</v>
      </c>
      <c r="F116" s="66">
        <v>463.76</v>
      </c>
      <c r="G116" s="66">
        <v>696</v>
      </c>
      <c r="H116" s="66">
        <v>0</v>
      </c>
      <c r="I116" s="66">
        <v>696</v>
      </c>
      <c r="J116" s="66">
        <v>104.39999999999999</v>
      </c>
    </row>
    <row r="117" spans="1:10" x14ac:dyDescent="0.25">
      <c r="A117" s="24">
        <v>201</v>
      </c>
      <c r="B117" t="s">
        <v>443</v>
      </c>
      <c r="C117" t="s">
        <v>420</v>
      </c>
      <c r="D117" t="s">
        <v>22</v>
      </c>
      <c r="E117" s="66">
        <v>119.43</v>
      </c>
      <c r="F117" s="66">
        <v>463.76</v>
      </c>
      <c r="G117" s="66">
        <v>696</v>
      </c>
      <c r="H117" s="66">
        <v>0</v>
      </c>
      <c r="I117" s="66">
        <v>696</v>
      </c>
      <c r="J117" s="66">
        <v>104.39999999999999</v>
      </c>
    </row>
    <row r="118" spans="1:10" x14ac:dyDescent="0.25">
      <c r="A118" s="24">
        <v>202</v>
      </c>
      <c r="B118" t="s">
        <v>441</v>
      </c>
      <c r="C118" t="s">
        <v>420</v>
      </c>
      <c r="D118" t="s">
        <v>22</v>
      </c>
      <c r="E118" s="66">
        <v>119.43</v>
      </c>
      <c r="F118" s="66">
        <v>463.76</v>
      </c>
      <c r="G118" s="66">
        <v>696</v>
      </c>
      <c r="H118" s="66">
        <v>0</v>
      </c>
      <c r="I118" s="66">
        <v>696</v>
      </c>
      <c r="J118" s="66">
        <v>104.39999999999999</v>
      </c>
    </row>
    <row r="119" spans="1:10" x14ac:dyDescent="0.25">
      <c r="A119" s="24">
        <v>203</v>
      </c>
      <c r="B119" t="s">
        <v>441</v>
      </c>
      <c r="C119" t="s">
        <v>420</v>
      </c>
      <c r="D119" t="s">
        <v>22</v>
      </c>
      <c r="E119" s="66">
        <v>119.43</v>
      </c>
      <c r="F119" s="66">
        <v>463.76</v>
      </c>
      <c r="G119" s="66">
        <v>696</v>
      </c>
      <c r="H119" s="66">
        <v>0</v>
      </c>
      <c r="I119" s="66">
        <v>696</v>
      </c>
      <c r="J119" s="66">
        <v>104.39999999999999</v>
      </c>
    </row>
    <row r="120" spans="1:10" x14ac:dyDescent="0.25">
      <c r="A120" s="24">
        <v>204</v>
      </c>
      <c r="B120" t="s">
        <v>443</v>
      </c>
      <c r="C120" t="s">
        <v>420</v>
      </c>
      <c r="D120" t="s">
        <v>22</v>
      </c>
      <c r="E120" s="66">
        <v>119.43</v>
      </c>
      <c r="F120" s="66">
        <v>463.76</v>
      </c>
      <c r="G120" s="66">
        <v>696</v>
      </c>
      <c r="H120" s="66">
        <v>0.03</v>
      </c>
      <c r="I120" s="66">
        <v>676</v>
      </c>
      <c r="J120" s="66">
        <v>101.39999999999999</v>
      </c>
    </row>
    <row r="121" spans="1:10" x14ac:dyDescent="0.25">
      <c r="A121" s="24">
        <v>205</v>
      </c>
      <c r="B121" t="s">
        <v>443</v>
      </c>
      <c r="C121" t="s">
        <v>420</v>
      </c>
      <c r="D121" t="s">
        <v>22</v>
      </c>
      <c r="E121" s="66">
        <v>119.43</v>
      </c>
      <c r="F121" s="66">
        <v>463.76</v>
      </c>
      <c r="G121" s="66">
        <v>696</v>
      </c>
      <c r="H121" s="66">
        <v>0</v>
      </c>
      <c r="I121" s="66">
        <v>696</v>
      </c>
      <c r="J121" s="66">
        <v>104.39999999999999</v>
      </c>
    </row>
    <row r="122" spans="1:10" x14ac:dyDescent="0.25">
      <c r="A122" s="24">
        <v>206</v>
      </c>
      <c r="B122" t="s">
        <v>441</v>
      </c>
      <c r="C122" t="s">
        <v>420</v>
      </c>
      <c r="D122" t="s">
        <v>37</v>
      </c>
      <c r="E122" s="66">
        <v>109.24000000000001</v>
      </c>
      <c r="F122" s="66">
        <v>453.57</v>
      </c>
      <c r="G122" s="66">
        <v>681</v>
      </c>
      <c r="H122" s="66">
        <v>0</v>
      </c>
      <c r="I122" s="66">
        <v>681</v>
      </c>
      <c r="J122" s="66">
        <v>102.14999999999999</v>
      </c>
    </row>
    <row r="123" spans="1:10" x14ac:dyDescent="0.25">
      <c r="A123" s="24">
        <v>207</v>
      </c>
      <c r="B123" t="s">
        <v>441</v>
      </c>
      <c r="C123" t="s">
        <v>420</v>
      </c>
      <c r="D123" t="s">
        <v>37</v>
      </c>
      <c r="E123" s="66">
        <v>109.24000000000001</v>
      </c>
      <c r="F123" s="66">
        <v>453.57</v>
      </c>
      <c r="G123" s="66">
        <v>681</v>
      </c>
      <c r="H123" s="66">
        <v>0</v>
      </c>
      <c r="I123" s="66">
        <v>681</v>
      </c>
      <c r="J123" s="66">
        <v>102.14999999999999</v>
      </c>
    </row>
    <row r="124" spans="1:10" x14ac:dyDescent="0.25">
      <c r="A124" s="24">
        <v>208</v>
      </c>
      <c r="B124" t="s">
        <v>442</v>
      </c>
      <c r="C124" t="s">
        <v>420</v>
      </c>
      <c r="D124" t="s">
        <v>37</v>
      </c>
      <c r="E124" s="66">
        <v>109.24000000000001</v>
      </c>
      <c r="F124" s="66">
        <v>453.57</v>
      </c>
      <c r="G124" s="66">
        <v>681</v>
      </c>
      <c r="H124" s="66">
        <v>0</v>
      </c>
      <c r="I124" s="66">
        <v>681</v>
      </c>
      <c r="J124" s="66">
        <v>102.14999999999999</v>
      </c>
    </row>
    <row r="125" spans="1:10" x14ac:dyDescent="0.25">
      <c r="A125" s="24">
        <v>209</v>
      </c>
      <c r="B125" t="s">
        <v>441</v>
      </c>
      <c r="C125" t="s">
        <v>420</v>
      </c>
      <c r="D125" t="s">
        <v>37</v>
      </c>
      <c r="E125" s="66">
        <v>109.24000000000001</v>
      </c>
      <c r="F125" s="66">
        <v>453.57</v>
      </c>
      <c r="G125" s="66">
        <v>681</v>
      </c>
      <c r="H125" s="66">
        <v>0.05</v>
      </c>
      <c r="I125" s="66">
        <v>647</v>
      </c>
      <c r="J125" s="66">
        <v>97.05</v>
      </c>
    </row>
    <row r="126" spans="1:10" x14ac:dyDescent="0.25">
      <c r="A126" s="24">
        <v>210</v>
      </c>
      <c r="B126" t="s">
        <v>443</v>
      </c>
      <c r="C126" t="s">
        <v>420</v>
      </c>
      <c r="D126" t="s">
        <v>37</v>
      </c>
      <c r="E126" s="66">
        <v>109.24000000000001</v>
      </c>
      <c r="F126" s="66">
        <v>453.57</v>
      </c>
      <c r="G126" s="66">
        <v>681</v>
      </c>
      <c r="H126" s="66">
        <v>0</v>
      </c>
      <c r="I126" s="66">
        <v>681</v>
      </c>
      <c r="J126" s="66">
        <v>102.14999999999999</v>
      </c>
    </row>
    <row r="127" spans="1:10" x14ac:dyDescent="0.25">
      <c r="A127" s="24">
        <v>211</v>
      </c>
      <c r="B127" t="s">
        <v>443</v>
      </c>
      <c r="C127" t="s">
        <v>420</v>
      </c>
      <c r="D127" t="s">
        <v>37</v>
      </c>
      <c r="E127" s="66">
        <v>109.24000000000001</v>
      </c>
      <c r="F127" s="66">
        <v>453.57</v>
      </c>
      <c r="G127" s="66">
        <v>681</v>
      </c>
      <c r="H127" s="66">
        <v>0</v>
      </c>
      <c r="I127" s="66">
        <v>681</v>
      </c>
      <c r="J127" s="66">
        <v>102.14999999999999</v>
      </c>
    </row>
    <row r="128" spans="1:10" x14ac:dyDescent="0.25">
      <c r="A128" s="24">
        <v>212</v>
      </c>
      <c r="B128" t="s">
        <v>442</v>
      </c>
      <c r="C128" t="s">
        <v>420</v>
      </c>
      <c r="D128" t="s">
        <v>37</v>
      </c>
      <c r="E128" s="66">
        <v>109.24000000000001</v>
      </c>
      <c r="F128" s="66">
        <v>453.57</v>
      </c>
      <c r="G128" s="66">
        <v>681</v>
      </c>
      <c r="H128" s="66">
        <v>0</v>
      </c>
      <c r="I128" s="66">
        <v>681</v>
      </c>
      <c r="J128" s="66">
        <v>102.14999999999999</v>
      </c>
    </row>
    <row r="129" spans="1:10" x14ac:dyDescent="0.25">
      <c r="A129" s="24">
        <v>213</v>
      </c>
      <c r="B129" t="s">
        <v>443</v>
      </c>
      <c r="C129" t="s">
        <v>420</v>
      </c>
      <c r="D129" t="s">
        <v>37</v>
      </c>
      <c r="E129" s="66">
        <v>109.24000000000001</v>
      </c>
      <c r="F129" s="66">
        <v>453.57</v>
      </c>
      <c r="G129" s="66">
        <v>681</v>
      </c>
      <c r="H129" s="66">
        <v>0</v>
      </c>
      <c r="I129" s="66">
        <v>681</v>
      </c>
      <c r="J129" s="66">
        <v>102.14999999999999</v>
      </c>
    </row>
    <row r="130" spans="1:10" x14ac:dyDescent="0.25">
      <c r="A130" s="24">
        <v>214</v>
      </c>
      <c r="B130" t="s">
        <v>441</v>
      </c>
      <c r="C130" t="s">
        <v>420</v>
      </c>
      <c r="D130" t="s">
        <v>37</v>
      </c>
      <c r="E130" s="66">
        <v>109.24000000000001</v>
      </c>
      <c r="F130" s="66">
        <v>453.57</v>
      </c>
      <c r="G130" s="66">
        <v>681</v>
      </c>
      <c r="H130" s="66">
        <v>0</v>
      </c>
      <c r="I130" s="66">
        <v>681</v>
      </c>
      <c r="J130" s="66">
        <v>102.14999999999999</v>
      </c>
    </row>
    <row r="131" spans="1:10" x14ac:dyDescent="0.25">
      <c r="A131" s="24">
        <v>215</v>
      </c>
      <c r="B131" t="s">
        <v>441</v>
      </c>
      <c r="C131" t="s">
        <v>420</v>
      </c>
      <c r="D131" t="s">
        <v>37</v>
      </c>
      <c r="E131" s="66">
        <v>109.24000000000001</v>
      </c>
      <c r="F131" s="66">
        <v>453.57</v>
      </c>
      <c r="G131" s="66">
        <v>681</v>
      </c>
      <c r="H131" s="66">
        <v>0</v>
      </c>
      <c r="I131" s="66">
        <v>681</v>
      </c>
      <c r="J131" s="66">
        <v>102.14999999999999</v>
      </c>
    </row>
    <row r="132" spans="1:10" x14ac:dyDescent="0.25">
      <c r="A132" s="24">
        <v>216</v>
      </c>
      <c r="B132" t="s">
        <v>442</v>
      </c>
      <c r="C132" t="s">
        <v>420</v>
      </c>
      <c r="D132" t="s">
        <v>37</v>
      </c>
      <c r="E132" s="66">
        <v>109.24000000000001</v>
      </c>
      <c r="F132" s="66">
        <v>453.57</v>
      </c>
      <c r="G132" s="66">
        <v>681</v>
      </c>
      <c r="H132" s="66">
        <v>0</v>
      </c>
      <c r="I132" s="66">
        <v>681</v>
      </c>
      <c r="J132" s="66">
        <v>102.14999999999999</v>
      </c>
    </row>
    <row r="133" spans="1:10" x14ac:dyDescent="0.25">
      <c r="A133" s="24">
        <v>217</v>
      </c>
      <c r="B133" t="s">
        <v>441</v>
      </c>
      <c r="C133" t="s">
        <v>420</v>
      </c>
      <c r="D133" t="s">
        <v>37</v>
      </c>
      <c r="E133" s="66">
        <v>109.24000000000001</v>
      </c>
      <c r="F133" s="66">
        <v>453.57</v>
      </c>
      <c r="G133" s="66">
        <v>681</v>
      </c>
      <c r="H133" s="66">
        <v>0</v>
      </c>
      <c r="I133" s="66">
        <v>681</v>
      </c>
      <c r="J133" s="66">
        <v>102.14999999999999</v>
      </c>
    </row>
    <row r="134" spans="1:10" x14ac:dyDescent="0.25">
      <c r="A134" s="24">
        <v>218</v>
      </c>
      <c r="B134" t="s">
        <v>442</v>
      </c>
      <c r="C134" t="s">
        <v>420</v>
      </c>
      <c r="D134" t="s">
        <v>37</v>
      </c>
      <c r="E134" s="66">
        <v>109.24000000000001</v>
      </c>
      <c r="F134" s="66">
        <v>453.57</v>
      </c>
      <c r="G134" s="66">
        <v>681</v>
      </c>
      <c r="H134" s="66">
        <v>0</v>
      </c>
      <c r="I134" s="66">
        <v>681</v>
      </c>
      <c r="J134" s="66">
        <v>102.14999999999999</v>
      </c>
    </row>
    <row r="135" spans="1:10" x14ac:dyDescent="0.25">
      <c r="A135" s="24">
        <v>219</v>
      </c>
      <c r="B135" t="s">
        <v>442</v>
      </c>
      <c r="C135" t="s">
        <v>420</v>
      </c>
      <c r="D135" t="s">
        <v>17</v>
      </c>
      <c r="E135" s="66">
        <v>131.76999999999998</v>
      </c>
      <c r="F135" s="66">
        <v>476.09999999999997</v>
      </c>
      <c r="G135" s="66">
        <v>715</v>
      </c>
      <c r="H135" s="66">
        <v>0</v>
      </c>
      <c r="I135" s="66">
        <v>715</v>
      </c>
      <c r="J135" s="66">
        <v>107.25</v>
      </c>
    </row>
    <row r="136" spans="1:10" x14ac:dyDescent="0.25">
      <c r="A136" s="24">
        <v>220</v>
      </c>
      <c r="B136" t="s">
        <v>443</v>
      </c>
      <c r="C136" t="s">
        <v>420</v>
      </c>
      <c r="D136" t="s">
        <v>17</v>
      </c>
      <c r="E136" s="66">
        <v>131.76999999999998</v>
      </c>
      <c r="F136" s="66">
        <v>476.09999999999997</v>
      </c>
      <c r="G136" s="66">
        <v>715</v>
      </c>
      <c r="H136" s="66">
        <v>0</v>
      </c>
      <c r="I136" s="66">
        <v>715</v>
      </c>
      <c r="J136" s="66">
        <v>107.25</v>
      </c>
    </row>
    <row r="137" spans="1:10" x14ac:dyDescent="0.25">
      <c r="A137" s="24">
        <v>221</v>
      </c>
      <c r="B137" t="s">
        <v>443</v>
      </c>
      <c r="C137" t="s">
        <v>420</v>
      </c>
      <c r="D137" t="s">
        <v>17</v>
      </c>
      <c r="E137" s="66">
        <v>131.76999999999998</v>
      </c>
      <c r="F137" s="66">
        <v>476.09999999999997</v>
      </c>
      <c r="G137" s="66">
        <v>715</v>
      </c>
      <c r="H137" s="66">
        <v>0</v>
      </c>
      <c r="I137" s="66">
        <v>715</v>
      </c>
      <c r="J137" s="66">
        <v>107.25</v>
      </c>
    </row>
    <row r="138" spans="1:10" x14ac:dyDescent="0.25">
      <c r="A138" s="24">
        <v>222</v>
      </c>
      <c r="B138" t="s">
        <v>443</v>
      </c>
      <c r="C138" t="s">
        <v>420</v>
      </c>
      <c r="D138" t="s">
        <v>17</v>
      </c>
      <c r="E138" s="66">
        <v>131.76999999999998</v>
      </c>
      <c r="F138" s="66">
        <v>476.09999999999997</v>
      </c>
      <c r="G138" s="66">
        <v>715</v>
      </c>
      <c r="H138" s="66">
        <v>0</v>
      </c>
      <c r="I138" s="66">
        <v>715</v>
      </c>
      <c r="J138" s="66">
        <v>107.25</v>
      </c>
    </row>
    <row r="139" spans="1:10" x14ac:dyDescent="0.25">
      <c r="A139" s="24">
        <v>223</v>
      </c>
      <c r="B139" t="s">
        <v>441</v>
      </c>
      <c r="C139" t="s">
        <v>420</v>
      </c>
      <c r="D139" t="s">
        <v>17</v>
      </c>
      <c r="E139" s="66">
        <v>131.76999999999998</v>
      </c>
      <c r="F139" s="66">
        <v>476.09999999999997</v>
      </c>
      <c r="G139" s="66">
        <v>715</v>
      </c>
      <c r="H139" s="66">
        <v>0</v>
      </c>
      <c r="I139" s="66">
        <v>715</v>
      </c>
      <c r="J139" s="66">
        <v>107.25</v>
      </c>
    </row>
    <row r="140" spans="1:10" x14ac:dyDescent="0.25">
      <c r="A140" s="24">
        <v>224</v>
      </c>
      <c r="B140" t="s">
        <v>443</v>
      </c>
      <c r="C140" t="s">
        <v>420</v>
      </c>
      <c r="D140" t="s">
        <v>17</v>
      </c>
      <c r="E140" s="66">
        <v>131.76999999999998</v>
      </c>
      <c r="F140" s="66">
        <v>476.09999999999997</v>
      </c>
      <c r="G140" s="66">
        <v>715</v>
      </c>
      <c r="H140" s="66">
        <v>0</v>
      </c>
      <c r="I140" s="66">
        <v>715</v>
      </c>
      <c r="J140" s="66">
        <v>107.25</v>
      </c>
    </row>
    <row r="141" spans="1:10" x14ac:dyDescent="0.25">
      <c r="A141" s="24">
        <v>225</v>
      </c>
      <c r="B141" t="s">
        <v>443</v>
      </c>
      <c r="C141" t="s">
        <v>420</v>
      </c>
      <c r="D141" t="s">
        <v>17</v>
      </c>
      <c r="E141" s="66">
        <v>131.76999999999998</v>
      </c>
      <c r="F141" s="66">
        <v>476.09999999999997</v>
      </c>
      <c r="G141" s="66">
        <v>715</v>
      </c>
      <c r="H141" s="66">
        <v>0</v>
      </c>
      <c r="I141" s="66">
        <v>715</v>
      </c>
      <c r="J141" s="66">
        <v>107.25</v>
      </c>
    </row>
    <row r="142" spans="1:10" x14ac:dyDescent="0.25">
      <c r="A142" s="24">
        <v>226</v>
      </c>
      <c r="B142" t="s">
        <v>443</v>
      </c>
      <c r="C142" t="s">
        <v>420</v>
      </c>
      <c r="D142" t="s">
        <v>17</v>
      </c>
      <c r="E142" s="66">
        <v>131.76999999999998</v>
      </c>
      <c r="F142" s="66">
        <v>476.09999999999997</v>
      </c>
      <c r="G142" s="66">
        <v>715</v>
      </c>
      <c r="H142" s="66">
        <v>0</v>
      </c>
      <c r="I142" s="66">
        <v>715</v>
      </c>
      <c r="J142" s="66">
        <v>107.25</v>
      </c>
    </row>
    <row r="143" spans="1:10" x14ac:dyDescent="0.25">
      <c r="A143" s="24">
        <v>227</v>
      </c>
      <c r="B143" t="s">
        <v>441</v>
      </c>
      <c r="C143" t="s">
        <v>420</v>
      </c>
      <c r="D143" t="s">
        <v>17</v>
      </c>
      <c r="E143" s="66">
        <v>131.76999999999998</v>
      </c>
      <c r="F143" s="66">
        <v>476.09999999999997</v>
      </c>
      <c r="G143" s="66">
        <v>715</v>
      </c>
      <c r="H143" s="66">
        <v>0</v>
      </c>
      <c r="I143" s="66">
        <v>715</v>
      </c>
      <c r="J143" s="66">
        <v>107.25</v>
      </c>
    </row>
    <row r="144" spans="1:10" x14ac:dyDescent="0.25">
      <c r="A144" s="24">
        <v>228</v>
      </c>
      <c r="B144" t="s">
        <v>442</v>
      </c>
      <c r="C144" t="s">
        <v>420</v>
      </c>
      <c r="D144" t="s">
        <v>17</v>
      </c>
      <c r="E144" s="66">
        <v>131.76999999999998</v>
      </c>
      <c r="F144" s="66">
        <v>476.09999999999997</v>
      </c>
      <c r="G144" s="66">
        <v>715</v>
      </c>
      <c r="H144" s="66">
        <v>0</v>
      </c>
      <c r="I144" s="66">
        <v>715</v>
      </c>
      <c r="J144" s="66">
        <v>107.25</v>
      </c>
    </row>
    <row r="145" spans="1:10" x14ac:dyDescent="0.25">
      <c r="A145" s="24">
        <v>229</v>
      </c>
      <c r="B145" t="s">
        <v>441</v>
      </c>
      <c r="C145" t="s">
        <v>420</v>
      </c>
      <c r="D145" t="s">
        <v>17</v>
      </c>
      <c r="E145" s="66">
        <v>131.76999999999998</v>
      </c>
      <c r="F145" s="66">
        <v>476.09999999999997</v>
      </c>
      <c r="G145" s="66">
        <v>715</v>
      </c>
      <c r="H145" s="66">
        <v>0</v>
      </c>
      <c r="I145" s="66">
        <v>715</v>
      </c>
      <c r="J145" s="66">
        <v>107.25</v>
      </c>
    </row>
    <row r="146" spans="1:10" x14ac:dyDescent="0.25">
      <c r="A146" s="24">
        <v>230</v>
      </c>
      <c r="B146" t="s">
        <v>442</v>
      </c>
      <c r="C146" t="s">
        <v>420</v>
      </c>
      <c r="D146" t="s">
        <v>17</v>
      </c>
      <c r="E146" s="66">
        <v>131.76999999999998</v>
      </c>
      <c r="F146" s="66">
        <v>476.09999999999997</v>
      </c>
      <c r="G146" s="66">
        <v>715</v>
      </c>
      <c r="H146" s="66">
        <v>0</v>
      </c>
      <c r="I146" s="66">
        <v>715</v>
      </c>
      <c r="J146" s="66">
        <v>107.25</v>
      </c>
    </row>
    <row r="147" spans="1:10" x14ac:dyDescent="0.25">
      <c r="A147" s="24">
        <v>231</v>
      </c>
      <c r="B147" t="s">
        <v>443</v>
      </c>
      <c r="C147" t="s">
        <v>420</v>
      </c>
      <c r="D147" t="s">
        <v>17</v>
      </c>
      <c r="E147" s="66">
        <v>131.76999999999998</v>
      </c>
      <c r="F147" s="66">
        <v>476.09999999999997</v>
      </c>
      <c r="G147" s="66">
        <v>715</v>
      </c>
      <c r="H147" s="66">
        <v>0</v>
      </c>
      <c r="I147" s="66">
        <v>715</v>
      </c>
      <c r="J147" s="66">
        <v>107.25</v>
      </c>
    </row>
    <row r="148" spans="1:10" x14ac:dyDescent="0.25">
      <c r="A148" s="24">
        <v>232</v>
      </c>
      <c r="B148" t="s">
        <v>442</v>
      </c>
      <c r="C148" t="s">
        <v>420</v>
      </c>
      <c r="D148" t="s">
        <v>15</v>
      </c>
      <c r="E148" s="66">
        <v>314.15999999999997</v>
      </c>
      <c r="F148" s="66">
        <v>658.49</v>
      </c>
      <c r="G148" s="66">
        <v>1120</v>
      </c>
      <c r="H148" s="66">
        <v>0</v>
      </c>
      <c r="I148" s="66">
        <v>1120</v>
      </c>
      <c r="J148" s="66">
        <v>168</v>
      </c>
    </row>
    <row r="149" spans="1:10" x14ac:dyDescent="0.25">
      <c r="A149" s="24">
        <v>233</v>
      </c>
      <c r="B149" t="s">
        <v>443</v>
      </c>
      <c r="C149" t="s">
        <v>420</v>
      </c>
      <c r="D149" t="s">
        <v>15</v>
      </c>
      <c r="E149" s="66">
        <v>314.15999999999997</v>
      </c>
      <c r="F149" s="66">
        <v>658.49</v>
      </c>
      <c r="G149" s="66">
        <v>1120</v>
      </c>
      <c r="H149" s="66">
        <v>0</v>
      </c>
      <c r="I149" s="66">
        <v>1120</v>
      </c>
      <c r="J149" s="66">
        <v>168</v>
      </c>
    </row>
    <row r="150" spans="1:10" x14ac:dyDescent="0.25">
      <c r="A150" s="24">
        <v>234</v>
      </c>
      <c r="B150" t="s">
        <v>441</v>
      </c>
      <c r="C150" t="s">
        <v>420</v>
      </c>
      <c r="D150" t="s">
        <v>15</v>
      </c>
      <c r="E150" s="66">
        <v>314.15999999999997</v>
      </c>
      <c r="F150" s="66">
        <v>658.49</v>
      </c>
      <c r="G150" s="66">
        <v>1120</v>
      </c>
      <c r="H150" s="66">
        <v>0</v>
      </c>
      <c r="I150" s="66">
        <v>1120</v>
      </c>
      <c r="J150" s="66">
        <v>168</v>
      </c>
    </row>
    <row r="151" spans="1:10" x14ac:dyDescent="0.25">
      <c r="A151" s="24">
        <v>235</v>
      </c>
      <c r="B151" t="s">
        <v>441</v>
      </c>
      <c r="C151" t="s">
        <v>420</v>
      </c>
      <c r="D151" t="s">
        <v>15</v>
      </c>
      <c r="E151" s="66">
        <v>314.15999999999997</v>
      </c>
      <c r="F151" s="66">
        <v>658.49</v>
      </c>
      <c r="G151" s="66">
        <v>1120</v>
      </c>
      <c r="H151" s="66">
        <v>0</v>
      </c>
      <c r="I151" s="66">
        <v>1120</v>
      </c>
      <c r="J151" s="66">
        <v>168</v>
      </c>
    </row>
    <row r="152" spans="1:10" x14ac:dyDescent="0.25">
      <c r="A152" s="24">
        <v>236</v>
      </c>
      <c r="B152" t="s">
        <v>443</v>
      </c>
      <c r="C152" t="s">
        <v>420</v>
      </c>
      <c r="D152" t="s">
        <v>15</v>
      </c>
      <c r="E152" s="66">
        <v>314.15999999999997</v>
      </c>
      <c r="F152" s="66">
        <v>658.49</v>
      </c>
      <c r="G152" s="66">
        <v>1120</v>
      </c>
      <c r="H152" s="66">
        <v>0</v>
      </c>
      <c r="I152" s="66">
        <v>1120</v>
      </c>
      <c r="J152" s="66">
        <v>168</v>
      </c>
    </row>
    <row r="153" spans="1:10" x14ac:dyDescent="0.25">
      <c r="A153" s="24">
        <v>237</v>
      </c>
      <c r="B153" t="s">
        <v>443</v>
      </c>
      <c r="C153" t="s">
        <v>420</v>
      </c>
      <c r="D153" t="s">
        <v>15</v>
      </c>
      <c r="E153" s="66">
        <v>314.15999999999997</v>
      </c>
      <c r="F153" s="66">
        <v>658.49</v>
      </c>
      <c r="G153" s="66">
        <v>1120</v>
      </c>
      <c r="H153" s="66">
        <v>0</v>
      </c>
      <c r="I153" s="66">
        <v>1120</v>
      </c>
      <c r="J153" s="66">
        <v>168</v>
      </c>
    </row>
    <row r="154" spans="1:10" x14ac:dyDescent="0.25">
      <c r="A154" s="24">
        <v>238</v>
      </c>
      <c r="B154" t="s">
        <v>443</v>
      </c>
      <c r="C154" t="s">
        <v>420</v>
      </c>
      <c r="D154" t="s">
        <v>15</v>
      </c>
      <c r="E154" s="66">
        <v>314.15999999999997</v>
      </c>
      <c r="F154" s="66">
        <v>658.49</v>
      </c>
      <c r="G154" s="66">
        <v>1120</v>
      </c>
      <c r="H154" s="66">
        <v>0</v>
      </c>
      <c r="I154" s="66">
        <v>1120</v>
      </c>
      <c r="J154" s="66">
        <v>168</v>
      </c>
    </row>
    <row r="155" spans="1:10" x14ac:dyDescent="0.25">
      <c r="A155" s="24">
        <v>239</v>
      </c>
      <c r="B155" t="s">
        <v>443</v>
      </c>
      <c r="C155" t="s">
        <v>420</v>
      </c>
      <c r="D155" t="s">
        <v>15</v>
      </c>
      <c r="E155" s="66">
        <v>314.15999999999997</v>
      </c>
      <c r="F155" s="66">
        <v>658.49</v>
      </c>
      <c r="G155" s="66">
        <v>1120</v>
      </c>
      <c r="H155" s="66">
        <v>0</v>
      </c>
      <c r="I155" s="66">
        <v>1120</v>
      </c>
      <c r="J155" s="66">
        <v>168</v>
      </c>
    </row>
    <row r="156" spans="1:10" x14ac:dyDescent="0.25">
      <c r="A156" s="24">
        <v>240</v>
      </c>
      <c r="B156" t="s">
        <v>441</v>
      </c>
      <c r="C156" t="s">
        <v>420</v>
      </c>
      <c r="D156" t="s">
        <v>15</v>
      </c>
      <c r="E156" s="66">
        <v>314.15999999999997</v>
      </c>
      <c r="F156" s="66">
        <v>658.49</v>
      </c>
      <c r="G156" s="66">
        <v>1120</v>
      </c>
      <c r="H156" s="66">
        <v>0</v>
      </c>
      <c r="I156" s="66">
        <v>1120</v>
      </c>
      <c r="J156" s="66">
        <v>168</v>
      </c>
    </row>
    <row r="157" spans="1:10" x14ac:dyDescent="0.25">
      <c r="A157" s="24">
        <v>241</v>
      </c>
      <c r="B157" t="s">
        <v>443</v>
      </c>
      <c r="C157" t="s">
        <v>420</v>
      </c>
      <c r="D157" t="s">
        <v>15</v>
      </c>
      <c r="E157" s="66">
        <v>314.15999999999997</v>
      </c>
      <c r="F157" s="66">
        <v>658.49</v>
      </c>
      <c r="G157" s="66">
        <v>1120</v>
      </c>
      <c r="H157" s="66">
        <v>0</v>
      </c>
      <c r="I157" s="66">
        <v>1120</v>
      </c>
      <c r="J157" s="66">
        <v>168</v>
      </c>
    </row>
    <row r="158" spans="1:10" x14ac:dyDescent="0.25">
      <c r="A158" s="24">
        <v>242</v>
      </c>
      <c r="B158" t="s">
        <v>442</v>
      </c>
      <c r="C158" t="s">
        <v>420</v>
      </c>
      <c r="D158" t="s">
        <v>15</v>
      </c>
      <c r="E158" s="66">
        <v>314.15999999999997</v>
      </c>
      <c r="F158" s="66">
        <v>658.49</v>
      </c>
      <c r="G158" s="66">
        <v>1120</v>
      </c>
      <c r="H158" s="66">
        <v>0</v>
      </c>
      <c r="I158" s="66">
        <v>1120</v>
      </c>
      <c r="J158" s="66">
        <v>168</v>
      </c>
    </row>
    <row r="159" spans="1:10" x14ac:dyDescent="0.25">
      <c r="A159" s="24">
        <v>243</v>
      </c>
      <c r="B159" t="s">
        <v>443</v>
      </c>
      <c r="C159" t="s">
        <v>420</v>
      </c>
      <c r="D159" t="s">
        <v>15</v>
      </c>
      <c r="E159" s="66">
        <v>314.15999999999997</v>
      </c>
      <c r="F159" s="66">
        <v>658.49</v>
      </c>
      <c r="G159" s="66">
        <v>1120</v>
      </c>
      <c r="H159" s="66">
        <v>0</v>
      </c>
      <c r="I159" s="66">
        <v>1120</v>
      </c>
      <c r="J159" s="66">
        <v>168</v>
      </c>
    </row>
    <row r="160" spans="1:10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</sheetData>
  <pageMargins left="0.7" right="0.7" top="0.75" bottom="0.75" header="0.3" footer="0.3"/>
  <pageSetup paperSize="9" orientation="portrait" horizontalDpi="300" verticalDpi="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J172"/>
  <sheetViews>
    <sheetView topLeftCell="O1" zoomScale="68" zoomScaleNormal="68" workbookViewId="0">
      <selection activeCell="E4" sqref="E4"/>
    </sheetView>
  </sheetViews>
  <sheetFormatPr defaultRowHeight="15" x14ac:dyDescent="0.25"/>
  <cols>
    <col min="1" max="1" width="16.28515625" style="24" bestFit="1" customWidth="1"/>
    <col min="2" max="2" width="26" bestFit="1" customWidth="1"/>
    <col min="3" max="3" width="27.7109375" bestFit="1" customWidth="1"/>
    <col min="4" max="4" width="25.28515625" bestFit="1" customWidth="1"/>
    <col min="5" max="5" width="40.7109375" bestFit="1" customWidth="1"/>
    <col min="6" max="6" width="36.7109375" bestFit="1" customWidth="1"/>
    <col min="7" max="7" width="50.5703125" bestFit="1" customWidth="1"/>
    <col min="8" max="8" width="33" bestFit="1" customWidth="1"/>
    <col min="9" max="9" width="49.7109375" bestFit="1" customWidth="1"/>
    <col min="10" max="10" width="25.140625" bestFit="1" customWidth="1"/>
    <col min="12" max="12" width="12.5703125" customWidth="1"/>
    <col min="13" max="13" width="32.140625" bestFit="1" customWidth="1"/>
    <col min="14" max="14" width="10.28515625" bestFit="1" customWidth="1"/>
    <col min="15" max="15" width="37.7109375" bestFit="1" customWidth="1"/>
    <col min="16" max="16" width="44.7109375" bestFit="1" customWidth="1"/>
    <col min="17" max="17" width="38.85546875" bestFit="1" customWidth="1"/>
    <col min="18" max="18" width="26.85546875" bestFit="1" customWidth="1"/>
    <col min="19" max="19" width="35.42578125" bestFit="1" customWidth="1"/>
    <col min="20" max="20" width="24.28515625" bestFit="1" customWidth="1"/>
    <col min="22" max="22" width="24.28515625" bestFit="1" customWidth="1"/>
    <col min="23" max="23" width="32.140625" bestFit="1" customWidth="1"/>
    <col min="24" max="24" width="10.28515625" bestFit="1" customWidth="1"/>
    <col min="25" max="25" width="38.85546875" bestFit="1" customWidth="1"/>
    <col min="26" max="26" width="26.85546875" bestFit="1" customWidth="1"/>
    <col min="27" max="27" width="35.42578125" bestFit="1" customWidth="1"/>
    <col min="28" max="28" width="24.28515625" bestFit="1" customWidth="1"/>
    <col min="30" max="30" width="24.28515625" bestFit="1" customWidth="1"/>
    <col min="31" max="31" width="32.140625" bestFit="1" customWidth="1"/>
    <col min="32" max="32" width="10.28515625" customWidth="1"/>
    <col min="33" max="33" width="38.85546875" bestFit="1" customWidth="1"/>
    <col min="34" max="34" width="26.85546875" bestFit="1" customWidth="1"/>
    <col min="35" max="35" width="35.42578125" bestFit="1" customWidth="1"/>
    <col min="36" max="36" width="24.28515625" bestFit="1" customWidth="1"/>
  </cols>
  <sheetData>
    <row r="1" spans="1:36" x14ac:dyDescent="0.25">
      <c r="A1" s="25" t="s">
        <v>423</v>
      </c>
      <c r="B1" t="s" vm="2">
        <v>446</v>
      </c>
      <c r="V1" s="22" t="s">
        <v>414</v>
      </c>
      <c r="W1" t="s">
        <v>419</v>
      </c>
      <c r="AD1" s="22" t="s">
        <v>414</v>
      </c>
      <c r="AE1" t="s">
        <v>421</v>
      </c>
    </row>
    <row r="3" spans="1:36" x14ac:dyDescent="0.25">
      <c r="A3" s="25" t="s">
        <v>424</v>
      </c>
      <c r="B3" s="22" t="s">
        <v>425</v>
      </c>
      <c r="C3" s="22" t="s">
        <v>414</v>
      </c>
      <c r="D3" s="22" t="s">
        <v>2</v>
      </c>
      <c r="E3" t="s">
        <v>426</v>
      </c>
      <c r="F3" t="s">
        <v>427</v>
      </c>
      <c r="G3" t="s">
        <v>428</v>
      </c>
      <c r="H3" t="s">
        <v>429</v>
      </c>
      <c r="I3" t="s">
        <v>430</v>
      </c>
      <c r="J3" t="s">
        <v>447</v>
      </c>
      <c r="L3" s="22" t="s">
        <v>448</v>
      </c>
      <c r="M3" t="s">
        <v>433</v>
      </c>
      <c r="N3" t="s">
        <v>434</v>
      </c>
      <c r="O3" t="s">
        <v>435</v>
      </c>
      <c r="P3" t="s">
        <v>436</v>
      </c>
      <c r="Q3" t="s">
        <v>437</v>
      </c>
      <c r="R3" t="s">
        <v>438</v>
      </c>
      <c r="S3" t="s">
        <v>439</v>
      </c>
      <c r="T3" t="s">
        <v>440</v>
      </c>
      <c r="V3" s="22" t="s">
        <v>432</v>
      </c>
      <c r="W3" t="s">
        <v>433</v>
      </c>
      <c r="X3" t="s">
        <v>434</v>
      </c>
      <c r="Y3" t="s">
        <v>437</v>
      </c>
      <c r="Z3" t="s">
        <v>438</v>
      </c>
      <c r="AA3" t="s">
        <v>439</v>
      </c>
      <c r="AB3" t="s">
        <v>440</v>
      </c>
      <c r="AD3" s="22" t="s">
        <v>432</v>
      </c>
      <c r="AE3" t="s">
        <v>433</v>
      </c>
      <c r="AF3" t="s">
        <v>434</v>
      </c>
      <c r="AG3" t="s">
        <v>437</v>
      </c>
      <c r="AH3" t="s">
        <v>438</v>
      </c>
      <c r="AI3" t="s">
        <v>439</v>
      </c>
      <c r="AJ3" t="s">
        <v>440</v>
      </c>
    </row>
    <row r="4" spans="1:36" x14ac:dyDescent="0.25">
      <c r="A4" s="24">
        <v>67</v>
      </c>
      <c r="B4" t="s">
        <v>443</v>
      </c>
      <c r="C4" t="s">
        <v>419</v>
      </c>
      <c r="D4" t="s">
        <v>5</v>
      </c>
      <c r="E4">
        <v>163.13</v>
      </c>
      <c r="F4">
        <v>507.46</v>
      </c>
      <c r="G4">
        <v>762</v>
      </c>
      <c r="H4">
        <v>0</v>
      </c>
      <c r="I4">
        <v>762</v>
      </c>
      <c r="J4">
        <v>114.3</v>
      </c>
      <c r="L4" s="23" t="s">
        <v>442</v>
      </c>
      <c r="M4">
        <v>60</v>
      </c>
      <c r="N4">
        <v>44603</v>
      </c>
      <c r="O4">
        <v>8876.3499999999985</v>
      </c>
      <c r="P4">
        <v>35726.65</v>
      </c>
      <c r="Q4">
        <v>29536.15</v>
      </c>
      <c r="R4">
        <v>6690.449999999998</v>
      </c>
      <c r="S4">
        <v>2020.5158999999994</v>
      </c>
      <c r="T4">
        <v>6355.884100000002</v>
      </c>
      <c r="V4" s="23" t="s">
        <v>442</v>
      </c>
      <c r="W4">
        <v>37</v>
      </c>
      <c r="X4">
        <v>28008</v>
      </c>
      <c r="Y4">
        <v>18416.340000000004</v>
      </c>
      <c r="Z4">
        <v>4201.2000000000007</v>
      </c>
      <c r="AA4">
        <v>1268.7624000000001</v>
      </c>
      <c r="AB4">
        <v>4121.6975999999959</v>
      </c>
      <c r="AD4" s="23" t="s">
        <v>442</v>
      </c>
      <c r="AE4">
        <v>23</v>
      </c>
      <c r="AF4">
        <v>16595</v>
      </c>
      <c r="AG4">
        <v>11119.810000000001</v>
      </c>
      <c r="AH4">
        <v>2489.25</v>
      </c>
      <c r="AI4">
        <v>751.75350000000003</v>
      </c>
      <c r="AJ4">
        <v>2234.1864999999989</v>
      </c>
    </row>
    <row r="5" spans="1:36" x14ac:dyDescent="0.25">
      <c r="A5" s="24">
        <v>68</v>
      </c>
      <c r="B5" t="s">
        <v>442</v>
      </c>
      <c r="C5" t="s">
        <v>419</v>
      </c>
      <c r="D5" t="s">
        <v>5</v>
      </c>
      <c r="E5">
        <v>163.13</v>
      </c>
      <c r="F5">
        <v>507.46</v>
      </c>
      <c r="G5">
        <v>762</v>
      </c>
      <c r="H5">
        <v>0</v>
      </c>
      <c r="I5">
        <v>762</v>
      </c>
      <c r="J5">
        <v>114.3</v>
      </c>
      <c r="L5" s="26" t="s">
        <v>5</v>
      </c>
      <c r="M5">
        <v>11</v>
      </c>
      <c r="N5">
        <v>8382</v>
      </c>
      <c r="O5">
        <v>1794.4300000000003</v>
      </c>
      <c r="P5">
        <v>6587.57</v>
      </c>
      <c r="Q5">
        <v>5582.0599999999995</v>
      </c>
      <c r="R5">
        <v>1257.2999999999997</v>
      </c>
      <c r="S5">
        <v>379.70459999999991</v>
      </c>
      <c r="T5">
        <v>1162.9354000000008</v>
      </c>
      <c r="V5" s="26" t="s">
        <v>5</v>
      </c>
      <c r="W5">
        <v>4</v>
      </c>
      <c r="X5">
        <v>3048</v>
      </c>
      <c r="Y5">
        <v>2029.84</v>
      </c>
      <c r="Z5">
        <v>457.2</v>
      </c>
      <c r="AA5">
        <v>138.0744</v>
      </c>
      <c r="AB5">
        <v>422.88560000000007</v>
      </c>
      <c r="AD5" s="26" t="s">
        <v>5</v>
      </c>
      <c r="AE5">
        <v>7</v>
      </c>
      <c r="AF5">
        <v>5334</v>
      </c>
      <c r="AG5">
        <v>3552.22</v>
      </c>
      <c r="AH5">
        <v>800.09999999999991</v>
      </c>
      <c r="AI5">
        <v>241.63019999999997</v>
      </c>
      <c r="AJ5">
        <v>740.04980000000035</v>
      </c>
    </row>
    <row r="6" spans="1:36" x14ac:dyDescent="0.25">
      <c r="A6" s="24">
        <v>69</v>
      </c>
      <c r="B6" t="s">
        <v>443</v>
      </c>
      <c r="C6" t="s">
        <v>419</v>
      </c>
      <c r="D6" t="s">
        <v>5</v>
      </c>
      <c r="E6">
        <v>163.13</v>
      </c>
      <c r="F6">
        <v>507.46</v>
      </c>
      <c r="G6">
        <v>762</v>
      </c>
      <c r="H6">
        <v>0</v>
      </c>
      <c r="I6">
        <v>762</v>
      </c>
      <c r="J6">
        <v>114.3</v>
      </c>
      <c r="L6" s="26" t="s">
        <v>8</v>
      </c>
      <c r="M6">
        <v>17</v>
      </c>
      <c r="N6">
        <v>10523</v>
      </c>
      <c r="O6">
        <v>1652.4000000000005</v>
      </c>
      <c r="P6">
        <v>8870.5999999999985</v>
      </c>
      <c r="Q6">
        <v>7506.0099999999966</v>
      </c>
      <c r="R6">
        <v>1578.4499999999996</v>
      </c>
      <c r="S6">
        <v>476.69189999999986</v>
      </c>
      <c r="T6">
        <v>961.84810000000402</v>
      </c>
      <c r="V6" s="26" t="s">
        <v>8</v>
      </c>
      <c r="W6">
        <v>12</v>
      </c>
      <c r="X6">
        <v>7428</v>
      </c>
      <c r="Y6">
        <v>5298.3599999999979</v>
      </c>
      <c r="Z6">
        <v>1114.2</v>
      </c>
      <c r="AA6">
        <v>336.48840000000001</v>
      </c>
      <c r="AB6">
        <v>678.95160000000214</v>
      </c>
      <c r="AD6" s="26" t="s">
        <v>8</v>
      </c>
      <c r="AE6">
        <v>5</v>
      </c>
      <c r="AF6">
        <v>3095</v>
      </c>
      <c r="AG6">
        <v>2207.6499999999996</v>
      </c>
      <c r="AH6">
        <v>464.25</v>
      </c>
      <c r="AI6">
        <v>140.20349999999999</v>
      </c>
      <c r="AJ6">
        <v>282.8965000000004</v>
      </c>
    </row>
    <row r="7" spans="1:36" x14ac:dyDescent="0.25">
      <c r="A7" s="24">
        <v>70</v>
      </c>
      <c r="B7" t="s">
        <v>442</v>
      </c>
      <c r="C7" t="s">
        <v>419</v>
      </c>
      <c r="D7" t="s">
        <v>5</v>
      </c>
      <c r="E7">
        <v>163.13</v>
      </c>
      <c r="F7">
        <v>507.46</v>
      </c>
      <c r="G7">
        <v>762</v>
      </c>
      <c r="H7">
        <v>0</v>
      </c>
      <c r="I7">
        <v>762</v>
      </c>
      <c r="J7">
        <v>114.3</v>
      </c>
      <c r="L7" s="26" t="s">
        <v>22</v>
      </c>
      <c r="M7">
        <v>9</v>
      </c>
      <c r="N7">
        <v>6217</v>
      </c>
      <c r="O7">
        <v>1074.8700000000003</v>
      </c>
      <c r="P7">
        <v>5142.1299999999992</v>
      </c>
      <c r="Q7">
        <v>4173.8400000000011</v>
      </c>
      <c r="R7">
        <v>932.55</v>
      </c>
      <c r="S7">
        <v>281.63009999999997</v>
      </c>
      <c r="T7">
        <v>828.97989999999902</v>
      </c>
      <c r="V7" s="26" t="s">
        <v>22</v>
      </c>
      <c r="W7">
        <v>6</v>
      </c>
      <c r="X7">
        <v>4142</v>
      </c>
      <c r="Y7">
        <v>2782.5600000000004</v>
      </c>
      <c r="Z7">
        <v>621.29999999999995</v>
      </c>
      <c r="AA7">
        <v>187.63259999999997</v>
      </c>
      <c r="AB7">
        <v>550.50739999999973</v>
      </c>
      <c r="AD7" s="26" t="s">
        <v>22</v>
      </c>
      <c r="AE7">
        <v>3</v>
      </c>
      <c r="AF7">
        <v>2075</v>
      </c>
      <c r="AG7">
        <v>1391.28</v>
      </c>
      <c r="AH7">
        <v>311.25</v>
      </c>
      <c r="AI7">
        <v>93.997500000000002</v>
      </c>
      <c r="AJ7">
        <v>278.47250000000003</v>
      </c>
    </row>
    <row r="8" spans="1:36" x14ac:dyDescent="0.25">
      <c r="A8" s="24">
        <v>71</v>
      </c>
      <c r="B8" t="s">
        <v>441</v>
      </c>
      <c r="C8" t="s">
        <v>419</v>
      </c>
      <c r="D8" t="s">
        <v>5</v>
      </c>
      <c r="E8">
        <v>163.13</v>
      </c>
      <c r="F8">
        <v>507.46</v>
      </c>
      <c r="G8">
        <v>762</v>
      </c>
      <c r="H8">
        <v>0</v>
      </c>
      <c r="I8">
        <v>762</v>
      </c>
      <c r="J8">
        <v>114.3</v>
      </c>
      <c r="L8" s="26" t="s">
        <v>37</v>
      </c>
      <c r="M8">
        <v>6</v>
      </c>
      <c r="N8">
        <v>4086</v>
      </c>
      <c r="O8">
        <v>655.44</v>
      </c>
      <c r="P8">
        <v>3430.56</v>
      </c>
      <c r="Q8">
        <v>2721.42</v>
      </c>
      <c r="R8">
        <v>612.9</v>
      </c>
      <c r="S8">
        <v>185.0958</v>
      </c>
      <c r="T8">
        <v>566.58420000000001</v>
      </c>
      <c r="V8" s="26" t="s">
        <v>37</v>
      </c>
      <c r="W8">
        <v>5</v>
      </c>
      <c r="X8">
        <v>3405</v>
      </c>
      <c r="Y8">
        <v>2267.85</v>
      </c>
      <c r="Z8">
        <v>510.74999999999994</v>
      </c>
      <c r="AA8">
        <v>154.24649999999997</v>
      </c>
      <c r="AB8">
        <v>472.15350000000012</v>
      </c>
      <c r="AD8" s="26" t="s">
        <v>37</v>
      </c>
      <c r="AE8">
        <v>1</v>
      </c>
      <c r="AF8">
        <v>681</v>
      </c>
      <c r="AG8">
        <v>453.57</v>
      </c>
      <c r="AH8">
        <v>102.14999999999999</v>
      </c>
      <c r="AI8">
        <v>30.849299999999996</v>
      </c>
      <c r="AJ8">
        <v>94.430700000000016</v>
      </c>
    </row>
    <row r="9" spans="1:36" x14ac:dyDescent="0.25">
      <c r="A9" s="24">
        <v>72</v>
      </c>
      <c r="B9" t="s">
        <v>441</v>
      </c>
      <c r="C9" t="s">
        <v>419</v>
      </c>
      <c r="D9" t="s">
        <v>5</v>
      </c>
      <c r="E9">
        <v>163.13</v>
      </c>
      <c r="F9">
        <v>507.46</v>
      </c>
      <c r="G9">
        <v>762</v>
      </c>
      <c r="H9">
        <v>0</v>
      </c>
      <c r="I9">
        <v>762</v>
      </c>
      <c r="J9">
        <v>114.3</v>
      </c>
      <c r="L9" s="26" t="s">
        <v>17</v>
      </c>
      <c r="M9">
        <v>9</v>
      </c>
      <c r="N9">
        <v>6435</v>
      </c>
      <c r="O9">
        <v>1185.9299999999998</v>
      </c>
      <c r="P9">
        <v>5249.07</v>
      </c>
      <c r="Q9">
        <v>4284.8999999999996</v>
      </c>
      <c r="R9">
        <v>965.25</v>
      </c>
      <c r="S9">
        <v>291.50549999999998</v>
      </c>
      <c r="T9">
        <v>893.34450000000038</v>
      </c>
      <c r="V9" s="26" t="s">
        <v>17</v>
      </c>
      <c r="W9">
        <v>3</v>
      </c>
      <c r="X9">
        <v>2145</v>
      </c>
      <c r="Y9">
        <v>1428.3</v>
      </c>
      <c r="Z9">
        <v>321.75</v>
      </c>
      <c r="AA9">
        <v>97.168499999999995</v>
      </c>
      <c r="AB9">
        <v>297.78150000000005</v>
      </c>
      <c r="AD9" s="26" t="s">
        <v>17</v>
      </c>
      <c r="AE9">
        <v>6</v>
      </c>
      <c r="AF9">
        <v>4290</v>
      </c>
      <c r="AG9">
        <v>2856.6</v>
      </c>
      <c r="AH9">
        <v>643.5</v>
      </c>
      <c r="AI9">
        <v>194.33699999999999</v>
      </c>
      <c r="AJ9">
        <v>595.5630000000001</v>
      </c>
    </row>
    <row r="10" spans="1:36" x14ac:dyDescent="0.25">
      <c r="A10" s="24">
        <v>73</v>
      </c>
      <c r="B10" t="s">
        <v>442</v>
      </c>
      <c r="C10" t="s">
        <v>419</v>
      </c>
      <c r="D10" t="s">
        <v>5</v>
      </c>
      <c r="E10">
        <v>163.13</v>
      </c>
      <c r="F10">
        <v>507.46</v>
      </c>
      <c r="G10">
        <v>762</v>
      </c>
      <c r="H10">
        <v>0</v>
      </c>
      <c r="I10">
        <v>762</v>
      </c>
      <c r="J10">
        <v>114.3</v>
      </c>
      <c r="L10" s="26" t="s">
        <v>15</v>
      </c>
      <c r="M10">
        <v>8</v>
      </c>
      <c r="N10">
        <v>8960</v>
      </c>
      <c r="O10">
        <v>2513.2799999999993</v>
      </c>
      <c r="P10">
        <v>6446.7200000000012</v>
      </c>
      <c r="Q10">
        <v>5267.9199999999992</v>
      </c>
      <c r="R10">
        <v>1344</v>
      </c>
      <c r="S10">
        <v>405.88799999999998</v>
      </c>
      <c r="T10">
        <v>1942.1920000000009</v>
      </c>
      <c r="V10" s="26" t="s">
        <v>15</v>
      </c>
      <c r="W10">
        <v>7</v>
      </c>
      <c r="X10">
        <v>7840</v>
      </c>
      <c r="Y10">
        <v>4609.4299999999994</v>
      </c>
      <c r="Z10">
        <v>1176</v>
      </c>
      <c r="AA10">
        <v>355.15199999999999</v>
      </c>
      <c r="AB10">
        <v>1699.4180000000006</v>
      </c>
      <c r="AD10" s="26" t="s">
        <v>15</v>
      </c>
      <c r="AE10">
        <v>1</v>
      </c>
      <c r="AF10">
        <v>1120</v>
      </c>
      <c r="AG10">
        <v>658.49</v>
      </c>
      <c r="AH10">
        <v>168</v>
      </c>
      <c r="AI10">
        <v>50.735999999999997</v>
      </c>
      <c r="AJ10">
        <v>242.774</v>
      </c>
    </row>
    <row r="11" spans="1:36" x14ac:dyDescent="0.25">
      <c r="A11" s="24">
        <v>74</v>
      </c>
      <c r="B11" t="s">
        <v>441</v>
      </c>
      <c r="C11" t="s">
        <v>419</v>
      </c>
      <c r="D11" t="s">
        <v>5</v>
      </c>
      <c r="E11">
        <v>163.13</v>
      </c>
      <c r="F11">
        <v>507.46</v>
      </c>
      <c r="G11">
        <v>762</v>
      </c>
      <c r="H11">
        <v>0</v>
      </c>
      <c r="I11">
        <v>762</v>
      </c>
      <c r="J11">
        <v>114.3</v>
      </c>
      <c r="L11" s="23" t="s">
        <v>441</v>
      </c>
      <c r="M11">
        <v>55</v>
      </c>
      <c r="N11">
        <v>41299</v>
      </c>
      <c r="O11">
        <v>8264.61</v>
      </c>
      <c r="P11">
        <v>33034.39</v>
      </c>
      <c r="Q11">
        <v>27202.759999999995</v>
      </c>
      <c r="R11">
        <v>6194.85</v>
      </c>
      <c r="S11">
        <v>1870.8447000000001</v>
      </c>
      <c r="T11">
        <v>6030.5453000000052</v>
      </c>
      <c r="V11" s="23" t="s">
        <v>441</v>
      </c>
      <c r="W11">
        <v>22</v>
      </c>
      <c r="X11">
        <v>16355</v>
      </c>
      <c r="Y11">
        <v>10825.949999999999</v>
      </c>
      <c r="Z11">
        <v>2453.2500000000005</v>
      </c>
      <c r="AA11">
        <v>740.88150000000007</v>
      </c>
      <c r="AB11">
        <v>2334.9185000000007</v>
      </c>
      <c r="AD11" s="23" t="s">
        <v>441</v>
      </c>
      <c r="AE11">
        <v>33</v>
      </c>
      <c r="AF11">
        <v>24944</v>
      </c>
      <c r="AG11">
        <v>16376.810000000001</v>
      </c>
      <c r="AH11">
        <v>3741.6000000000008</v>
      </c>
      <c r="AI11">
        <v>1129.9632000000001</v>
      </c>
      <c r="AJ11">
        <v>3695.6267999999982</v>
      </c>
    </row>
    <row r="12" spans="1:36" x14ac:dyDescent="0.25">
      <c r="A12" s="24">
        <v>75</v>
      </c>
      <c r="B12" t="s">
        <v>442</v>
      </c>
      <c r="C12" t="s">
        <v>419</v>
      </c>
      <c r="D12" t="s">
        <v>5</v>
      </c>
      <c r="E12">
        <v>163.13</v>
      </c>
      <c r="F12">
        <v>507.46</v>
      </c>
      <c r="G12">
        <v>762</v>
      </c>
      <c r="H12">
        <v>0</v>
      </c>
      <c r="I12">
        <v>762</v>
      </c>
      <c r="J12">
        <v>114.3</v>
      </c>
      <c r="L12" s="26" t="s">
        <v>5</v>
      </c>
      <c r="M12">
        <v>7</v>
      </c>
      <c r="N12">
        <v>5334</v>
      </c>
      <c r="O12">
        <v>1141.9099999999999</v>
      </c>
      <c r="P12">
        <v>4192.09</v>
      </c>
      <c r="Q12">
        <v>3552.22</v>
      </c>
      <c r="R12">
        <v>800.09999999999991</v>
      </c>
      <c r="S12">
        <v>241.63019999999997</v>
      </c>
      <c r="T12">
        <v>740.04980000000035</v>
      </c>
      <c r="V12" s="26" t="s">
        <v>5</v>
      </c>
      <c r="W12">
        <v>3</v>
      </c>
      <c r="X12">
        <v>2286</v>
      </c>
      <c r="Y12">
        <v>1522.3799999999999</v>
      </c>
      <c r="Z12">
        <v>342.9</v>
      </c>
      <c r="AA12">
        <v>103.55579999999999</v>
      </c>
      <c r="AB12">
        <v>317.16420000000016</v>
      </c>
      <c r="AD12" s="26" t="s">
        <v>5</v>
      </c>
      <c r="AE12">
        <v>4</v>
      </c>
      <c r="AF12">
        <v>3048</v>
      </c>
      <c r="AG12">
        <v>2029.84</v>
      </c>
      <c r="AH12">
        <v>457.2</v>
      </c>
      <c r="AI12">
        <v>138.0744</v>
      </c>
      <c r="AJ12">
        <v>422.88560000000007</v>
      </c>
    </row>
    <row r="13" spans="1:36" x14ac:dyDescent="0.25">
      <c r="A13" s="24">
        <v>76</v>
      </c>
      <c r="B13" t="s">
        <v>442</v>
      </c>
      <c r="C13" t="s">
        <v>419</v>
      </c>
      <c r="D13" t="s">
        <v>8</v>
      </c>
      <c r="E13">
        <v>97.2</v>
      </c>
      <c r="F13">
        <v>441.53</v>
      </c>
      <c r="G13">
        <v>619</v>
      </c>
      <c r="H13">
        <v>0</v>
      </c>
      <c r="I13">
        <v>619</v>
      </c>
      <c r="J13">
        <v>92.85</v>
      </c>
      <c r="L13" s="26" t="s">
        <v>8</v>
      </c>
      <c r="M13">
        <v>11</v>
      </c>
      <c r="N13">
        <v>6767</v>
      </c>
      <c r="O13">
        <v>1069.2000000000003</v>
      </c>
      <c r="P13">
        <v>5697.7999999999993</v>
      </c>
      <c r="Q13">
        <v>4856.8299999999981</v>
      </c>
      <c r="R13">
        <v>1015.0500000000001</v>
      </c>
      <c r="S13">
        <v>306.54509999999999</v>
      </c>
      <c r="T13">
        <v>588.57490000000189</v>
      </c>
      <c r="V13" s="26" t="s">
        <v>8</v>
      </c>
      <c r="W13">
        <v>6</v>
      </c>
      <c r="X13">
        <v>3684</v>
      </c>
      <c r="Y13">
        <v>2649.1799999999994</v>
      </c>
      <c r="Z13">
        <v>552.6</v>
      </c>
      <c r="AA13">
        <v>166.8852</v>
      </c>
      <c r="AB13">
        <v>315.3348000000006</v>
      </c>
      <c r="AD13" s="26" t="s">
        <v>8</v>
      </c>
      <c r="AE13">
        <v>5</v>
      </c>
      <c r="AF13">
        <v>3083</v>
      </c>
      <c r="AG13">
        <v>2207.6499999999996</v>
      </c>
      <c r="AH13">
        <v>462.44999999999993</v>
      </c>
      <c r="AI13">
        <v>139.65989999999996</v>
      </c>
      <c r="AJ13">
        <v>273.24010000000044</v>
      </c>
    </row>
    <row r="14" spans="1:36" x14ac:dyDescent="0.25">
      <c r="A14" s="24">
        <v>77</v>
      </c>
      <c r="B14" t="s">
        <v>441</v>
      </c>
      <c r="C14" t="s">
        <v>419</v>
      </c>
      <c r="D14" t="s">
        <v>8</v>
      </c>
      <c r="E14">
        <v>97.2</v>
      </c>
      <c r="F14">
        <v>441.53</v>
      </c>
      <c r="G14">
        <v>619</v>
      </c>
      <c r="H14">
        <v>0</v>
      </c>
      <c r="I14">
        <v>619</v>
      </c>
      <c r="J14">
        <v>92.85</v>
      </c>
      <c r="L14" s="26" t="s">
        <v>22</v>
      </c>
      <c r="M14">
        <v>10</v>
      </c>
      <c r="N14">
        <v>6960</v>
      </c>
      <c r="O14">
        <v>1194.3000000000004</v>
      </c>
      <c r="P14">
        <v>5765.7</v>
      </c>
      <c r="Q14">
        <v>4637.6000000000013</v>
      </c>
      <c r="R14">
        <v>1044</v>
      </c>
      <c r="S14">
        <v>315.28800000000001</v>
      </c>
      <c r="T14">
        <v>963.11199999999872</v>
      </c>
      <c r="V14" s="26" t="s">
        <v>22</v>
      </c>
      <c r="W14">
        <v>3</v>
      </c>
      <c r="X14">
        <v>2088</v>
      </c>
      <c r="Y14">
        <v>1391.28</v>
      </c>
      <c r="Z14">
        <v>313.2</v>
      </c>
      <c r="AA14">
        <v>94.586399999999998</v>
      </c>
      <c r="AB14">
        <v>288.93360000000007</v>
      </c>
      <c r="AD14" s="26" t="s">
        <v>22</v>
      </c>
      <c r="AE14">
        <v>7</v>
      </c>
      <c r="AF14">
        <v>4872</v>
      </c>
      <c r="AG14">
        <v>3246.3200000000006</v>
      </c>
      <c r="AH14">
        <v>730.8</v>
      </c>
      <c r="AI14">
        <v>220.70159999999998</v>
      </c>
      <c r="AJ14">
        <v>674.17839999999944</v>
      </c>
    </row>
    <row r="15" spans="1:36" x14ac:dyDescent="0.25">
      <c r="A15" s="24">
        <v>78</v>
      </c>
      <c r="B15" t="s">
        <v>443</v>
      </c>
      <c r="C15" t="s">
        <v>419</v>
      </c>
      <c r="D15" t="s">
        <v>8</v>
      </c>
      <c r="E15">
        <v>97.2</v>
      </c>
      <c r="F15">
        <v>441.53</v>
      </c>
      <c r="G15">
        <v>619</v>
      </c>
      <c r="H15">
        <v>0</v>
      </c>
      <c r="I15">
        <v>619</v>
      </c>
      <c r="J15">
        <v>92.85</v>
      </c>
      <c r="L15" s="26" t="s">
        <v>37</v>
      </c>
      <c r="M15">
        <v>7</v>
      </c>
      <c r="N15">
        <v>4733</v>
      </c>
      <c r="O15">
        <v>764.68000000000006</v>
      </c>
      <c r="P15">
        <v>3968.3199999999997</v>
      </c>
      <c r="Q15">
        <v>3174.9900000000002</v>
      </c>
      <c r="R15">
        <v>709.94999999999993</v>
      </c>
      <c r="S15">
        <v>214.40489999999997</v>
      </c>
      <c r="T15">
        <v>633.65509999999983</v>
      </c>
      <c r="V15" s="26" t="s">
        <v>37</v>
      </c>
      <c r="W15">
        <v>2</v>
      </c>
      <c r="X15">
        <v>1362</v>
      </c>
      <c r="Y15">
        <v>907.14</v>
      </c>
      <c r="Z15">
        <v>204.29999999999998</v>
      </c>
      <c r="AA15">
        <v>61.698599999999992</v>
      </c>
      <c r="AB15">
        <v>188.86140000000003</v>
      </c>
      <c r="AD15" s="26" t="s">
        <v>37</v>
      </c>
      <c r="AE15">
        <v>5</v>
      </c>
      <c r="AF15">
        <v>3371</v>
      </c>
      <c r="AG15">
        <v>2267.85</v>
      </c>
      <c r="AH15">
        <v>505.65</v>
      </c>
      <c r="AI15">
        <v>152.7063</v>
      </c>
      <c r="AJ15">
        <v>444.79370000000011</v>
      </c>
    </row>
    <row r="16" spans="1:36" x14ac:dyDescent="0.25">
      <c r="A16" s="24">
        <v>79</v>
      </c>
      <c r="B16" t="s">
        <v>442</v>
      </c>
      <c r="C16" t="s">
        <v>419</v>
      </c>
      <c r="D16" t="s">
        <v>8</v>
      </c>
      <c r="E16">
        <v>97.2</v>
      </c>
      <c r="F16">
        <v>441.53</v>
      </c>
      <c r="G16">
        <v>619</v>
      </c>
      <c r="H16">
        <v>0</v>
      </c>
      <c r="I16">
        <v>619</v>
      </c>
      <c r="J16">
        <v>92.85</v>
      </c>
      <c r="L16" s="26" t="s">
        <v>17</v>
      </c>
      <c r="M16">
        <v>12</v>
      </c>
      <c r="N16">
        <v>8545</v>
      </c>
      <c r="O16">
        <v>1581.2399999999998</v>
      </c>
      <c r="P16">
        <v>6963.76</v>
      </c>
      <c r="Q16">
        <v>5713.2000000000007</v>
      </c>
      <c r="R16">
        <v>1281.75</v>
      </c>
      <c r="S16">
        <v>387.08850000000001</v>
      </c>
      <c r="T16">
        <v>1162.9614999999992</v>
      </c>
      <c r="V16" s="26" t="s">
        <v>17</v>
      </c>
      <c r="W16">
        <v>5</v>
      </c>
      <c r="X16">
        <v>3575</v>
      </c>
      <c r="Y16">
        <v>2380.5</v>
      </c>
      <c r="Z16">
        <v>536.25</v>
      </c>
      <c r="AA16">
        <v>161.94749999999999</v>
      </c>
      <c r="AB16">
        <v>496.30250000000001</v>
      </c>
      <c r="AD16" s="26" t="s">
        <v>17</v>
      </c>
      <c r="AE16">
        <v>7</v>
      </c>
      <c r="AF16">
        <v>4970</v>
      </c>
      <c r="AG16">
        <v>3332.7</v>
      </c>
      <c r="AH16">
        <v>745.5</v>
      </c>
      <c r="AI16">
        <v>225.14099999999999</v>
      </c>
      <c r="AJ16">
        <v>666.65900000000022</v>
      </c>
    </row>
    <row r="17" spans="1:36" x14ac:dyDescent="0.25">
      <c r="A17" s="24">
        <v>80</v>
      </c>
      <c r="B17" t="s">
        <v>441</v>
      </c>
      <c r="C17" t="s">
        <v>419</v>
      </c>
      <c r="D17" t="s">
        <v>8</v>
      </c>
      <c r="E17">
        <v>97.2</v>
      </c>
      <c r="F17">
        <v>441.53</v>
      </c>
      <c r="G17">
        <v>619</v>
      </c>
      <c r="H17">
        <v>0.05</v>
      </c>
      <c r="I17">
        <v>589</v>
      </c>
      <c r="J17">
        <v>88.35</v>
      </c>
      <c r="L17" s="26" t="s">
        <v>15</v>
      </c>
      <c r="M17">
        <v>8</v>
      </c>
      <c r="N17">
        <v>8960</v>
      </c>
      <c r="O17">
        <v>2513.2799999999993</v>
      </c>
      <c r="P17">
        <v>6446.7200000000012</v>
      </c>
      <c r="Q17">
        <v>5267.9199999999992</v>
      </c>
      <c r="R17">
        <v>1344</v>
      </c>
      <c r="S17">
        <v>405.88799999999998</v>
      </c>
      <c r="T17">
        <v>1942.1920000000009</v>
      </c>
      <c r="V17" s="26" t="s">
        <v>15</v>
      </c>
      <c r="W17">
        <v>3</v>
      </c>
      <c r="X17">
        <v>3360</v>
      </c>
      <c r="Y17">
        <v>1975.47</v>
      </c>
      <c r="Z17">
        <v>504</v>
      </c>
      <c r="AA17">
        <v>152.208</v>
      </c>
      <c r="AB17">
        <v>728.322</v>
      </c>
      <c r="AD17" s="26" t="s">
        <v>15</v>
      </c>
      <c r="AE17">
        <v>5</v>
      </c>
      <c r="AF17">
        <v>5600</v>
      </c>
      <c r="AG17">
        <v>3292.45</v>
      </c>
      <c r="AH17">
        <v>840</v>
      </c>
      <c r="AI17">
        <v>253.67999999999998</v>
      </c>
      <c r="AJ17">
        <v>1213.8700000000001</v>
      </c>
    </row>
    <row r="18" spans="1:36" x14ac:dyDescent="0.25">
      <c r="A18" s="24">
        <v>81</v>
      </c>
      <c r="B18" t="s">
        <v>443</v>
      </c>
      <c r="C18" t="s">
        <v>419</v>
      </c>
      <c r="D18" t="s">
        <v>8</v>
      </c>
      <c r="E18">
        <v>97.2</v>
      </c>
      <c r="F18">
        <v>441.53</v>
      </c>
      <c r="G18">
        <v>619</v>
      </c>
      <c r="H18">
        <v>0</v>
      </c>
      <c r="I18">
        <v>619</v>
      </c>
      <c r="J18">
        <v>92.85</v>
      </c>
      <c r="L18" s="23" t="s">
        <v>443</v>
      </c>
      <c r="M18">
        <v>54</v>
      </c>
      <c r="N18">
        <v>39326</v>
      </c>
      <c r="O18">
        <v>7608.15</v>
      </c>
      <c r="P18">
        <v>31717.85</v>
      </c>
      <c r="Q18">
        <v>26201.969999999998</v>
      </c>
      <c r="R18">
        <v>5898.9</v>
      </c>
      <c r="S18">
        <v>1781.4677999999999</v>
      </c>
      <c r="T18">
        <v>5443.6622000000025</v>
      </c>
      <c r="V18" s="23" t="s">
        <v>443</v>
      </c>
      <c r="W18">
        <v>28</v>
      </c>
      <c r="X18">
        <v>20760</v>
      </c>
      <c r="Y18">
        <v>13740.060000000001</v>
      </c>
      <c r="Z18">
        <v>3114.0000000000005</v>
      </c>
      <c r="AA18">
        <v>940.42800000000011</v>
      </c>
      <c r="AB18">
        <v>2965.5119999999979</v>
      </c>
      <c r="AD18" s="23" t="s">
        <v>443</v>
      </c>
      <c r="AE18">
        <v>26</v>
      </c>
      <c r="AF18">
        <v>18566</v>
      </c>
      <c r="AG18">
        <v>12461.909999999998</v>
      </c>
      <c r="AH18">
        <v>2784.9</v>
      </c>
      <c r="AI18">
        <v>841.03980000000001</v>
      </c>
      <c r="AJ18">
        <v>2478.1502000000019</v>
      </c>
    </row>
    <row r="19" spans="1:36" x14ac:dyDescent="0.25">
      <c r="A19" s="24">
        <v>82</v>
      </c>
      <c r="B19" t="s">
        <v>441</v>
      </c>
      <c r="C19" t="s">
        <v>419</v>
      </c>
      <c r="D19" t="s">
        <v>8</v>
      </c>
      <c r="E19">
        <v>97.2</v>
      </c>
      <c r="F19">
        <v>441.53</v>
      </c>
      <c r="G19">
        <v>619</v>
      </c>
      <c r="H19">
        <v>0</v>
      </c>
      <c r="I19">
        <v>619</v>
      </c>
      <c r="J19">
        <v>92.85</v>
      </c>
      <c r="L19" s="26" t="s">
        <v>5</v>
      </c>
      <c r="M19">
        <v>7</v>
      </c>
      <c r="N19">
        <v>5334</v>
      </c>
      <c r="O19">
        <v>1141.9099999999999</v>
      </c>
      <c r="P19">
        <v>4192.09</v>
      </c>
      <c r="Q19">
        <v>3552.22</v>
      </c>
      <c r="R19">
        <v>800.09999999999991</v>
      </c>
      <c r="S19">
        <v>241.63019999999997</v>
      </c>
      <c r="T19">
        <v>740.04980000000035</v>
      </c>
      <c r="V19" s="26" t="s">
        <v>5</v>
      </c>
      <c r="W19">
        <v>2</v>
      </c>
      <c r="X19">
        <v>1524</v>
      </c>
      <c r="Y19">
        <v>1014.92</v>
      </c>
      <c r="Z19">
        <v>228.6</v>
      </c>
      <c r="AA19">
        <v>69.037199999999999</v>
      </c>
      <c r="AB19">
        <v>211.44280000000003</v>
      </c>
      <c r="AD19" s="26" t="s">
        <v>5</v>
      </c>
      <c r="AE19">
        <v>5</v>
      </c>
      <c r="AF19">
        <v>3810</v>
      </c>
      <c r="AG19">
        <v>2537.2999999999997</v>
      </c>
      <c r="AH19">
        <v>571.5</v>
      </c>
      <c r="AI19">
        <v>172.59299999999999</v>
      </c>
      <c r="AJ19">
        <v>528.60700000000031</v>
      </c>
    </row>
    <row r="20" spans="1:36" x14ac:dyDescent="0.25">
      <c r="A20" s="24">
        <v>83</v>
      </c>
      <c r="B20" t="s">
        <v>442</v>
      </c>
      <c r="C20" t="s">
        <v>419</v>
      </c>
      <c r="D20" t="s">
        <v>8</v>
      </c>
      <c r="E20">
        <v>97.2</v>
      </c>
      <c r="F20">
        <v>441.53</v>
      </c>
      <c r="G20">
        <v>619</v>
      </c>
      <c r="H20">
        <v>0</v>
      </c>
      <c r="I20">
        <v>619</v>
      </c>
      <c r="J20">
        <v>92.85</v>
      </c>
      <c r="L20" s="26" t="s">
        <v>8</v>
      </c>
      <c r="M20">
        <v>18</v>
      </c>
      <c r="N20">
        <v>11130</v>
      </c>
      <c r="O20">
        <v>1749.6000000000006</v>
      </c>
      <c r="P20">
        <v>9380.4</v>
      </c>
      <c r="Q20">
        <v>7947.5399999999963</v>
      </c>
      <c r="R20">
        <v>1669.4999999999995</v>
      </c>
      <c r="S20">
        <v>504.18899999999985</v>
      </c>
      <c r="T20">
        <v>1008.7710000000043</v>
      </c>
      <c r="V20" s="26" t="s">
        <v>8</v>
      </c>
      <c r="W20">
        <v>9</v>
      </c>
      <c r="X20">
        <v>5571</v>
      </c>
      <c r="Y20">
        <v>3973.7699999999986</v>
      </c>
      <c r="Z20">
        <v>835.65000000000009</v>
      </c>
      <c r="AA20">
        <v>252.36630000000002</v>
      </c>
      <c r="AB20">
        <v>509.21370000000127</v>
      </c>
      <c r="AD20" s="26" t="s">
        <v>8</v>
      </c>
      <c r="AE20">
        <v>9</v>
      </c>
      <c r="AF20">
        <v>5559</v>
      </c>
      <c r="AG20">
        <v>3973.7699999999986</v>
      </c>
      <c r="AH20">
        <v>833.85</v>
      </c>
      <c r="AI20">
        <v>251.8227</v>
      </c>
      <c r="AJ20">
        <v>499.55730000000136</v>
      </c>
    </row>
    <row r="21" spans="1:36" x14ac:dyDescent="0.25">
      <c r="A21" s="24">
        <v>84</v>
      </c>
      <c r="B21" t="s">
        <v>443</v>
      </c>
      <c r="C21" t="s">
        <v>419</v>
      </c>
      <c r="D21" t="s">
        <v>8</v>
      </c>
      <c r="E21">
        <v>97.2</v>
      </c>
      <c r="F21">
        <v>441.53</v>
      </c>
      <c r="G21">
        <v>619</v>
      </c>
      <c r="H21">
        <v>0</v>
      </c>
      <c r="I21">
        <v>619</v>
      </c>
      <c r="J21">
        <v>92.85</v>
      </c>
      <c r="L21" s="26" t="s">
        <v>22</v>
      </c>
      <c r="M21">
        <v>7</v>
      </c>
      <c r="N21">
        <v>4872</v>
      </c>
      <c r="O21">
        <v>836.01000000000022</v>
      </c>
      <c r="P21">
        <v>4035.99</v>
      </c>
      <c r="Q21">
        <v>3246.3200000000006</v>
      </c>
      <c r="R21">
        <v>730.8</v>
      </c>
      <c r="S21">
        <v>220.70159999999998</v>
      </c>
      <c r="T21">
        <v>674.17839999999944</v>
      </c>
      <c r="V21" s="26" t="s">
        <v>22</v>
      </c>
      <c r="W21">
        <v>4</v>
      </c>
      <c r="X21">
        <v>2784</v>
      </c>
      <c r="Y21">
        <v>1855.04</v>
      </c>
      <c r="Z21">
        <v>417.59999999999997</v>
      </c>
      <c r="AA21">
        <v>126.11519999999999</v>
      </c>
      <c r="AB21">
        <v>385.24480000000005</v>
      </c>
      <c r="AD21" s="26" t="s">
        <v>22</v>
      </c>
      <c r="AE21">
        <v>3</v>
      </c>
      <c r="AF21">
        <v>2088</v>
      </c>
      <c r="AG21">
        <v>1391.28</v>
      </c>
      <c r="AH21">
        <v>313.2</v>
      </c>
      <c r="AI21">
        <v>94.586399999999998</v>
      </c>
      <c r="AJ21">
        <v>288.93360000000007</v>
      </c>
    </row>
    <row r="22" spans="1:36" x14ac:dyDescent="0.25">
      <c r="A22" s="24">
        <v>85</v>
      </c>
      <c r="B22" t="s">
        <v>441</v>
      </c>
      <c r="C22" t="s">
        <v>419</v>
      </c>
      <c r="D22" t="s">
        <v>8</v>
      </c>
      <c r="E22">
        <v>97.2</v>
      </c>
      <c r="F22">
        <v>441.53</v>
      </c>
      <c r="G22">
        <v>619</v>
      </c>
      <c r="H22">
        <v>0</v>
      </c>
      <c r="I22">
        <v>619</v>
      </c>
      <c r="J22">
        <v>92.85</v>
      </c>
      <c r="L22" s="26" t="s">
        <v>37</v>
      </c>
      <c r="M22">
        <v>5</v>
      </c>
      <c r="N22">
        <v>3405</v>
      </c>
      <c r="O22">
        <v>546.20000000000005</v>
      </c>
      <c r="P22">
        <v>2858.8</v>
      </c>
      <c r="Q22">
        <v>2267.85</v>
      </c>
      <c r="R22">
        <v>510.74999999999994</v>
      </c>
      <c r="S22">
        <v>154.24649999999997</v>
      </c>
      <c r="T22">
        <v>472.15350000000012</v>
      </c>
      <c r="V22" s="26" t="s">
        <v>37</v>
      </c>
      <c r="W22">
        <v>1</v>
      </c>
      <c r="X22">
        <v>681</v>
      </c>
      <c r="Y22">
        <v>453.57</v>
      </c>
      <c r="Z22">
        <v>102.14999999999999</v>
      </c>
      <c r="AA22">
        <v>30.849299999999996</v>
      </c>
      <c r="AB22">
        <v>94.430700000000016</v>
      </c>
      <c r="AD22" s="26" t="s">
        <v>37</v>
      </c>
      <c r="AE22">
        <v>4</v>
      </c>
      <c r="AF22">
        <v>2724</v>
      </c>
      <c r="AG22">
        <v>1814.28</v>
      </c>
      <c r="AH22">
        <v>408.59999999999997</v>
      </c>
      <c r="AI22">
        <v>123.39719999999998</v>
      </c>
      <c r="AJ22">
        <v>377.72280000000006</v>
      </c>
    </row>
    <row r="23" spans="1:36" x14ac:dyDescent="0.25">
      <c r="A23" s="24">
        <v>86</v>
      </c>
      <c r="B23" t="s">
        <v>442</v>
      </c>
      <c r="C23" t="s">
        <v>419</v>
      </c>
      <c r="D23" t="s">
        <v>8</v>
      </c>
      <c r="E23">
        <v>97.2</v>
      </c>
      <c r="F23">
        <v>441.53</v>
      </c>
      <c r="G23">
        <v>619</v>
      </c>
      <c r="H23">
        <v>0</v>
      </c>
      <c r="I23">
        <v>619</v>
      </c>
      <c r="J23">
        <v>92.85</v>
      </c>
      <c r="L23" s="26" t="s">
        <v>17</v>
      </c>
      <c r="M23">
        <v>11</v>
      </c>
      <c r="N23">
        <v>7865</v>
      </c>
      <c r="O23">
        <v>1449.4699999999998</v>
      </c>
      <c r="P23">
        <v>6415.5300000000007</v>
      </c>
      <c r="Q23">
        <v>5237.1000000000004</v>
      </c>
      <c r="R23">
        <v>1179.75</v>
      </c>
      <c r="S23">
        <v>356.28449999999998</v>
      </c>
      <c r="T23">
        <v>1091.8654999999997</v>
      </c>
      <c r="V23" s="26" t="s">
        <v>17</v>
      </c>
      <c r="W23">
        <v>8</v>
      </c>
      <c r="X23">
        <v>5720</v>
      </c>
      <c r="Y23">
        <v>3808.7999999999997</v>
      </c>
      <c r="Z23">
        <v>858</v>
      </c>
      <c r="AA23">
        <v>259.11599999999999</v>
      </c>
      <c r="AB23">
        <v>794.08400000000029</v>
      </c>
      <c r="AD23" s="26" t="s">
        <v>17</v>
      </c>
      <c r="AE23">
        <v>3</v>
      </c>
      <c r="AF23">
        <v>2145</v>
      </c>
      <c r="AG23">
        <v>1428.3</v>
      </c>
      <c r="AH23">
        <v>321.75</v>
      </c>
      <c r="AI23">
        <v>97.168499999999995</v>
      </c>
      <c r="AJ23">
        <v>297.78150000000005</v>
      </c>
    </row>
    <row r="24" spans="1:36" x14ac:dyDescent="0.25">
      <c r="A24" s="24">
        <v>87</v>
      </c>
      <c r="B24" t="s">
        <v>443</v>
      </c>
      <c r="C24" t="s">
        <v>419</v>
      </c>
      <c r="D24" t="s">
        <v>8</v>
      </c>
      <c r="E24">
        <v>97.2</v>
      </c>
      <c r="F24">
        <v>441.53</v>
      </c>
      <c r="G24">
        <v>619</v>
      </c>
      <c r="H24">
        <v>0</v>
      </c>
      <c r="I24">
        <v>619</v>
      </c>
      <c r="J24">
        <v>92.85</v>
      </c>
      <c r="L24" s="26" t="s">
        <v>15</v>
      </c>
      <c r="M24">
        <v>6</v>
      </c>
      <c r="N24">
        <v>6720</v>
      </c>
      <c r="O24">
        <v>1884.9599999999996</v>
      </c>
      <c r="P24">
        <v>4835.0400000000009</v>
      </c>
      <c r="Q24">
        <v>3950.9399999999996</v>
      </c>
      <c r="R24">
        <v>1008</v>
      </c>
      <c r="S24">
        <v>304.416</v>
      </c>
      <c r="T24">
        <v>1456.6440000000005</v>
      </c>
      <c r="V24" s="26" t="s">
        <v>15</v>
      </c>
      <c r="W24">
        <v>4</v>
      </c>
      <c r="X24">
        <v>4480</v>
      </c>
      <c r="Y24">
        <v>2633.96</v>
      </c>
      <c r="Z24">
        <v>672</v>
      </c>
      <c r="AA24">
        <v>202.94399999999999</v>
      </c>
      <c r="AB24">
        <v>971.096</v>
      </c>
      <c r="AD24" s="26" t="s">
        <v>15</v>
      </c>
      <c r="AE24">
        <v>2</v>
      </c>
      <c r="AF24">
        <v>2240</v>
      </c>
      <c r="AG24">
        <v>1316.98</v>
      </c>
      <c r="AH24">
        <v>336</v>
      </c>
      <c r="AI24">
        <v>101.47199999999999</v>
      </c>
      <c r="AJ24">
        <v>485.548</v>
      </c>
    </row>
    <row r="25" spans="1:36" x14ac:dyDescent="0.25">
      <c r="A25" s="24">
        <v>88</v>
      </c>
      <c r="B25" t="s">
        <v>442</v>
      </c>
      <c r="C25" t="s">
        <v>419</v>
      </c>
      <c r="D25" t="s">
        <v>8</v>
      </c>
      <c r="E25">
        <v>97.2</v>
      </c>
      <c r="F25">
        <v>441.53</v>
      </c>
      <c r="G25">
        <v>619</v>
      </c>
      <c r="H25">
        <v>0</v>
      </c>
      <c r="I25">
        <v>619</v>
      </c>
      <c r="J25">
        <v>92.85</v>
      </c>
      <c r="L25" s="23" t="s">
        <v>444</v>
      </c>
      <c r="M25">
        <v>169</v>
      </c>
      <c r="N25">
        <v>125228</v>
      </c>
      <c r="O25">
        <v>24749.110000000041</v>
      </c>
      <c r="P25">
        <v>100478.88999999996</v>
      </c>
      <c r="Q25">
        <v>82940.880000000034</v>
      </c>
      <c r="R25">
        <v>18784.199999999997</v>
      </c>
      <c r="S25">
        <v>5672.8283999999985</v>
      </c>
      <c r="T25">
        <v>17830.091599999971</v>
      </c>
      <c r="V25" s="23" t="s">
        <v>444</v>
      </c>
      <c r="W25">
        <v>87</v>
      </c>
      <c r="X25">
        <v>65123</v>
      </c>
      <c r="Y25">
        <v>42982.349999999962</v>
      </c>
      <c r="Z25">
        <v>9768.4500000000044</v>
      </c>
      <c r="AA25">
        <v>2950.0719000000013</v>
      </c>
      <c r="AB25">
        <v>9422.1281000000326</v>
      </c>
      <c r="AD25" s="23" t="s">
        <v>444</v>
      </c>
      <c r="AE25">
        <v>82</v>
      </c>
      <c r="AF25">
        <v>60105</v>
      </c>
      <c r="AG25">
        <v>39958.529999999977</v>
      </c>
      <c r="AH25">
        <v>9015.7500000000018</v>
      </c>
      <c r="AI25">
        <v>2722.7565000000004</v>
      </c>
      <c r="AJ25">
        <v>8407.9635000000198</v>
      </c>
    </row>
    <row r="26" spans="1:36" x14ac:dyDescent="0.25">
      <c r="A26" s="24">
        <v>89</v>
      </c>
      <c r="B26" t="s">
        <v>443</v>
      </c>
      <c r="C26" t="s">
        <v>419</v>
      </c>
      <c r="D26" t="s">
        <v>8</v>
      </c>
      <c r="E26">
        <v>97.2</v>
      </c>
      <c r="F26">
        <v>441.53</v>
      </c>
      <c r="G26">
        <v>619</v>
      </c>
      <c r="H26">
        <v>0</v>
      </c>
      <c r="I26">
        <v>619</v>
      </c>
      <c r="J26">
        <v>92.85</v>
      </c>
    </row>
    <row r="27" spans="1:36" x14ac:dyDescent="0.25">
      <c r="A27" s="24">
        <v>90</v>
      </c>
      <c r="B27" t="s">
        <v>443</v>
      </c>
      <c r="C27" t="s">
        <v>419</v>
      </c>
      <c r="D27" t="s">
        <v>8</v>
      </c>
      <c r="E27">
        <v>97.2</v>
      </c>
      <c r="F27">
        <v>441.53</v>
      </c>
      <c r="G27">
        <v>619</v>
      </c>
      <c r="H27">
        <v>0</v>
      </c>
      <c r="I27">
        <v>619</v>
      </c>
      <c r="J27">
        <v>92.85</v>
      </c>
    </row>
    <row r="28" spans="1:36" x14ac:dyDescent="0.25">
      <c r="A28" s="24">
        <v>91</v>
      </c>
      <c r="B28" t="s">
        <v>442</v>
      </c>
      <c r="C28" t="s">
        <v>419</v>
      </c>
      <c r="D28" t="s">
        <v>8</v>
      </c>
      <c r="E28">
        <v>97.2</v>
      </c>
      <c r="F28">
        <v>441.53</v>
      </c>
      <c r="G28">
        <v>619</v>
      </c>
      <c r="H28">
        <v>0</v>
      </c>
      <c r="I28">
        <v>619</v>
      </c>
      <c r="J28">
        <v>92.85</v>
      </c>
    </row>
    <row r="29" spans="1:36" x14ac:dyDescent="0.25">
      <c r="A29" s="24">
        <v>92</v>
      </c>
      <c r="B29" t="s">
        <v>441</v>
      </c>
      <c r="C29" t="s">
        <v>419</v>
      </c>
      <c r="D29" t="s">
        <v>8</v>
      </c>
      <c r="E29">
        <v>97.2</v>
      </c>
      <c r="F29">
        <v>441.53</v>
      </c>
      <c r="G29">
        <v>619</v>
      </c>
      <c r="H29">
        <v>0</v>
      </c>
      <c r="I29">
        <v>619</v>
      </c>
      <c r="J29">
        <v>92.85</v>
      </c>
    </row>
    <row r="30" spans="1:36" x14ac:dyDescent="0.25">
      <c r="A30" s="24">
        <v>93</v>
      </c>
      <c r="B30" t="s">
        <v>442</v>
      </c>
      <c r="C30" t="s">
        <v>419</v>
      </c>
      <c r="D30" t="s">
        <v>8</v>
      </c>
      <c r="E30">
        <v>97.2</v>
      </c>
      <c r="F30">
        <v>441.53</v>
      </c>
      <c r="G30">
        <v>619</v>
      </c>
      <c r="H30">
        <v>0</v>
      </c>
      <c r="I30">
        <v>619</v>
      </c>
      <c r="J30">
        <v>92.85</v>
      </c>
    </row>
    <row r="31" spans="1:36" x14ac:dyDescent="0.25">
      <c r="A31" s="24">
        <v>94</v>
      </c>
      <c r="B31" t="s">
        <v>443</v>
      </c>
      <c r="C31" t="s">
        <v>419</v>
      </c>
      <c r="D31" t="s">
        <v>8</v>
      </c>
      <c r="E31">
        <v>97.2</v>
      </c>
      <c r="F31">
        <v>441.53</v>
      </c>
      <c r="G31">
        <v>619</v>
      </c>
      <c r="H31">
        <v>0</v>
      </c>
      <c r="I31">
        <v>619</v>
      </c>
      <c r="J31">
        <v>92.85</v>
      </c>
    </row>
    <row r="32" spans="1:36" x14ac:dyDescent="0.25">
      <c r="A32" s="24">
        <v>95</v>
      </c>
      <c r="B32" t="s">
        <v>443</v>
      </c>
      <c r="C32" t="s">
        <v>419</v>
      </c>
      <c r="D32" t="s">
        <v>8</v>
      </c>
      <c r="E32">
        <v>97.2</v>
      </c>
      <c r="F32">
        <v>441.53</v>
      </c>
      <c r="G32">
        <v>619</v>
      </c>
      <c r="H32">
        <v>0</v>
      </c>
      <c r="I32">
        <v>619</v>
      </c>
      <c r="J32">
        <v>92.85</v>
      </c>
    </row>
    <row r="33" spans="1:10" x14ac:dyDescent="0.25">
      <c r="A33" s="24">
        <v>96</v>
      </c>
      <c r="B33" t="s">
        <v>443</v>
      </c>
      <c r="C33" t="s">
        <v>419</v>
      </c>
      <c r="D33" t="s">
        <v>8</v>
      </c>
      <c r="E33">
        <v>97.2</v>
      </c>
      <c r="F33">
        <v>441.53</v>
      </c>
      <c r="G33">
        <v>619</v>
      </c>
      <c r="H33">
        <v>0</v>
      </c>
      <c r="I33">
        <v>619</v>
      </c>
      <c r="J33">
        <v>92.85</v>
      </c>
    </row>
    <row r="34" spans="1:10" x14ac:dyDescent="0.25">
      <c r="A34" s="24">
        <v>97</v>
      </c>
      <c r="B34" t="s">
        <v>442</v>
      </c>
      <c r="C34" t="s">
        <v>419</v>
      </c>
      <c r="D34" t="s">
        <v>8</v>
      </c>
      <c r="E34">
        <v>97.2</v>
      </c>
      <c r="F34">
        <v>441.53</v>
      </c>
      <c r="G34">
        <v>619</v>
      </c>
      <c r="H34">
        <v>0</v>
      </c>
      <c r="I34">
        <v>619</v>
      </c>
      <c r="J34">
        <v>92.85</v>
      </c>
    </row>
    <row r="35" spans="1:10" x14ac:dyDescent="0.25">
      <c r="A35" s="24">
        <v>98</v>
      </c>
      <c r="B35" t="s">
        <v>442</v>
      </c>
      <c r="C35" t="s">
        <v>419</v>
      </c>
      <c r="D35" t="s">
        <v>8</v>
      </c>
      <c r="E35">
        <v>97.2</v>
      </c>
      <c r="F35">
        <v>441.53</v>
      </c>
      <c r="G35">
        <v>619</v>
      </c>
      <c r="H35">
        <v>0</v>
      </c>
      <c r="I35">
        <v>619</v>
      </c>
      <c r="J35">
        <v>92.85</v>
      </c>
    </row>
    <row r="36" spans="1:10" x14ac:dyDescent="0.25">
      <c r="A36" s="24">
        <v>99</v>
      </c>
      <c r="B36" t="s">
        <v>442</v>
      </c>
      <c r="C36" t="s">
        <v>419</v>
      </c>
      <c r="D36" t="s">
        <v>8</v>
      </c>
      <c r="E36">
        <v>97.2</v>
      </c>
      <c r="F36">
        <v>441.53</v>
      </c>
      <c r="G36">
        <v>619</v>
      </c>
      <c r="H36">
        <v>0</v>
      </c>
      <c r="I36">
        <v>619</v>
      </c>
      <c r="J36">
        <v>92.85</v>
      </c>
    </row>
    <row r="37" spans="1:10" x14ac:dyDescent="0.25">
      <c r="A37" s="24">
        <v>100</v>
      </c>
      <c r="B37" t="s">
        <v>442</v>
      </c>
      <c r="C37" t="s">
        <v>419</v>
      </c>
      <c r="D37" t="s">
        <v>8</v>
      </c>
      <c r="E37">
        <v>97.2</v>
      </c>
      <c r="F37">
        <v>441.53</v>
      </c>
      <c r="G37">
        <v>619</v>
      </c>
      <c r="H37">
        <v>0</v>
      </c>
      <c r="I37">
        <v>619</v>
      </c>
      <c r="J37">
        <v>92.85</v>
      </c>
    </row>
    <row r="38" spans="1:10" x14ac:dyDescent="0.25">
      <c r="A38" s="24">
        <v>101</v>
      </c>
      <c r="B38" t="s">
        <v>441</v>
      </c>
      <c r="C38" t="s">
        <v>419</v>
      </c>
      <c r="D38" t="s">
        <v>8</v>
      </c>
      <c r="E38">
        <v>97.2</v>
      </c>
      <c r="F38">
        <v>441.53</v>
      </c>
      <c r="G38">
        <v>619</v>
      </c>
      <c r="H38">
        <v>0</v>
      </c>
      <c r="I38">
        <v>619</v>
      </c>
      <c r="J38">
        <v>92.85</v>
      </c>
    </row>
    <row r="39" spans="1:10" x14ac:dyDescent="0.25">
      <c r="A39" s="24">
        <v>102</v>
      </c>
      <c r="B39" t="s">
        <v>442</v>
      </c>
      <c r="C39" t="s">
        <v>419</v>
      </c>
      <c r="D39" t="s">
        <v>8</v>
      </c>
      <c r="E39">
        <v>97.2</v>
      </c>
      <c r="F39">
        <v>441.53</v>
      </c>
      <c r="G39">
        <v>619</v>
      </c>
      <c r="H39">
        <v>0</v>
      </c>
      <c r="I39">
        <v>619</v>
      </c>
      <c r="J39">
        <v>92.85</v>
      </c>
    </row>
    <row r="40" spans="1:10" x14ac:dyDescent="0.25">
      <c r="A40" s="24">
        <v>103</v>
      </c>
      <c r="B40" t="s">
        <v>442</v>
      </c>
      <c r="C40" t="s">
        <v>419</v>
      </c>
      <c r="D40" t="s">
        <v>22</v>
      </c>
      <c r="E40">
        <v>119.43</v>
      </c>
      <c r="F40">
        <v>463.76</v>
      </c>
      <c r="G40">
        <v>696</v>
      </c>
      <c r="H40">
        <v>0</v>
      </c>
      <c r="I40">
        <v>696</v>
      </c>
      <c r="J40">
        <v>104.39999999999999</v>
      </c>
    </row>
    <row r="41" spans="1:10" x14ac:dyDescent="0.25">
      <c r="A41" s="24">
        <v>104</v>
      </c>
      <c r="B41" t="s">
        <v>443</v>
      </c>
      <c r="C41" t="s">
        <v>419</v>
      </c>
      <c r="D41" t="s">
        <v>22</v>
      </c>
      <c r="E41">
        <v>119.43</v>
      </c>
      <c r="F41">
        <v>463.76</v>
      </c>
      <c r="G41">
        <v>696</v>
      </c>
      <c r="H41">
        <v>0</v>
      </c>
      <c r="I41">
        <v>696</v>
      </c>
      <c r="J41">
        <v>104.39999999999999</v>
      </c>
    </row>
    <row r="42" spans="1:10" x14ac:dyDescent="0.25">
      <c r="A42" s="24">
        <v>105</v>
      </c>
      <c r="B42" t="s">
        <v>441</v>
      </c>
      <c r="C42" t="s">
        <v>419</v>
      </c>
      <c r="D42" t="s">
        <v>22</v>
      </c>
      <c r="E42">
        <v>119.43</v>
      </c>
      <c r="F42">
        <v>463.76</v>
      </c>
      <c r="G42">
        <v>696</v>
      </c>
      <c r="H42">
        <v>0</v>
      </c>
      <c r="I42">
        <v>696</v>
      </c>
      <c r="J42">
        <v>104.39999999999999</v>
      </c>
    </row>
    <row r="43" spans="1:10" x14ac:dyDescent="0.25">
      <c r="A43" s="24">
        <v>106</v>
      </c>
      <c r="B43" t="s">
        <v>442</v>
      </c>
      <c r="C43" t="s">
        <v>419</v>
      </c>
      <c r="D43" t="s">
        <v>22</v>
      </c>
      <c r="E43">
        <v>119.43</v>
      </c>
      <c r="F43">
        <v>463.76</v>
      </c>
      <c r="G43">
        <v>696</v>
      </c>
      <c r="H43">
        <v>0</v>
      </c>
      <c r="I43">
        <v>696</v>
      </c>
      <c r="J43">
        <v>104.39999999999999</v>
      </c>
    </row>
    <row r="44" spans="1:10" x14ac:dyDescent="0.25">
      <c r="A44" s="24">
        <v>107</v>
      </c>
      <c r="B44" t="s">
        <v>443</v>
      </c>
      <c r="C44" t="s">
        <v>419</v>
      </c>
      <c r="D44" t="s">
        <v>22</v>
      </c>
      <c r="E44">
        <v>119.43</v>
      </c>
      <c r="F44">
        <v>463.76</v>
      </c>
      <c r="G44">
        <v>696</v>
      </c>
      <c r="H44">
        <v>0</v>
      </c>
      <c r="I44">
        <v>696</v>
      </c>
      <c r="J44">
        <v>104.39999999999999</v>
      </c>
    </row>
    <row r="45" spans="1:10" x14ac:dyDescent="0.25">
      <c r="A45" s="24">
        <v>108</v>
      </c>
      <c r="B45" t="s">
        <v>443</v>
      </c>
      <c r="C45" t="s">
        <v>419</v>
      </c>
      <c r="D45" t="s">
        <v>22</v>
      </c>
      <c r="E45">
        <v>119.43</v>
      </c>
      <c r="F45">
        <v>463.76</v>
      </c>
      <c r="G45">
        <v>696</v>
      </c>
      <c r="H45">
        <v>0</v>
      </c>
      <c r="I45">
        <v>696</v>
      </c>
      <c r="J45">
        <v>104.39999999999999</v>
      </c>
    </row>
    <row r="46" spans="1:10" x14ac:dyDescent="0.25">
      <c r="A46" s="24">
        <v>109</v>
      </c>
      <c r="B46" t="s">
        <v>442</v>
      </c>
      <c r="C46" t="s">
        <v>419</v>
      </c>
      <c r="D46" t="s">
        <v>22</v>
      </c>
      <c r="E46">
        <v>119.43</v>
      </c>
      <c r="F46">
        <v>463.76</v>
      </c>
      <c r="G46">
        <v>696</v>
      </c>
      <c r="H46">
        <v>0</v>
      </c>
      <c r="I46">
        <v>696</v>
      </c>
      <c r="J46">
        <v>104.39999999999999</v>
      </c>
    </row>
    <row r="47" spans="1:10" x14ac:dyDescent="0.25">
      <c r="A47" s="24">
        <v>110</v>
      </c>
      <c r="B47" t="s">
        <v>442</v>
      </c>
      <c r="C47" t="s">
        <v>419</v>
      </c>
      <c r="D47" t="s">
        <v>22</v>
      </c>
      <c r="E47">
        <v>119.43</v>
      </c>
      <c r="F47">
        <v>463.76</v>
      </c>
      <c r="G47">
        <v>696</v>
      </c>
      <c r="H47">
        <v>0.05</v>
      </c>
      <c r="I47">
        <v>662</v>
      </c>
      <c r="J47">
        <v>99.3</v>
      </c>
    </row>
    <row r="48" spans="1:10" x14ac:dyDescent="0.25">
      <c r="A48" s="24">
        <v>111</v>
      </c>
      <c r="B48" t="s">
        <v>443</v>
      </c>
      <c r="C48" t="s">
        <v>419</v>
      </c>
      <c r="D48" t="s">
        <v>22</v>
      </c>
      <c r="E48">
        <v>119.43</v>
      </c>
      <c r="F48">
        <v>463.76</v>
      </c>
      <c r="G48">
        <v>696</v>
      </c>
      <c r="H48">
        <v>0</v>
      </c>
      <c r="I48">
        <v>696</v>
      </c>
      <c r="J48">
        <v>104.39999999999999</v>
      </c>
    </row>
    <row r="49" spans="1:10" x14ac:dyDescent="0.25">
      <c r="A49" s="24">
        <v>112</v>
      </c>
      <c r="B49" t="s">
        <v>442</v>
      </c>
      <c r="C49" t="s">
        <v>419</v>
      </c>
      <c r="D49" t="s">
        <v>22</v>
      </c>
      <c r="E49">
        <v>119.43</v>
      </c>
      <c r="F49">
        <v>463.76</v>
      </c>
      <c r="G49">
        <v>696</v>
      </c>
      <c r="H49">
        <v>0</v>
      </c>
      <c r="I49">
        <v>696</v>
      </c>
      <c r="J49">
        <v>104.39999999999999</v>
      </c>
    </row>
    <row r="50" spans="1:10" x14ac:dyDescent="0.25">
      <c r="A50" s="24">
        <v>113</v>
      </c>
      <c r="B50" t="s">
        <v>442</v>
      </c>
      <c r="C50" t="s">
        <v>419</v>
      </c>
      <c r="D50" t="s">
        <v>22</v>
      </c>
      <c r="E50">
        <v>119.43</v>
      </c>
      <c r="F50">
        <v>463.76</v>
      </c>
      <c r="G50">
        <v>696</v>
      </c>
      <c r="H50">
        <v>0</v>
      </c>
      <c r="I50">
        <v>696</v>
      </c>
      <c r="J50">
        <v>104.39999999999999</v>
      </c>
    </row>
    <row r="51" spans="1:10" x14ac:dyDescent="0.25">
      <c r="A51" s="24">
        <v>114</v>
      </c>
      <c r="B51" t="s">
        <v>441</v>
      </c>
      <c r="C51" t="s">
        <v>419</v>
      </c>
      <c r="D51" t="s">
        <v>22</v>
      </c>
      <c r="E51">
        <v>119.43</v>
      </c>
      <c r="F51">
        <v>463.76</v>
      </c>
      <c r="G51">
        <v>696</v>
      </c>
      <c r="H51">
        <v>0</v>
      </c>
      <c r="I51">
        <v>696</v>
      </c>
      <c r="J51">
        <v>104.39999999999999</v>
      </c>
    </row>
    <row r="52" spans="1:10" x14ac:dyDescent="0.25">
      <c r="A52" s="24">
        <v>115</v>
      </c>
      <c r="B52" t="s">
        <v>441</v>
      </c>
      <c r="C52" t="s">
        <v>419</v>
      </c>
      <c r="D52" t="s">
        <v>22</v>
      </c>
      <c r="E52">
        <v>119.43</v>
      </c>
      <c r="F52">
        <v>463.76</v>
      </c>
      <c r="G52">
        <v>696</v>
      </c>
      <c r="H52">
        <v>0</v>
      </c>
      <c r="I52">
        <v>696</v>
      </c>
      <c r="J52">
        <v>104.39999999999999</v>
      </c>
    </row>
    <row r="53" spans="1:10" x14ac:dyDescent="0.25">
      <c r="A53" s="24">
        <v>116</v>
      </c>
      <c r="B53" t="s">
        <v>442</v>
      </c>
      <c r="C53" t="s">
        <v>419</v>
      </c>
      <c r="D53" t="s">
        <v>37</v>
      </c>
      <c r="E53">
        <v>109.24000000000001</v>
      </c>
      <c r="F53">
        <v>453.57</v>
      </c>
      <c r="G53">
        <v>681</v>
      </c>
      <c r="H53">
        <v>0</v>
      </c>
      <c r="I53">
        <v>681</v>
      </c>
      <c r="J53">
        <v>102.14999999999999</v>
      </c>
    </row>
    <row r="54" spans="1:10" x14ac:dyDescent="0.25">
      <c r="A54" s="24">
        <v>117</v>
      </c>
      <c r="B54" t="s">
        <v>441</v>
      </c>
      <c r="C54" t="s">
        <v>419</v>
      </c>
      <c r="D54" t="s">
        <v>37</v>
      </c>
      <c r="E54">
        <v>109.24000000000001</v>
      </c>
      <c r="F54">
        <v>453.57</v>
      </c>
      <c r="G54">
        <v>681</v>
      </c>
      <c r="H54">
        <v>0</v>
      </c>
      <c r="I54">
        <v>681</v>
      </c>
      <c r="J54">
        <v>102.14999999999999</v>
      </c>
    </row>
    <row r="55" spans="1:10" x14ac:dyDescent="0.25">
      <c r="A55" s="24">
        <v>118</v>
      </c>
      <c r="B55" t="s">
        <v>442</v>
      </c>
      <c r="C55" t="s">
        <v>419</v>
      </c>
      <c r="D55" t="s">
        <v>37</v>
      </c>
      <c r="E55">
        <v>109.24000000000001</v>
      </c>
      <c r="F55">
        <v>453.57</v>
      </c>
      <c r="G55">
        <v>681</v>
      </c>
      <c r="H55">
        <v>0</v>
      </c>
      <c r="I55">
        <v>681</v>
      </c>
      <c r="J55">
        <v>102.14999999999999</v>
      </c>
    </row>
    <row r="56" spans="1:10" x14ac:dyDescent="0.25">
      <c r="A56" s="24">
        <v>119</v>
      </c>
      <c r="B56" t="s">
        <v>442</v>
      </c>
      <c r="C56" t="s">
        <v>419</v>
      </c>
      <c r="D56" t="s">
        <v>37</v>
      </c>
      <c r="E56">
        <v>109.24000000000001</v>
      </c>
      <c r="F56">
        <v>453.57</v>
      </c>
      <c r="G56">
        <v>681</v>
      </c>
      <c r="H56">
        <v>0</v>
      </c>
      <c r="I56">
        <v>681</v>
      </c>
      <c r="J56">
        <v>102.14999999999999</v>
      </c>
    </row>
    <row r="57" spans="1:10" x14ac:dyDescent="0.25">
      <c r="A57" s="24">
        <v>120</v>
      </c>
      <c r="B57" t="s">
        <v>441</v>
      </c>
      <c r="C57" t="s">
        <v>419</v>
      </c>
      <c r="D57" t="s">
        <v>37</v>
      </c>
      <c r="E57">
        <v>109.24000000000001</v>
      </c>
      <c r="F57">
        <v>453.57</v>
      </c>
      <c r="G57">
        <v>681</v>
      </c>
      <c r="H57">
        <v>0</v>
      </c>
      <c r="I57">
        <v>681</v>
      </c>
      <c r="J57">
        <v>102.14999999999999</v>
      </c>
    </row>
    <row r="58" spans="1:10" x14ac:dyDescent="0.25">
      <c r="A58" s="24">
        <v>121</v>
      </c>
      <c r="B58" t="s">
        <v>442</v>
      </c>
      <c r="C58" t="s">
        <v>419</v>
      </c>
      <c r="D58" t="s">
        <v>37</v>
      </c>
      <c r="E58">
        <v>109.24000000000001</v>
      </c>
      <c r="F58">
        <v>453.57</v>
      </c>
      <c r="G58">
        <v>681</v>
      </c>
      <c r="H58">
        <v>0</v>
      </c>
      <c r="I58">
        <v>681</v>
      </c>
      <c r="J58">
        <v>102.14999999999999</v>
      </c>
    </row>
    <row r="59" spans="1:10" x14ac:dyDescent="0.25">
      <c r="A59" s="24">
        <v>122</v>
      </c>
      <c r="B59" t="s">
        <v>443</v>
      </c>
      <c r="C59" t="s">
        <v>419</v>
      </c>
      <c r="D59" t="s">
        <v>37</v>
      </c>
      <c r="E59">
        <v>109.24000000000001</v>
      </c>
      <c r="F59">
        <v>453.57</v>
      </c>
      <c r="G59">
        <v>681</v>
      </c>
      <c r="H59">
        <v>0</v>
      </c>
      <c r="I59">
        <v>681</v>
      </c>
      <c r="J59">
        <v>102.14999999999999</v>
      </c>
    </row>
    <row r="60" spans="1:10" x14ac:dyDescent="0.25">
      <c r="A60" s="24">
        <v>123</v>
      </c>
      <c r="B60" t="s">
        <v>442</v>
      </c>
      <c r="C60" t="s">
        <v>419</v>
      </c>
      <c r="D60" t="s">
        <v>37</v>
      </c>
      <c r="E60">
        <v>109.24000000000001</v>
      </c>
      <c r="F60">
        <v>453.57</v>
      </c>
      <c r="G60">
        <v>681</v>
      </c>
      <c r="H60">
        <v>0</v>
      </c>
      <c r="I60">
        <v>681</v>
      </c>
      <c r="J60">
        <v>102.14999999999999</v>
      </c>
    </row>
    <row r="61" spans="1:10" x14ac:dyDescent="0.25">
      <c r="A61" s="24">
        <v>124</v>
      </c>
      <c r="B61" t="s">
        <v>441</v>
      </c>
      <c r="C61" t="s">
        <v>419</v>
      </c>
      <c r="D61" t="s">
        <v>17</v>
      </c>
      <c r="E61">
        <v>131.76999999999998</v>
      </c>
      <c r="F61">
        <v>476.09999999999997</v>
      </c>
      <c r="G61">
        <v>715</v>
      </c>
      <c r="H61">
        <v>0</v>
      </c>
      <c r="I61">
        <v>715</v>
      </c>
      <c r="J61">
        <v>107.25</v>
      </c>
    </row>
    <row r="62" spans="1:10" x14ac:dyDescent="0.25">
      <c r="A62" s="24">
        <v>125</v>
      </c>
      <c r="B62" t="s">
        <v>443</v>
      </c>
      <c r="C62" t="s">
        <v>419</v>
      </c>
      <c r="D62" t="s">
        <v>17</v>
      </c>
      <c r="E62">
        <v>131.76999999999998</v>
      </c>
      <c r="F62">
        <v>476.09999999999997</v>
      </c>
      <c r="G62">
        <v>715</v>
      </c>
      <c r="H62">
        <v>0</v>
      </c>
      <c r="I62">
        <v>715</v>
      </c>
      <c r="J62">
        <v>107.25</v>
      </c>
    </row>
    <row r="63" spans="1:10" x14ac:dyDescent="0.25">
      <c r="A63" s="24">
        <v>126</v>
      </c>
      <c r="B63" t="s">
        <v>441</v>
      </c>
      <c r="C63" t="s">
        <v>419</v>
      </c>
      <c r="D63" t="s">
        <v>17</v>
      </c>
      <c r="E63">
        <v>131.76999999999998</v>
      </c>
      <c r="F63">
        <v>476.09999999999997</v>
      </c>
      <c r="G63">
        <v>715</v>
      </c>
      <c r="H63">
        <v>0</v>
      </c>
      <c r="I63">
        <v>715</v>
      </c>
      <c r="J63">
        <v>107.25</v>
      </c>
    </row>
    <row r="64" spans="1:10" x14ac:dyDescent="0.25">
      <c r="A64" s="24">
        <v>127</v>
      </c>
      <c r="B64" t="s">
        <v>443</v>
      </c>
      <c r="C64" t="s">
        <v>419</v>
      </c>
      <c r="D64" t="s">
        <v>17</v>
      </c>
      <c r="E64">
        <v>131.76999999999998</v>
      </c>
      <c r="F64">
        <v>476.09999999999997</v>
      </c>
      <c r="G64">
        <v>715</v>
      </c>
      <c r="H64">
        <v>0</v>
      </c>
      <c r="I64">
        <v>715</v>
      </c>
      <c r="J64">
        <v>107.25</v>
      </c>
    </row>
    <row r="65" spans="1:10" x14ac:dyDescent="0.25">
      <c r="A65" s="24">
        <v>128</v>
      </c>
      <c r="B65" t="s">
        <v>443</v>
      </c>
      <c r="C65" t="s">
        <v>419</v>
      </c>
      <c r="D65" t="s">
        <v>17</v>
      </c>
      <c r="E65">
        <v>131.76999999999998</v>
      </c>
      <c r="F65">
        <v>476.09999999999997</v>
      </c>
      <c r="G65">
        <v>715</v>
      </c>
      <c r="H65">
        <v>0</v>
      </c>
      <c r="I65">
        <v>715</v>
      </c>
      <c r="J65">
        <v>107.25</v>
      </c>
    </row>
    <row r="66" spans="1:10" x14ac:dyDescent="0.25">
      <c r="A66" s="24">
        <v>129</v>
      </c>
      <c r="B66" t="s">
        <v>441</v>
      </c>
      <c r="C66" t="s">
        <v>419</v>
      </c>
      <c r="D66" t="s">
        <v>17</v>
      </c>
      <c r="E66">
        <v>131.76999999999998</v>
      </c>
      <c r="F66">
        <v>476.09999999999997</v>
      </c>
      <c r="G66">
        <v>715</v>
      </c>
      <c r="H66">
        <v>0</v>
      </c>
      <c r="I66">
        <v>715</v>
      </c>
      <c r="J66">
        <v>107.25</v>
      </c>
    </row>
    <row r="67" spans="1:10" x14ac:dyDescent="0.25">
      <c r="A67" s="24">
        <v>130</v>
      </c>
      <c r="B67" t="s">
        <v>443</v>
      </c>
      <c r="C67" t="s">
        <v>419</v>
      </c>
      <c r="D67" t="s">
        <v>17</v>
      </c>
      <c r="E67">
        <v>131.76999999999998</v>
      </c>
      <c r="F67">
        <v>476.09999999999997</v>
      </c>
      <c r="G67">
        <v>715</v>
      </c>
      <c r="H67">
        <v>0</v>
      </c>
      <c r="I67">
        <v>715</v>
      </c>
      <c r="J67">
        <v>107.25</v>
      </c>
    </row>
    <row r="68" spans="1:10" x14ac:dyDescent="0.25">
      <c r="A68" s="24">
        <v>131</v>
      </c>
      <c r="B68" t="s">
        <v>442</v>
      </c>
      <c r="C68" t="s">
        <v>419</v>
      </c>
      <c r="D68" t="s">
        <v>17</v>
      </c>
      <c r="E68">
        <v>131.76999999999998</v>
      </c>
      <c r="F68">
        <v>476.09999999999997</v>
      </c>
      <c r="G68">
        <v>715</v>
      </c>
      <c r="H68">
        <v>0</v>
      </c>
      <c r="I68">
        <v>715</v>
      </c>
      <c r="J68">
        <v>107.25</v>
      </c>
    </row>
    <row r="69" spans="1:10" x14ac:dyDescent="0.25">
      <c r="A69" s="24">
        <v>132</v>
      </c>
      <c r="B69" t="s">
        <v>443</v>
      </c>
      <c r="C69" t="s">
        <v>419</v>
      </c>
      <c r="D69" t="s">
        <v>17</v>
      </c>
      <c r="E69">
        <v>131.76999999999998</v>
      </c>
      <c r="F69">
        <v>476.09999999999997</v>
      </c>
      <c r="G69">
        <v>715</v>
      </c>
      <c r="H69">
        <v>0</v>
      </c>
      <c r="I69">
        <v>715</v>
      </c>
      <c r="J69">
        <v>107.25</v>
      </c>
    </row>
    <row r="70" spans="1:10" x14ac:dyDescent="0.25">
      <c r="A70" s="24">
        <v>133</v>
      </c>
      <c r="B70" t="s">
        <v>443</v>
      </c>
      <c r="C70" t="s">
        <v>419</v>
      </c>
      <c r="D70" t="s">
        <v>17</v>
      </c>
      <c r="E70">
        <v>131.76999999999998</v>
      </c>
      <c r="F70">
        <v>476.09999999999997</v>
      </c>
      <c r="G70">
        <v>715</v>
      </c>
      <c r="H70">
        <v>0</v>
      </c>
      <c r="I70">
        <v>715</v>
      </c>
      <c r="J70">
        <v>107.25</v>
      </c>
    </row>
    <row r="71" spans="1:10" x14ac:dyDescent="0.25">
      <c r="A71" s="24">
        <v>134</v>
      </c>
      <c r="B71" t="s">
        <v>441</v>
      </c>
      <c r="C71" t="s">
        <v>419</v>
      </c>
      <c r="D71" t="s">
        <v>17</v>
      </c>
      <c r="E71">
        <v>131.76999999999998</v>
      </c>
      <c r="F71">
        <v>476.09999999999997</v>
      </c>
      <c r="G71">
        <v>715</v>
      </c>
      <c r="H71">
        <v>0</v>
      </c>
      <c r="I71">
        <v>715</v>
      </c>
      <c r="J71">
        <v>107.25</v>
      </c>
    </row>
    <row r="72" spans="1:10" x14ac:dyDescent="0.25">
      <c r="A72" s="24">
        <v>135</v>
      </c>
      <c r="B72" t="s">
        <v>442</v>
      </c>
      <c r="C72" t="s">
        <v>419</v>
      </c>
      <c r="D72" t="s">
        <v>17</v>
      </c>
      <c r="E72">
        <v>131.76999999999998</v>
      </c>
      <c r="F72">
        <v>476.09999999999997</v>
      </c>
      <c r="G72">
        <v>715</v>
      </c>
      <c r="H72">
        <v>0</v>
      </c>
      <c r="I72">
        <v>715</v>
      </c>
      <c r="J72">
        <v>107.25</v>
      </c>
    </row>
    <row r="73" spans="1:10" x14ac:dyDescent="0.25">
      <c r="A73" s="24">
        <v>136</v>
      </c>
      <c r="B73" t="s">
        <v>443</v>
      </c>
      <c r="C73" t="s">
        <v>419</v>
      </c>
      <c r="D73" t="s">
        <v>17</v>
      </c>
      <c r="E73">
        <v>131.76999999999998</v>
      </c>
      <c r="F73">
        <v>476.09999999999997</v>
      </c>
      <c r="G73">
        <v>715</v>
      </c>
      <c r="H73">
        <v>0</v>
      </c>
      <c r="I73">
        <v>715</v>
      </c>
      <c r="J73">
        <v>107.25</v>
      </c>
    </row>
    <row r="74" spans="1:10" x14ac:dyDescent="0.25">
      <c r="A74" s="24">
        <v>137</v>
      </c>
      <c r="B74" t="s">
        <v>443</v>
      </c>
      <c r="C74" t="s">
        <v>419</v>
      </c>
      <c r="D74" t="s">
        <v>17</v>
      </c>
      <c r="E74">
        <v>131.76999999999998</v>
      </c>
      <c r="F74">
        <v>476.09999999999997</v>
      </c>
      <c r="G74">
        <v>715</v>
      </c>
      <c r="H74">
        <v>0</v>
      </c>
      <c r="I74">
        <v>715</v>
      </c>
      <c r="J74">
        <v>107.25</v>
      </c>
    </row>
    <row r="75" spans="1:10" x14ac:dyDescent="0.25">
      <c r="A75" s="24">
        <v>138</v>
      </c>
      <c r="B75" t="s">
        <v>442</v>
      </c>
      <c r="C75" t="s">
        <v>419</v>
      </c>
      <c r="D75" t="s">
        <v>17</v>
      </c>
      <c r="E75">
        <v>131.76999999999998</v>
      </c>
      <c r="F75">
        <v>476.09999999999997</v>
      </c>
      <c r="G75">
        <v>715</v>
      </c>
      <c r="H75">
        <v>0</v>
      </c>
      <c r="I75">
        <v>715</v>
      </c>
      <c r="J75">
        <v>107.25</v>
      </c>
    </row>
    <row r="76" spans="1:10" x14ac:dyDescent="0.25">
      <c r="A76" s="24">
        <v>139</v>
      </c>
      <c r="B76" t="s">
        <v>441</v>
      </c>
      <c r="C76" t="s">
        <v>419</v>
      </c>
      <c r="D76" t="s">
        <v>17</v>
      </c>
      <c r="E76">
        <v>131.76999999999998</v>
      </c>
      <c r="F76">
        <v>476.09999999999997</v>
      </c>
      <c r="G76">
        <v>715</v>
      </c>
      <c r="H76">
        <v>0</v>
      </c>
      <c r="I76">
        <v>715</v>
      </c>
      <c r="J76">
        <v>107.25</v>
      </c>
    </row>
    <row r="77" spans="1:10" x14ac:dyDescent="0.25">
      <c r="A77" s="24">
        <v>140</v>
      </c>
      <c r="B77" t="s">
        <v>442</v>
      </c>
      <c r="C77" t="s">
        <v>419</v>
      </c>
      <c r="D77" t="s">
        <v>15</v>
      </c>
      <c r="E77">
        <v>314.15999999999997</v>
      </c>
      <c r="F77">
        <v>658.49</v>
      </c>
      <c r="G77">
        <v>1120</v>
      </c>
      <c r="H77">
        <v>0</v>
      </c>
      <c r="I77">
        <v>1120</v>
      </c>
      <c r="J77">
        <v>168</v>
      </c>
    </row>
    <row r="78" spans="1:10" x14ac:dyDescent="0.25">
      <c r="A78" s="24">
        <v>141</v>
      </c>
      <c r="B78" t="s">
        <v>443</v>
      </c>
      <c r="C78" t="s">
        <v>419</v>
      </c>
      <c r="D78" t="s">
        <v>15</v>
      </c>
      <c r="E78">
        <v>314.15999999999997</v>
      </c>
      <c r="F78">
        <v>658.49</v>
      </c>
      <c r="G78">
        <v>1120</v>
      </c>
      <c r="H78">
        <v>0</v>
      </c>
      <c r="I78">
        <v>1120</v>
      </c>
      <c r="J78">
        <v>168</v>
      </c>
    </row>
    <row r="79" spans="1:10" x14ac:dyDescent="0.25">
      <c r="A79" s="24">
        <v>142</v>
      </c>
      <c r="B79" t="s">
        <v>442</v>
      </c>
      <c r="C79" t="s">
        <v>419</v>
      </c>
      <c r="D79" t="s">
        <v>15</v>
      </c>
      <c r="E79">
        <v>314.15999999999997</v>
      </c>
      <c r="F79">
        <v>658.49</v>
      </c>
      <c r="G79">
        <v>1120</v>
      </c>
      <c r="H79">
        <v>0</v>
      </c>
      <c r="I79">
        <v>1120</v>
      </c>
      <c r="J79">
        <v>168</v>
      </c>
    </row>
    <row r="80" spans="1:10" x14ac:dyDescent="0.25">
      <c r="A80" s="24">
        <v>143</v>
      </c>
      <c r="B80" t="s">
        <v>442</v>
      </c>
      <c r="C80" t="s">
        <v>419</v>
      </c>
      <c r="D80" t="s">
        <v>15</v>
      </c>
      <c r="E80">
        <v>314.15999999999997</v>
      </c>
      <c r="F80">
        <v>658.49</v>
      </c>
      <c r="G80">
        <v>1120</v>
      </c>
      <c r="H80">
        <v>0</v>
      </c>
      <c r="I80">
        <v>1120</v>
      </c>
      <c r="J80">
        <v>168</v>
      </c>
    </row>
    <row r="81" spans="1:10" x14ac:dyDescent="0.25">
      <c r="A81" s="24">
        <v>144</v>
      </c>
      <c r="B81" t="s">
        <v>441</v>
      </c>
      <c r="C81" t="s">
        <v>419</v>
      </c>
      <c r="D81" t="s">
        <v>15</v>
      </c>
      <c r="E81">
        <v>314.15999999999997</v>
      </c>
      <c r="F81">
        <v>658.49</v>
      </c>
      <c r="G81">
        <v>1120</v>
      </c>
      <c r="H81">
        <v>0</v>
      </c>
      <c r="I81">
        <v>1120</v>
      </c>
      <c r="J81">
        <v>168</v>
      </c>
    </row>
    <row r="82" spans="1:10" x14ac:dyDescent="0.25">
      <c r="A82" s="24">
        <v>145</v>
      </c>
      <c r="B82" t="s">
        <v>443</v>
      </c>
      <c r="C82" t="s">
        <v>419</v>
      </c>
      <c r="D82" t="s">
        <v>15</v>
      </c>
      <c r="E82">
        <v>314.15999999999997</v>
      </c>
      <c r="F82">
        <v>658.49</v>
      </c>
      <c r="G82">
        <v>1120</v>
      </c>
      <c r="H82">
        <v>0</v>
      </c>
      <c r="I82">
        <v>1120</v>
      </c>
      <c r="J82">
        <v>168</v>
      </c>
    </row>
    <row r="83" spans="1:10" x14ac:dyDescent="0.25">
      <c r="A83" s="24">
        <v>146</v>
      </c>
      <c r="B83" t="s">
        <v>441</v>
      </c>
      <c r="C83" t="s">
        <v>419</v>
      </c>
      <c r="D83" t="s">
        <v>15</v>
      </c>
      <c r="E83">
        <v>314.15999999999997</v>
      </c>
      <c r="F83">
        <v>658.49</v>
      </c>
      <c r="G83">
        <v>1120</v>
      </c>
      <c r="H83">
        <v>0</v>
      </c>
      <c r="I83">
        <v>1120</v>
      </c>
      <c r="J83">
        <v>168</v>
      </c>
    </row>
    <row r="84" spans="1:10" x14ac:dyDescent="0.25">
      <c r="A84" s="24">
        <v>147</v>
      </c>
      <c r="B84" t="s">
        <v>443</v>
      </c>
      <c r="C84" t="s">
        <v>419</v>
      </c>
      <c r="D84" t="s">
        <v>15</v>
      </c>
      <c r="E84">
        <v>314.15999999999997</v>
      </c>
      <c r="F84">
        <v>658.49</v>
      </c>
      <c r="G84">
        <v>1120</v>
      </c>
      <c r="H84">
        <v>0</v>
      </c>
      <c r="I84">
        <v>1120</v>
      </c>
      <c r="J84">
        <v>168</v>
      </c>
    </row>
    <row r="85" spans="1:10" x14ac:dyDescent="0.25">
      <c r="A85" s="24">
        <v>148</v>
      </c>
      <c r="B85" t="s">
        <v>441</v>
      </c>
      <c r="C85" t="s">
        <v>419</v>
      </c>
      <c r="D85" t="s">
        <v>15</v>
      </c>
      <c r="E85">
        <v>314.15999999999997</v>
      </c>
      <c r="F85">
        <v>658.49</v>
      </c>
      <c r="G85">
        <v>1120</v>
      </c>
      <c r="H85">
        <v>0</v>
      </c>
      <c r="I85">
        <v>1120</v>
      </c>
      <c r="J85">
        <v>168</v>
      </c>
    </row>
    <row r="86" spans="1:10" x14ac:dyDescent="0.25">
      <c r="A86" s="24">
        <v>149</v>
      </c>
      <c r="B86" t="s">
        <v>443</v>
      </c>
      <c r="C86" t="s">
        <v>419</v>
      </c>
      <c r="D86" t="s">
        <v>15</v>
      </c>
      <c r="E86">
        <v>314.15999999999997</v>
      </c>
      <c r="F86">
        <v>658.49</v>
      </c>
      <c r="G86">
        <v>1120</v>
      </c>
      <c r="H86">
        <v>0</v>
      </c>
      <c r="I86">
        <v>1120</v>
      </c>
      <c r="J86">
        <v>168</v>
      </c>
    </row>
    <row r="87" spans="1:10" x14ac:dyDescent="0.25">
      <c r="A87" s="24">
        <v>150</v>
      </c>
      <c r="B87" t="s">
        <v>442</v>
      </c>
      <c r="C87" t="s">
        <v>419</v>
      </c>
      <c r="D87" t="s">
        <v>15</v>
      </c>
      <c r="E87">
        <v>314.15999999999997</v>
      </c>
      <c r="F87">
        <v>658.49</v>
      </c>
      <c r="G87">
        <v>1120</v>
      </c>
      <c r="H87">
        <v>0</v>
      </c>
      <c r="I87">
        <v>1120</v>
      </c>
      <c r="J87">
        <v>168</v>
      </c>
    </row>
    <row r="88" spans="1:10" x14ac:dyDescent="0.25">
      <c r="A88" s="24">
        <v>151</v>
      </c>
      <c r="B88" t="s">
        <v>442</v>
      </c>
      <c r="C88" t="s">
        <v>419</v>
      </c>
      <c r="D88" t="s">
        <v>15</v>
      </c>
      <c r="E88">
        <v>314.15999999999997</v>
      </c>
      <c r="F88">
        <v>658.49</v>
      </c>
      <c r="G88">
        <v>1120</v>
      </c>
      <c r="H88">
        <v>0</v>
      </c>
      <c r="I88">
        <v>1120</v>
      </c>
      <c r="J88">
        <v>168</v>
      </c>
    </row>
    <row r="89" spans="1:10" x14ac:dyDescent="0.25">
      <c r="A89" s="24">
        <v>152</v>
      </c>
      <c r="B89" t="s">
        <v>442</v>
      </c>
      <c r="C89" t="s">
        <v>419</v>
      </c>
      <c r="D89" t="s">
        <v>15</v>
      </c>
      <c r="E89">
        <v>314.15999999999997</v>
      </c>
      <c r="F89">
        <v>658.49</v>
      </c>
      <c r="G89">
        <v>1120</v>
      </c>
      <c r="H89">
        <v>0</v>
      </c>
      <c r="I89">
        <v>1120</v>
      </c>
      <c r="J89">
        <v>168</v>
      </c>
    </row>
    <row r="90" spans="1:10" x14ac:dyDescent="0.25">
      <c r="A90" s="24">
        <v>153</v>
      </c>
      <c r="B90" t="s">
        <v>442</v>
      </c>
      <c r="C90" t="s">
        <v>419</v>
      </c>
      <c r="D90" t="s">
        <v>15</v>
      </c>
      <c r="E90">
        <v>314.15999999999997</v>
      </c>
      <c r="F90">
        <v>658.49</v>
      </c>
      <c r="G90">
        <v>1120</v>
      </c>
      <c r="H90">
        <v>0</v>
      </c>
      <c r="I90">
        <v>1120</v>
      </c>
      <c r="J90">
        <v>168</v>
      </c>
    </row>
    <row r="91" spans="1:10" x14ac:dyDescent="0.25">
      <c r="A91" s="24">
        <v>244</v>
      </c>
      <c r="B91" t="s">
        <v>441</v>
      </c>
      <c r="C91" t="s">
        <v>421</v>
      </c>
      <c r="D91" t="s">
        <v>5</v>
      </c>
      <c r="E91">
        <v>163.13</v>
      </c>
      <c r="F91">
        <v>507.46</v>
      </c>
      <c r="G91">
        <v>762</v>
      </c>
      <c r="H91">
        <v>0</v>
      </c>
      <c r="I91">
        <v>762</v>
      </c>
      <c r="J91">
        <v>114.3</v>
      </c>
    </row>
    <row r="92" spans="1:10" x14ac:dyDescent="0.25">
      <c r="A92" s="24">
        <v>245</v>
      </c>
      <c r="B92" t="s">
        <v>441</v>
      </c>
      <c r="C92" t="s">
        <v>421</v>
      </c>
      <c r="D92" t="s">
        <v>5</v>
      </c>
      <c r="E92">
        <v>163.13</v>
      </c>
      <c r="F92">
        <v>507.46</v>
      </c>
      <c r="G92">
        <v>762</v>
      </c>
      <c r="H92">
        <v>0</v>
      </c>
      <c r="I92">
        <v>762</v>
      </c>
      <c r="J92">
        <v>114.3</v>
      </c>
    </row>
    <row r="93" spans="1:10" x14ac:dyDescent="0.25">
      <c r="A93" s="24">
        <v>246</v>
      </c>
      <c r="B93" t="s">
        <v>442</v>
      </c>
      <c r="C93" t="s">
        <v>421</v>
      </c>
      <c r="D93" t="s">
        <v>5</v>
      </c>
      <c r="E93">
        <v>163.13</v>
      </c>
      <c r="F93">
        <v>507.46</v>
      </c>
      <c r="G93">
        <v>762</v>
      </c>
      <c r="H93">
        <v>0</v>
      </c>
      <c r="I93">
        <v>762</v>
      </c>
      <c r="J93">
        <v>114.3</v>
      </c>
    </row>
    <row r="94" spans="1:10" x14ac:dyDescent="0.25">
      <c r="A94" s="24">
        <v>247</v>
      </c>
      <c r="B94" t="s">
        <v>443</v>
      </c>
      <c r="C94" t="s">
        <v>421</v>
      </c>
      <c r="D94" t="s">
        <v>5</v>
      </c>
      <c r="E94">
        <v>163.13</v>
      </c>
      <c r="F94">
        <v>507.46</v>
      </c>
      <c r="G94">
        <v>762</v>
      </c>
      <c r="H94">
        <v>0</v>
      </c>
      <c r="I94">
        <v>762</v>
      </c>
      <c r="J94">
        <v>114.3</v>
      </c>
    </row>
    <row r="95" spans="1:10" x14ac:dyDescent="0.25">
      <c r="A95" s="24">
        <v>248</v>
      </c>
      <c r="B95" t="s">
        <v>441</v>
      </c>
      <c r="C95" t="s">
        <v>421</v>
      </c>
      <c r="D95" t="s">
        <v>5</v>
      </c>
      <c r="E95">
        <v>163.13</v>
      </c>
      <c r="F95">
        <v>507.46</v>
      </c>
      <c r="G95">
        <v>762</v>
      </c>
      <c r="H95">
        <v>0</v>
      </c>
      <c r="I95">
        <v>762</v>
      </c>
      <c r="J95">
        <v>114.3</v>
      </c>
    </row>
    <row r="96" spans="1:10" x14ac:dyDescent="0.25">
      <c r="A96" s="24">
        <v>249</v>
      </c>
      <c r="B96" t="s">
        <v>443</v>
      </c>
      <c r="C96" t="s">
        <v>421</v>
      </c>
      <c r="D96" t="s">
        <v>5</v>
      </c>
      <c r="E96">
        <v>163.13</v>
      </c>
      <c r="F96">
        <v>507.46</v>
      </c>
      <c r="G96">
        <v>762</v>
      </c>
      <c r="H96">
        <v>0</v>
      </c>
      <c r="I96">
        <v>762</v>
      </c>
      <c r="J96">
        <v>114.3</v>
      </c>
    </row>
    <row r="97" spans="1:10" x14ac:dyDescent="0.25">
      <c r="A97" s="24">
        <v>250</v>
      </c>
      <c r="B97" t="s">
        <v>443</v>
      </c>
      <c r="C97" t="s">
        <v>421</v>
      </c>
      <c r="D97" t="s">
        <v>5</v>
      </c>
      <c r="E97">
        <v>163.13</v>
      </c>
      <c r="F97">
        <v>507.46</v>
      </c>
      <c r="G97">
        <v>762</v>
      </c>
      <c r="H97">
        <v>0</v>
      </c>
      <c r="I97">
        <v>762</v>
      </c>
      <c r="J97">
        <v>114.3</v>
      </c>
    </row>
    <row r="98" spans="1:10" x14ac:dyDescent="0.25">
      <c r="A98" s="24">
        <v>251</v>
      </c>
      <c r="B98" t="s">
        <v>443</v>
      </c>
      <c r="C98" t="s">
        <v>421</v>
      </c>
      <c r="D98" t="s">
        <v>5</v>
      </c>
      <c r="E98">
        <v>163.13</v>
      </c>
      <c r="F98">
        <v>507.46</v>
      </c>
      <c r="G98">
        <v>762</v>
      </c>
      <c r="H98">
        <v>0</v>
      </c>
      <c r="I98">
        <v>762</v>
      </c>
      <c r="J98">
        <v>114.3</v>
      </c>
    </row>
    <row r="99" spans="1:10" x14ac:dyDescent="0.25">
      <c r="A99" s="24">
        <v>252</v>
      </c>
      <c r="B99" t="s">
        <v>443</v>
      </c>
      <c r="C99" t="s">
        <v>421</v>
      </c>
      <c r="D99" t="s">
        <v>5</v>
      </c>
      <c r="E99">
        <v>163.13</v>
      </c>
      <c r="F99">
        <v>507.46</v>
      </c>
      <c r="G99">
        <v>762</v>
      </c>
      <c r="H99">
        <v>0</v>
      </c>
      <c r="I99">
        <v>762</v>
      </c>
      <c r="J99">
        <v>114.3</v>
      </c>
    </row>
    <row r="100" spans="1:10" x14ac:dyDescent="0.25">
      <c r="A100" s="24">
        <v>253</v>
      </c>
      <c r="B100" t="s">
        <v>442</v>
      </c>
      <c r="C100" t="s">
        <v>421</v>
      </c>
      <c r="D100" t="s">
        <v>5</v>
      </c>
      <c r="E100">
        <v>163.13</v>
      </c>
      <c r="F100">
        <v>507.46</v>
      </c>
      <c r="G100">
        <v>762</v>
      </c>
      <c r="H100">
        <v>0</v>
      </c>
      <c r="I100">
        <v>762</v>
      </c>
      <c r="J100">
        <v>114.3</v>
      </c>
    </row>
    <row r="101" spans="1:10" x14ac:dyDescent="0.25">
      <c r="A101" s="24">
        <v>254</v>
      </c>
      <c r="B101" t="s">
        <v>441</v>
      </c>
      <c r="C101" t="s">
        <v>421</v>
      </c>
      <c r="D101" t="s">
        <v>5</v>
      </c>
      <c r="E101">
        <v>163.13</v>
      </c>
      <c r="F101">
        <v>507.46</v>
      </c>
      <c r="G101">
        <v>762</v>
      </c>
      <c r="H101">
        <v>0</v>
      </c>
      <c r="I101">
        <v>762</v>
      </c>
      <c r="J101">
        <v>114.3</v>
      </c>
    </row>
    <row r="102" spans="1:10" x14ac:dyDescent="0.25">
      <c r="A102" s="24">
        <v>255</v>
      </c>
      <c r="B102" t="s">
        <v>442</v>
      </c>
      <c r="C102" t="s">
        <v>421</v>
      </c>
      <c r="D102" t="s">
        <v>5</v>
      </c>
      <c r="E102">
        <v>163.13</v>
      </c>
      <c r="F102">
        <v>507.46</v>
      </c>
      <c r="G102">
        <v>762</v>
      </c>
      <c r="H102">
        <v>0</v>
      </c>
      <c r="I102">
        <v>762</v>
      </c>
      <c r="J102">
        <v>114.3</v>
      </c>
    </row>
    <row r="103" spans="1:10" x14ac:dyDescent="0.25">
      <c r="A103" s="24">
        <v>256</v>
      </c>
      <c r="B103" t="s">
        <v>442</v>
      </c>
      <c r="C103" t="s">
        <v>421</v>
      </c>
      <c r="D103" t="s">
        <v>5</v>
      </c>
      <c r="E103">
        <v>163.13</v>
      </c>
      <c r="F103">
        <v>507.46</v>
      </c>
      <c r="G103">
        <v>762</v>
      </c>
      <c r="H103">
        <v>0</v>
      </c>
      <c r="I103">
        <v>762</v>
      </c>
      <c r="J103">
        <v>114.3</v>
      </c>
    </row>
    <row r="104" spans="1:10" x14ac:dyDescent="0.25">
      <c r="A104" s="24">
        <v>257</v>
      </c>
      <c r="B104" t="s">
        <v>442</v>
      </c>
      <c r="C104" t="s">
        <v>421</v>
      </c>
      <c r="D104" t="s">
        <v>5</v>
      </c>
      <c r="E104">
        <v>163.13</v>
      </c>
      <c r="F104">
        <v>507.46</v>
      </c>
      <c r="G104">
        <v>762</v>
      </c>
      <c r="H104">
        <v>0</v>
      </c>
      <c r="I104">
        <v>762</v>
      </c>
      <c r="J104">
        <v>114.3</v>
      </c>
    </row>
    <row r="105" spans="1:10" x14ac:dyDescent="0.25">
      <c r="A105" s="24">
        <v>258</v>
      </c>
      <c r="B105" t="s">
        <v>442</v>
      </c>
      <c r="C105" t="s">
        <v>421</v>
      </c>
      <c r="D105" t="s">
        <v>5</v>
      </c>
      <c r="E105">
        <v>163.13</v>
      </c>
      <c r="F105">
        <v>507.46</v>
      </c>
      <c r="G105">
        <v>762</v>
      </c>
      <c r="H105">
        <v>0</v>
      </c>
      <c r="I105">
        <v>762</v>
      </c>
      <c r="J105">
        <v>114.3</v>
      </c>
    </row>
    <row r="106" spans="1:10" x14ac:dyDescent="0.25">
      <c r="A106" s="24">
        <v>259</v>
      </c>
      <c r="B106" t="s">
        <v>442</v>
      </c>
      <c r="C106" t="s">
        <v>421</v>
      </c>
      <c r="D106" t="s">
        <v>5</v>
      </c>
      <c r="E106">
        <v>163.13</v>
      </c>
      <c r="F106">
        <v>507.46</v>
      </c>
      <c r="G106">
        <v>762</v>
      </c>
      <c r="H106">
        <v>0</v>
      </c>
      <c r="I106">
        <v>762</v>
      </c>
      <c r="J106">
        <v>114.3</v>
      </c>
    </row>
    <row r="107" spans="1:10" x14ac:dyDescent="0.25">
      <c r="A107" s="24">
        <v>260</v>
      </c>
      <c r="B107" t="s">
        <v>442</v>
      </c>
      <c r="C107" t="s">
        <v>421</v>
      </c>
      <c r="D107" t="s">
        <v>8</v>
      </c>
      <c r="E107">
        <v>97.2</v>
      </c>
      <c r="F107">
        <v>441.53</v>
      </c>
      <c r="G107">
        <v>619</v>
      </c>
      <c r="H107">
        <v>0</v>
      </c>
      <c r="I107">
        <v>619</v>
      </c>
      <c r="J107">
        <v>92.85</v>
      </c>
    </row>
    <row r="108" spans="1:10" x14ac:dyDescent="0.25">
      <c r="A108" s="24">
        <v>261</v>
      </c>
      <c r="B108" t="s">
        <v>442</v>
      </c>
      <c r="C108" t="s">
        <v>421</v>
      </c>
      <c r="D108" t="s">
        <v>8</v>
      </c>
      <c r="E108">
        <v>97.2</v>
      </c>
      <c r="F108">
        <v>441.53</v>
      </c>
      <c r="G108">
        <v>619</v>
      </c>
      <c r="H108">
        <v>0</v>
      </c>
      <c r="I108">
        <v>619</v>
      </c>
      <c r="J108">
        <v>92.85</v>
      </c>
    </row>
    <row r="109" spans="1:10" x14ac:dyDescent="0.25">
      <c r="A109" s="24">
        <v>262</v>
      </c>
      <c r="B109" t="s">
        <v>443</v>
      </c>
      <c r="C109" t="s">
        <v>421</v>
      </c>
      <c r="D109" t="s">
        <v>8</v>
      </c>
      <c r="E109">
        <v>97.2</v>
      </c>
      <c r="F109">
        <v>441.53</v>
      </c>
      <c r="G109">
        <v>619</v>
      </c>
      <c r="H109">
        <v>0.02</v>
      </c>
      <c r="I109">
        <v>607</v>
      </c>
      <c r="J109">
        <v>91.05</v>
      </c>
    </row>
    <row r="110" spans="1:10" x14ac:dyDescent="0.25">
      <c r="A110" s="24">
        <v>263</v>
      </c>
      <c r="B110" t="s">
        <v>441</v>
      </c>
      <c r="C110" t="s">
        <v>421</v>
      </c>
      <c r="D110" t="s">
        <v>8</v>
      </c>
      <c r="E110">
        <v>97.2</v>
      </c>
      <c r="F110">
        <v>441.53</v>
      </c>
      <c r="G110">
        <v>619</v>
      </c>
      <c r="H110">
        <v>0</v>
      </c>
      <c r="I110">
        <v>619</v>
      </c>
      <c r="J110">
        <v>92.85</v>
      </c>
    </row>
    <row r="111" spans="1:10" x14ac:dyDescent="0.25">
      <c r="A111" s="24">
        <v>264</v>
      </c>
      <c r="B111" t="s">
        <v>443</v>
      </c>
      <c r="C111" t="s">
        <v>421</v>
      </c>
      <c r="D111" t="s">
        <v>8</v>
      </c>
      <c r="E111">
        <v>97.2</v>
      </c>
      <c r="F111">
        <v>441.53</v>
      </c>
      <c r="G111">
        <v>619</v>
      </c>
      <c r="H111">
        <v>0</v>
      </c>
      <c r="I111">
        <v>619</v>
      </c>
      <c r="J111">
        <v>92.85</v>
      </c>
    </row>
    <row r="112" spans="1:10" x14ac:dyDescent="0.25">
      <c r="A112" s="24">
        <v>265</v>
      </c>
      <c r="B112" t="s">
        <v>443</v>
      </c>
      <c r="C112" t="s">
        <v>421</v>
      </c>
      <c r="D112" t="s">
        <v>8</v>
      </c>
      <c r="E112">
        <v>97.2</v>
      </c>
      <c r="F112">
        <v>441.53</v>
      </c>
      <c r="G112">
        <v>619</v>
      </c>
      <c r="H112">
        <v>0</v>
      </c>
      <c r="I112">
        <v>619</v>
      </c>
      <c r="J112">
        <v>92.85</v>
      </c>
    </row>
    <row r="113" spans="1:10" x14ac:dyDescent="0.25">
      <c r="A113" s="24">
        <v>266</v>
      </c>
      <c r="B113" t="s">
        <v>442</v>
      </c>
      <c r="C113" t="s">
        <v>421</v>
      </c>
      <c r="D113" t="s">
        <v>8</v>
      </c>
      <c r="E113">
        <v>97.2</v>
      </c>
      <c r="F113">
        <v>441.53</v>
      </c>
      <c r="G113">
        <v>619</v>
      </c>
      <c r="H113">
        <v>0</v>
      </c>
      <c r="I113">
        <v>619</v>
      </c>
      <c r="J113">
        <v>92.85</v>
      </c>
    </row>
    <row r="114" spans="1:10" x14ac:dyDescent="0.25">
      <c r="A114" s="24">
        <v>267</v>
      </c>
      <c r="B114" t="s">
        <v>443</v>
      </c>
      <c r="C114" t="s">
        <v>421</v>
      </c>
      <c r="D114" t="s">
        <v>8</v>
      </c>
      <c r="E114">
        <v>97.2</v>
      </c>
      <c r="F114">
        <v>441.53</v>
      </c>
      <c r="G114">
        <v>619</v>
      </c>
      <c r="H114">
        <v>0</v>
      </c>
      <c r="I114">
        <v>619</v>
      </c>
      <c r="J114">
        <v>92.85</v>
      </c>
    </row>
    <row r="115" spans="1:10" x14ac:dyDescent="0.25">
      <c r="A115" s="24">
        <v>268</v>
      </c>
      <c r="B115" t="s">
        <v>441</v>
      </c>
      <c r="C115" t="s">
        <v>421</v>
      </c>
      <c r="D115" t="s">
        <v>8</v>
      </c>
      <c r="E115">
        <v>97.2</v>
      </c>
      <c r="F115">
        <v>441.53</v>
      </c>
      <c r="G115">
        <v>619</v>
      </c>
      <c r="H115">
        <v>0.02</v>
      </c>
      <c r="I115">
        <v>607</v>
      </c>
      <c r="J115">
        <v>91.05</v>
      </c>
    </row>
    <row r="116" spans="1:10" x14ac:dyDescent="0.25">
      <c r="A116" s="24">
        <v>269</v>
      </c>
      <c r="B116" t="s">
        <v>441</v>
      </c>
      <c r="C116" t="s">
        <v>421</v>
      </c>
      <c r="D116" t="s">
        <v>8</v>
      </c>
      <c r="E116">
        <v>97.2</v>
      </c>
      <c r="F116">
        <v>441.53</v>
      </c>
      <c r="G116">
        <v>619</v>
      </c>
      <c r="H116">
        <v>0</v>
      </c>
      <c r="I116">
        <v>619</v>
      </c>
      <c r="J116">
        <v>92.85</v>
      </c>
    </row>
    <row r="117" spans="1:10" x14ac:dyDescent="0.25">
      <c r="A117" s="24">
        <v>270</v>
      </c>
      <c r="B117" t="s">
        <v>443</v>
      </c>
      <c r="C117" t="s">
        <v>421</v>
      </c>
      <c r="D117" t="s">
        <v>8</v>
      </c>
      <c r="E117">
        <v>97.2</v>
      </c>
      <c r="F117">
        <v>441.53</v>
      </c>
      <c r="G117">
        <v>619</v>
      </c>
      <c r="H117">
        <v>0</v>
      </c>
      <c r="I117">
        <v>619</v>
      </c>
      <c r="J117">
        <v>92.85</v>
      </c>
    </row>
    <row r="118" spans="1:10" x14ac:dyDescent="0.25">
      <c r="A118" s="24">
        <v>271</v>
      </c>
      <c r="B118" t="s">
        <v>441</v>
      </c>
      <c r="C118" t="s">
        <v>421</v>
      </c>
      <c r="D118" t="s">
        <v>8</v>
      </c>
      <c r="E118">
        <v>97.2</v>
      </c>
      <c r="F118">
        <v>441.53</v>
      </c>
      <c r="G118">
        <v>619</v>
      </c>
      <c r="H118">
        <v>0</v>
      </c>
      <c r="I118">
        <v>619</v>
      </c>
      <c r="J118">
        <v>92.85</v>
      </c>
    </row>
    <row r="119" spans="1:10" x14ac:dyDescent="0.25">
      <c r="A119" s="24">
        <v>272</v>
      </c>
      <c r="B119" t="s">
        <v>443</v>
      </c>
      <c r="C119" t="s">
        <v>421</v>
      </c>
      <c r="D119" t="s">
        <v>8</v>
      </c>
      <c r="E119">
        <v>97.2</v>
      </c>
      <c r="F119">
        <v>441.53</v>
      </c>
      <c r="G119">
        <v>619</v>
      </c>
      <c r="H119">
        <v>0</v>
      </c>
      <c r="I119">
        <v>619</v>
      </c>
      <c r="J119">
        <v>92.85</v>
      </c>
    </row>
    <row r="120" spans="1:10" x14ac:dyDescent="0.25">
      <c r="A120" s="24">
        <v>273</v>
      </c>
      <c r="B120" t="s">
        <v>443</v>
      </c>
      <c r="C120" t="s">
        <v>421</v>
      </c>
      <c r="D120" t="s">
        <v>8</v>
      </c>
      <c r="E120">
        <v>97.2</v>
      </c>
      <c r="F120">
        <v>441.53</v>
      </c>
      <c r="G120">
        <v>619</v>
      </c>
      <c r="H120">
        <v>0</v>
      </c>
      <c r="I120">
        <v>619</v>
      </c>
      <c r="J120">
        <v>92.85</v>
      </c>
    </row>
    <row r="121" spans="1:10" x14ac:dyDescent="0.25">
      <c r="A121" s="24">
        <v>274</v>
      </c>
      <c r="B121" t="s">
        <v>443</v>
      </c>
      <c r="C121" t="s">
        <v>421</v>
      </c>
      <c r="D121" t="s">
        <v>8</v>
      </c>
      <c r="E121">
        <v>97.2</v>
      </c>
      <c r="F121">
        <v>441.53</v>
      </c>
      <c r="G121">
        <v>619</v>
      </c>
      <c r="H121">
        <v>0</v>
      </c>
      <c r="I121">
        <v>619</v>
      </c>
      <c r="J121">
        <v>92.85</v>
      </c>
    </row>
    <row r="122" spans="1:10" x14ac:dyDescent="0.25">
      <c r="A122" s="24">
        <v>275</v>
      </c>
      <c r="B122" t="s">
        <v>443</v>
      </c>
      <c r="C122" t="s">
        <v>421</v>
      </c>
      <c r="D122" t="s">
        <v>8</v>
      </c>
      <c r="E122">
        <v>97.2</v>
      </c>
      <c r="F122">
        <v>441.53</v>
      </c>
      <c r="G122">
        <v>619</v>
      </c>
      <c r="H122">
        <v>0</v>
      </c>
      <c r="I122">
        <v>619</v>
      </c>
      <c r="J122">
        <v>92.85</v>
      </c>
    </row>
    <row r="123" spans="1:10" x14ac:dyDescent="0.25">
      <c r="A123" s="24">
        <v>276</v>
      </c>
      <c r="B123" t="s">
        <v>442</v>
      </c>
      <c r="C123" t="s">
        <v>421</v>
      </c>
      <c r="D123" t="s">
        <v>8</v>
      </c>
      <c r="E123">
        <v>97.2</v>
      </c>
      <c r="F123">
        <v>441.53</v>
      </c>
      <c r="G123">
        <v>619</v>
      </c>
      <c r="H123">
        <v>0</v>
      </c>
      <c r="I123">
        <v>619</v>
      </c>
      <c r="J123">
        <v>92.85</v>
      </c>
    </row>
    <row r="124" spans="1:10" x14ac:dyDescent="0.25">
      <c r="A124" s="24">
        <v>277</v>
      </c>
      <c r="B124" t="s">
        <v>441</v>
      </c>
      <c r="C124" t="s">
        <v>421</v>
      </c>
      <c r="D124" t="s">
        <v>8</v>
      </c>
      <c r="E124">
        <v>97.2</v>
      </c>
      <c r="F124">
        <v>441.53</v>
      </c>
      <c r="G124">
        <v>619</v>
      </c>
      <c r="H124">
        <v>0</v>
      </c>
      <c r="I124">
        <v>619</v>
      </c>
      <c r="J124">
        <v>92.85</v>
      </c>
    </row>
    <row r="125" spans="1:10" x14ac:dyDescent="0.25">
      <c r="A125" s="24">
        <v>278</v>
      </c>
      <c r="B125" t="s">
        <v>442</v>
      </c>
      <c r="C125" t="s">
        <v>421</v>
      </c>
      <c r="D125" t="s">
        <v>8</v>
      </c>
      <c r="E125">
        <v>97.2</v>
      </c>
      <c r="F125">
        <v>441.53</v>
      </c>
      <c r="G125">
        <v>619</v>
      </c>
      <c r="H125">
        <v>0</v>
      </c>
      <c r="I125">
        <v>619</v>
      </c>
      <c r="J125">
        <v>92.85</v>
      </c>
    </row>
    <row r="126" spans="1:10" x14ac:dyDescent="0.25">
      <c r="A126" s="24">
        <v>279</v>
      </c>
      <c r="B126" t="s">
        <v>443</v>
      </c>
      <c r="C126" t="s">
        <v>421</v>
      </c>
      <c r="D126" t="s">
        <v>22</v>
      </c>
      <c r="E126">
        <v>119.43</v>
      </c>
      <c r="F126">
        <v>463.76</v>
      </c>
      <c r="G126">
        <v>696</v>
      </c>
      <c r="H126">
        <v>0</v>
      </c>
      <c r="I126">
        <v>696</v>
      </c>
      <c r="J126">
        <v>104.39999999999999</v>
      </c>
    </row>
    <row r="127" spans="1:10" x14ac:dyDescent="0.25">
      <c r="A127" s="24">
        <v>280</v>
      </c>
      <c r="B127" t="s">
        <v>442</v>
      </c>
      <c r="C127" t="s">
        <v>421</v>
      </c>
      <c r="D127" t="s">
        <v>22</v>
      </c>
      <c r="E127">
        <v>119.43</v>
      </c>
      <c r="F127">
        <v>463.76</v>
      </c>
      <c r="G127">
        <v>696</v>
      </c>
      <c r="H127">
        <v>0</v>
      </c>
      <c r="I127">
        <v>696</v>
      </c>
      <c r="J127">
        <v>104.39999999999999</v>
      </c>
    </row>
    <row r="128" spans="1:10" x14ac:dyDescent="0.25">
      <c r="A128" s="24">
        <v>281</v>
      </c>
      <c r="B128" t="s">
        <v>441</v>
      </c>
      <c r="C128" t="s">
        <v>421</v>
      </c>
      <c r="D128" t="s">
        <v>22</v>
      </c>
      <c r="E128">
        <v>119.43</v>
      </c>
      <c r="F128">
        <v>463.76</v>
      </c>
      <c r="G128">
        <v>696</v>
      </c>
      <c r="H128">
        <v>0</v>
      </c>
      <c r="I128">
        <v>696</v>
      </c>
      <c r="J128">
        <v>104.39999999999999</v>
      </c>
    </row>
    <row r="129" spans="1:10" x14ac:dyDescent="0.25">
      <c r="A129" s="24">
        <v>282</v>
      </c>
      <c r="B129" t="s">
        <v>441</v>
      </c>
      <c r="C129" t="s">
        <v>421</v>
      </c>
      <c r="D129" t="s">
        <v>22</v>
      </c>
      <c r="E129">
        <v>119.43</v>
      </c>
      <c r="F129">
        <v>463.76</v>
      </c>
      <c r="G129">
        <v>696</v>
      </c>
      <c r="H129">
        <v>0</v>
      </c>
      <c r="I129">
        <v>696</v>
      </c>
      <c r="J129">
        <v>104.39999999999999</v>
      </c>
    </row>
    <row r="130" spans="1:10" x14ac:dyDescent="0.25">
      <c r="A130" s="24">
        <v>283</v>
      </c>
      <c r="B130" t="s">
        <v>443</v>
      </c>
      <c r="C130" t="s">
        <v>421</v>
      </c>
      <c r="D130" t="s">
        <v>22</v>
      </c>
      <c r="E130">
        <v>119.43</v>
      </c>
      <c r="F130">
        <v>463.76</v>
      </c>
      <c r="G130">
        <v>696</v>
      </c>
      <c r="H130">
        <v>0</v>
      </c>
      <c r="I130">
        <v>696</v>
      </c>
      <c r="J130">
        <v>104.39999999999999</v>
      </c>
    </row>
    <row r="131" spans="1:10" x14ac:dyDescent="0.25">
      <c r="A131" s="24">
        <v>284</v>
      </c>
      <c r="B131" t="s">
        <v>441</v>
      </c>
      <c r="C131" t="s">
        <v>421</v>
      </c>
      <c r="D131" t="s">
        <v>22</v>
      </c>
      <c r="E131">
        <v>119.43</v>
      </c>
      <c r="F131">
        <v>463.76</v>
      </c>
      <c r="G131">
        <v>696</v>
      </c>
      <c r="H131">
        <v>0</v>
      </c>
      <c r="I131">
        <v>696</v>
      </c>
      <c r="J131">
        <v>104.39999999999999</v>
      </c>
    </row>
    <row r="132" spans="1:10" x14ac:dyDescent="0.25">
      <c r="A132" s="24">
        <v>285</v>
      </c>
      <c r="B132" t="s">
        <v>441</v>
      </c>
      <c r="C132" t="s">
        <v>421</v>
      </c>
      <c r="D132" t="s">
        <v>22</v>
      </c>
      <c r="E132">
        <v>119.43</v>
      </c>
      <c r="F132">
        <v>463.76</v>
      </c>
      <c r="G132">
        <v>696</v>
      </c>
      <c r="H132">
        <v>0</v>
      </c>
      <c r="I132">
        <v>696</v>
      </c>
      <c r="J132">
        <v>104.39999999999999</v>
      </c>
    </row>
    <row r="133" spans="1:10" x14ac:dyDescent="0.25">
      <c r="A133" s="24">
        <v>286</v>
      </c>
      <c r="B133" t="s">
        <v>441</v>
      </c>
      <c r="C133" t="s">
        <v>421</v>
      </c>
      <c r="D133" t="s">
        <v>22</v>
      </c>
      <c r="E133">
        <v>119.43</v>
      </c>
      <c r="F133">
        <v>463.76</v>
      </c>
      <c r="G133">
        <v>696</v>
      </c>
      <c r="H133">
        <v>0</v>
      </c>
      <c r="I133">
        <v>696</v>
      </c>
      <c r="J133">
        <v>104.39999999999999</v>
      </c>
    </row>
    <row r="134" spans="1:10" x14ac:dyDescent="0.25">
      <c r="A134" s="24">
        <v>287</v>
      </c>
      <c r="B134" t="s">
        <v>443</v>
      </c>
      <c r="C134" t="s">
        <v>421</v>
      </c>
      <c r="D134" t="s">
        <v>22</v>
      </c>
      <c r="E134">
        <v>119.43</v>
      </c>
      <c r="F134">
        <v>463.76</v>
      </c>
      <c r="G134">
        <v>696</v>
      </c>
      <c r="H134">
        <v>0</v>
      </c>
      <c r="I134">
        <v>696</v>
      </c>
      <c r="J134">
        <v>104.39999999999999</v>
      </c>
    </row>
    <row r="135" spans="1:10" x14ac:dyDescent="0.25">
      <c r="A135" s="24">
        <v>288</v>
      </c>
      <c r="B135" t="s">
        <v>442</v>
      </c>
      <c r="C135" t="s">
        <v>421</v>
      </c>
      <c r="D135" t="s">
        <v>22</v>
      </c>
      <c r="E135">
        <v>119.43</v>
      </c>
      <c r="F135">
        <v>463.76</v>
      </c>
      <c r="G135">
        <v>696</v>
      </c>
      <c r="H135">
        <v>0</v>
      </c>
      <c r="I135">
        <v>696</v>
      </c>
      <c r="J135">
        <v>104.39999999999999</v>
      </c>
    </row>
    <row r="136" spans="1:10" x14ac:dyDescent="0.25">
      <c r="A136" s="24">
        <v>289</v>
      </c>
      <c r="B136" t="s">
        <v>441</v>
      </c>
      <c r="C136" t="s">
        <v>421</v>
      </c>
      <c r="D136" t="s">
        <v>22</v>
      </c>
      <c r="E136">
        <v>119.43</v>
      </c>
      <c r="F136">
        <v>463.76</v>
      </c>
      <c r="G136">
        <v>696</v>
      </c>
      <c r="H136">
        <v>0</v>
      </c>
      <c r="I136">
        <v>696</v>
      </c>
      <c r="J136">
        <v>104.39999999999999</v>
      </c>
    </row>
    <row r="137" spans="1:10" x14ac:dyDescent="0.25">
      <c r="A137" s="24">
        <v>290</v>
      </c>
      <c r="B137" t="s">
        <v>441</v>
      </c>
      <c r="C137" t="s">
        <v>421</v>
      </c>
      <c r="D137" t="s">
        <v>22</v>
      </c>
      <c r="E137">
        <v>119.43</v>
      </c>
      <c r="F137">
        <v>463.76</v>
      </c>
      <c r="G137">
        <v>696</v>
      </c>
      <c r="H137">
        <v>0</v>
      </c>
      <c r="I137">
        <v>696</v>
      </c>
      <c r="J137">
        <v>104.39999999999999</v>
      </c>
    </row>
    <row r="138" spans="1:10" x14ac:dyDescent="0.25">
      <c r="A138" s="24">
        <v>291</v>
      </c>
      <c r="B138" t="s">
        <v>442</v>
      </c>
      <c r="C138" t="s">
        <v>421</v>
      </c>
      <c r="D138" t="s">
        <v>22</v>
      </c>
      <c r="E138">
        <v>119.43</v>
      </c>
      <c r="F138">
        <v>463.76</v>
      </c>
      <c r="G138">
        <v>696</v>
      </c>
      <c r="H138">
        <v>0.02</v>
      </c>
      <c r="I138">
        <v>683</v>
      </c>
      <c r="J138">
        <v>102.45</v>
      </c>
    </row>
    <row r="139" spans="1:10" x14ac:dyDescent="0.25">
      <c r="A139" s="24">
        <v>292</v>
      </c>
      <c r="B139" t="s">
        <v>443</v>
      </c>
      <c r="C139" t="s">
        <v>421</v>
      </c>
      <c r="D139" t="s">
        <v>37</v>
      </c>
      <c r="E139">
        <v>109.24000000000001</v>
      </c>
      <c r="F139">
        <v>453.57</v>
      </c>
      <c r="G139">
        <v>681</v>
      </c>
      <c r="H139">
        <v>0</v>
      </c>
      <c r="I139">
        <v>681</v>
      </c>
      <c r="J139">
        <v>102.14999999999999</v>
      </c>
    </row>
    <row r="140" spans="1:10" x14ac:dyDescent="0.25">
      <c r="A140" s="24">
        <v>293</v>
      </c>
      <c r="B140" t="s">
        <v>441</v>
      </c>
      <c r="C140" t="s">
        <v>421</v>
      </c>
      <c r="D140" t="s">
        <v>37</v>
      </c>
      <c r="E140">
        <v>109.24000000000001</v>
      </c>
      <c r="F140">
        <v>453.57</v>
      </c>
      <c r="G140">
        <v>681</v>
      </c>
      <c r="H140">
        <v>0</v>
      </c>
      <c r="I140">
        <v>681</v>
      </c>
      <c r="J140">
        <v>102.14999999999999</v>
      </c>
    </row>
    <row r="141" spans="1:10" x14ac:dyDescent="0.25">
      <c r="A141" s="24">
        <v>294</v>
      </c>
      <c r="B141" t="s">
        <v>441</v>
      </c>
      <c r="C141" t="s">
        <v>421</v>
      </c>
      <c r="D141" t="s">
        <v>37</v>
      </c>
      <c r="E141">
        <v>109.24000000000001</v>
      </c>
      <c r="F141">
        <v>453.57</v>
      </c>
      <c r="G141">
        <v>681</v>
      </c>
      <c r="H141">
        <v>0.05</v>
      </c>
      <c r="I141">
        <v>647</v>
      </c>
      <c r="J141">
        <v>97.05</v>
      </c>
    </row>
    <row r="142" spans="1:10" x14ac:dyDescent="0.25">
      <c r="A142" s="24">
        <v>295</v>
      </c>
      <c r="B142" t="s">
        <v>441</v>
      </c>
      <c r="C142" t="s">
        <v>421</v>
      </c>
      <c r="D142" t="s">
        <v>37</v>
      </c>
      <c r="E142">
        <v>109.24000000000001</v>
      </c>
      <c r="F142">
        <v>453.57</v>
      </c>
      <c r="G142">
        <v>681</v>
      </c>
      <c r="H142">
        <v>0</v>
      </c>
      <c r="I142">
        <v>681</v>
      </c>
      <c r="J142">
        <v>102.14999999999999</v>
      </c>
    </row>
    <row r="143" spans="1:10" x14ac:dyDescent="0.25">
      <c r="A143" s="24">
        <v>296</v>
      </c>
      <c r="B143" t="s">
        <v>443</v>
      </c>
      <c r="C143" t="s">
        <v>421</v>
      </c>
      <c r="D143" t="s">
        <v>37</v>
      </c>
      <c r="E143">
        <v>109.24000000000001</v>
      </c>
      <c r="F143">
        <v>453.57</v>
      </c>
      <c r="G143">
        <v>681</v>
      </c>
      <c r="H143">
        <v>0</v>
      </c>
      <c r="I143">
        <v>681</v>
      </c>
      <c r="J143">
        <v>102.14999999999999</v>
      </c>
    </row>
    <row r="144" spans="1:10" x14ac:dyDescent="0.25">
      <c r="A144" s="24">
        <v>297</v>
      </c>
      <c r="B144" t="s">
        <v>443</v>
      </c>
      <c r="C144" t="s">
        <v>421</v>
      </c>
      <c r="D144" t="s">
        <v>37</v>
      </c>
      <c r="E144">
        <v>109.24000000000001</v>
      </c>
      <c r="F144">
        <v>453.57</v>
      </c>
      <c r="G144">
        <v>681</v>
      </c>
      <c r="H144">
        <v>0</v>
      </c>
      <c r="I144">
        <v>681</v>
      </c>
      <c r="J144">
        <v>102.14999999999999</v>
      </c>
    </row>
    <row r="145" spans="1:10" x14ac:dyDescent="0.25">
      <c r="A145" s="24">
        <v>298</v>
      </c>
      <c r="B145" t="s">
        <v>442</v>
      </c>
      <c r="C145" t="s">
        <v>421</v>
      </c>
      <c r="D145" t="s">
        <v>37</v>
      </c>
      <c r="E145">
        <v>109.24000000000001</v>
      </c>
      <c r="F145">
        <v>453.57</v>
      </c>
      <c r="G145">
        <v>681</v>
      </c>
      <c r="H145">
        <v>0</v>
      </c>
      <c r="I145">
        <v>681</v>
      </c>
      <c r="J145">
        <v>102.14999999999999</v>
      </c>
    </row>
    <row r="146" spans="1:10" x14ac:dyDescent="0.25">
      <c r="A146" s="24">
        <v>299</v>
      </c>
      <c r="B146" t="s">
        <v>441</v>
      </c>
      <c r="C146" t="s">
        <v>421</v>
      </c>
      <c r="D146" t="s">
        <v>37</v>
      </c>
      <c r="E146">
        <v>109.24000000000001</v>
      </c>
      <c r="F146">
        <v>453.57</v>
      </c>
      <c r="G146">
        <v>681</v>
      </c>
      <c r="H146">
        <v>0</v>
      </c>
      <c r="I146">
        <v>681</v>
      </c>
      <c r="J146">
        <v>102.14999999999999</v>
      </c>
    </row>
    <row r="147" spans="1:10" x14ac:dyDescent="0.25">
      <c r="A147" s="24">
        <v>300</v>
      </c>
      <c r="B147" t="s">
        <v>443</v>
      </c>
      <c r="C147" t="s">
        <v>421</v>
      </c>
      <c r="D147" t="s">
        <v>37</v>
      </c>
      <c r="E147">
        <v>109.24000000000001</v>
      </c>
      <c r="F147">
        <v>453.57</v>
      </c>
      <c r="G147">
        <v>681</v>
      </c>
      <c r="H147">
        <v>0</v>
      </c>
      <c r="I147">
        <v>681</v>
      </c>
      <c r="J147">
        <v>102.14999999999999</v>
      </c>
    </row>
    <row r="148" spans="1:10" x14ac:dyDescent="0.25">
      <c r="A148" s="24">
        <v>301</v>
      </c>
      <c r="B148" t="s">
        <v>441</v>
      </c>
      <c r="C148" t="s">
        <v>421</v>
      </c>
      <c r="D148" t="s">
        <v>37</v>
      </c>
      <c r="E148">
        <v>109.24000000000001</v>
      </c>
      <c r="F148">
        <v>453.57</v>
      </c>
      <c r="G148">
        <v>681</v>
      </c>
      <c r="H148">
        <v>0</v>
      </c>
      <c r="I148">
        <v>681</v>
      </c>
      <c r="J148">
        <v>102.14999999999999</v>
      </c>
    </row>
    <row r="149" spans="1:10" x14ac:dyDescent="0.25">
      <c r="A149" s="24">
        <v>302</v>
      </c>
      <c r="B149" t="s">
        <v>441</v>
      </c>
      <c r="C149" t="s">
        <v>421</v>
      </c>
      <c r="D149" t="s">
        <v>17</v>
      </c>
      <c r="E149">
        <v>131.76999999999998</v>
      </c>
      <c r="F149">
        <v>476.09999999999997</v>
      </c>
      <c r="G149">
        <v>715</v>
      </c>
      <c r="H149">
        <v>0</v>
      </c>
      <c r="I149">
        <v>715</v>
      </c>
      <c r="J149">
        <v>107.25</v>
      </c>
    </row>
    <row r="150" spans="1:10" x14ac:dyDescent="0.25">
      <c r="A150" s="24">
        <v>303</v>
      </c>
      <c r="B150" t="s">
        <v>443</v>
      </c>
      <c r="C150" t="s">
        <v>421</v>
      </c>
      <c r="D150" t="s">
        <v>17</v>
      </c>
      <c r="E150">
        <v>131.76999999999998</v>
      </c>
      <c r="F150">
        <v>476.09999999999997</v>
      </c>
      <c r="G150">
        <v>715</v>
      </c>
      <c r="H150">
        <v>0</v>
      </c>
      <c r="I150">
        <v>715</v>
      </c>
      <c r="J150">
        <v>107.25</v>
      </c>
    </row>
    <row r="151" spans="1:10" x14ac:dyDescent="0.25">
      <c r="A151" s="24">
        <v>304</v>
      </c>
      <c r="B151" t="s">
        <v>441</v>
      </c>
      <c r="C151" t="s">
        <v>421</v>
      </c>
      <c r="D151" t="s">
        <v>17</v>
      </c>
      <c r="E151">
        <v>131.76999999999998</v>
      </c>
      <c r="F151">
        <v>476.09999999999997</v>
      </c>
      <c r="G151">
        <v>715</v>
      </c>
      <c r="H151">
        <v>0</v>
      </c>
      <c r="I151">
        <v>715</v>
      </c>
      <c r="J151">
        <v>107.25</v>
      </c>
    </row>
    <row r="152" spans="1:10" x14ac:dyDescent="0.25">
      <c r="A152" s="24">
        <v>305</v>
      </c>
      <c r="B152" t="s">
        <v>443</v>
      </c>
      <c r="C152" t="s">
        <v>421</v>
      </c>
      <c r="D152" t="s">
        <v>17</v>
      </c>
      <c r="E152">
        <v>131.76999999999998</v>
      </c>
      <c r="F152">
        <v>476.09999999999997</v>
      </c>
      <c r="G152">
        <v>715</v>
      </c>
      <c r="H152">
        <v>0</v>
      </c>
      <c r="I152">
        <v>715</v>
      </c>
      <c r="J152">
        <v>107.25</v>
      </c>
    </row>
    <row r="153" spans="1:10" x14ac:dyDescent="0.25">
      <c r="A153" s="24">
        <v>306</v>
      </c>
      <c r="B153" t="s">
        <v>441</v>
      </c>
      <c r="C153" t="s">
        <v>421</v>
      </c>
      <c r="D153" t="s">
        <v>17</v>
      </c>
      <c r="E153">
        <v>131.76999999999998</v>
      </c>
      <c r="F153">
        <v>476.09999999999997</v>
      </c>
      <c r="G153">
        <v>715</v>
      </c>
      <c r="H153">
        <v>0</v>
      </c>
      <c r="I153">
        <v>715</v>
      </c>
      <c r="J153">
        <v>107.25</v>
      </c>
    </row>
    <row r="154" spans="1:10" x14ac:dyDescent="0.25">
      <c r="A154" s="24">
        <v>307</v>
      </c>
      <c r="B154" t="s">
        <v>442</v>
      </c>
      <c r="C154" t="s">
        <v>421</v>
      </c>
      <c r="D154" t="s">
        <v>17</v>
      </c>
      <c r="E154">
        <v>131.76999999999998</v>
      </c>
      <c r="F154">
        <v>476.09999999999997</v>
      </c>
      <c r="G154">
        <v>715</v>
      </c>
      <c r="H154">
        <v>0</v>
      </c>
      <c r="I154">
        <v>715</v>
      </c>
      <c r="J154">
        <v>107.25</v>
      </c>
    </row>
    <row r="155" spans="1:10" x14ac:dyDescent="0.25">
      <c r="A155" s="24">
        <v>308</v>
      </c>
      <c r="B155" t="s">
        <v>441</v>
      </c>
      <c r="C155" t="s">
        <v>421</v>
      </c>
      <c r="D155" t="s">
        <v>17</v>
      </c>
      <c r="E155">
        <v>131.76999999999998</v>
      </c>
      <c r="F155">
        <v>476.09999999999997</v>
      </c>
      <c r="G155">
        <v>715</v>
      </c>
      <c r="H155">
        <v>0</v>
      </c>
      <c r="I155">
        <v>715</v>
      </c>
      <c r="J155">
        <v>107.25</v>
      </c>
    </row>
    <row r="156" spans="1:10" x14ac:dyDescent="0.25">
      <c r="A156" s="24">
        <v>309</v>
      </c>
      <c r="B156" t="s">
        <v>441</v>
      </c>
      <c r="C156" t="s">
        <v>421</v>
      </c>
      <c r="D156" t="s">
        <v>17</v>
      </c>
      <c r="E156">
        <v>131.76999999999998</v>
      </c>
      <c r="F156">
        <v>476.09999999999997</v>
      </c>
      <c r="G156">
        <v>715</v>
      </c>
      <c r="H156">
        <v>0</v>
      </c>
      <c r="I156">
        <v>715</v>
      </c>
      <c r="J156">
        <v>107.25</v>
      </c>
    </row>
    <row r="157" spans="1:10" x14ac:dyDescent="0.25">
      <c r="A157" s="24">
        <v>310</v>
      </c>
      <c r="B157" t="s">
        <v>442</v>
      </c>
      <c r="C157" t="s">
        <v>421</v>
      </c>
      <c r="D157" t="s">
        <v>17</v>
      </c>
      <c r="E157">
        <v>131.76999999999998</v>
      </c>
      <c r="F157">
        <v>476.09999999999997</v>
      </c>
      <c r="G157">
        <v>715</v>
      </c>
      <c r="H157">
        <v>0</v>
      </c>
      <c r="I157">
        <v>715</v>
      </c>
      <c r="J157">
        <v>107.25</v>
      </c>
    </row>
    <row r="158" spans="1:10" x14ac:dyDescent="0.25">
      <c r="A158" s="24">
        <v>311</v>
      </c>
      <c r="B158" t="s">
        <v>442</v>
      </c>
      <c r="C158" t="s">
        <v>421</v>
      </c>
      <c r="D158" t="s">
        <v>17</v>
      </c>
      <c r="E158">
        <v>131.76999999999998</v>
      </c>
      <c r="F158">
        <v>476.09999999999997</v>
      </c>
      <c r="G158">
        <v>715</v>
      </c>
      <c r="H158">
        <v>0</v>
      </c>
      <c r="I158">
        <v>715</v>
      </c>
      <c r="J158">
        <v>107.25</v>
      </c>
    </row>
    <row r="159" spans="1:10" x14ac:dyDescent="0.25">
      <c r="A159" s="24">
        <v>312</v>
      </c>
      <c r="B159" t="s">
        <v>441</v>
      </c>
      <c r="C159" t="s">
        <v>421</v>
      </c>
      <c r="D159" t="s">
        <v>17</v>
      </c>
      <c r="E159">
        <v>131.76999999999998</v>
      </c>
      <c r="F159">
        <v>476.09999999999997</v>
      </c>
      <c r="G159">
        <v>715</v>
      </c>
      <c r="H159">
        <v>0</v>
      </c>
      <c r="I159">
        <v>715</v>
      </c>
      <c r="J159">
        <v>107.25</v>
      </c>
    </row>
    <row r="160" spans="1:10" x14ac:dyDescent="0.25">
      <c r="A160" s="24">
        <v>313</v>
      </c>
      <c r="B160" t="s">
        <v>442</v>
      </c>
      <c r="C160" t="s">
        <v>421</v>
      </c>
      <c r="D160" t="s">
        <v>17</v>
      </c>
      <c r="E160">
        <v>131.76999999999998</v>
      </c>
      <c r="F160">
        <v>476.09999999999997</v>
      </c>
      <c r="G160">
        <v>715</v>
      </c>
      <c r="H160">
        <v>0</v>
      </c>
      <c r="I160">
        <v>715</v>
      </c>
      <c r="J160">
        <v>107.25</v>
      </c>
    </row>
    <row r="161" spans="1:10" x14ac:dyDescent="0.25">
      <c r="A161" s="24">
        <v>314</v>
      </c>
      <c r="B161" t="s">
        <v>442</v>
      </c>
      <c r="C161" t="s">
        <v>421</v>
      </c>
      <c r="D161" t="s">
        <v>17</v>
      </c>
      <c r="E161">
        <v>131.76999999999998</v>
      </c>
      <c r="F161">
        <v>476.09999999999997</v>
      </c>
      <c r="G161">
        <v>715</v>
      </c>
      <c r="H161">
        <v>0</v>
      </c>
      <c r="I161">
        <v>715</v>
      </c>
      <c r="J161">
        <v>107.25</v>
      </c>
    </row>
    <row r="162" spans="1:10" x14ac:dyDescent="0.25">
      <c r="A162" s="24">
        <v>315</v>
      </c>
      <c r="B162" t="s">
        <v>443</v>
      </c>
      <c r="C162" t="s">
        <v>421</v>
      </c>
      <c r="D162" t="s">
        <v>17</v>
      </c>
      <c r="E162">
        <v>131.76999999999998</v>
      </c>
      <c r="F162">
        <v>476.09999999999997</v>
      </c>
      <c r="G162">
        <v>715</v>
      </c>
      <c r="H162">
        <v>0</v>
      </c>
      <c r="I162">
        <v>715</v>
      </c>
      <c r="J162">
        <v>107.25</v>
      </c>
    </row>
    <row r="163" spans="1:10" x14ac:dyDescent="0.25">
      <c r="A163" s="24">
        <v>316</v>
      </c>
      <c r="B163" t="s">
        <v>442</v>
      </c>
      <c r="C163" t="s">
        <v>421</v>
      </c>
      <c r="D163" t="s">
        <v>17</v>
      </c>
      <c r="E163">
        <v>131.76999999999998</v>
      </c>
      <c r="F163">
        <v>476.09999999999997</v>
      </c>
      <c r="G163">
        <v>715</v>
      </c>
      <c r="H163">
        <v>0</v>
      </c>
      <c r="I163">
        <v>715</v>
      </c>
      <c r="J163">
        <v>107.25</v>
      </c>
    </row>
    <row r="164" spans="1:10" x14ac:dyDescent="0.25">
      <c r="A164" s="24">
        <v>317</v>
      </c>
      <c r="B164" t="s">
        <v>441</v>
      </c>
      <c r="C164" t="s">
        <v>421</v>
      </c>
      <c r="D164" t="s">
        <v>17</v>
      </c>
      <c r="E164">
        <v>131.76999999999998</v>
      </c>
      <c r="F164">
        <v>476.09999999999997</v>
      </c>
      <c r="G164">
        <v>715</v>
      </c>
      <c r="H164">
        <v>0.05</v>
      </c>
      <c r="I164">
        <v>680</v>
      </c>
      <c r="J164">
        <v>102</v>
      </c>
    </row>
    <row r="165" spans="1:10" x14ac:dyDescent="0.25">
      <c r="A165" s="24">
        <v>318</v>
      </c>
      <c r="B165" t="s">
        <v>441</v>
      </c>
      <c r="C165" t="s">
        <v>421</v>
      </c>
      <c r="D165" t="s">
        <v>15</v>
      </c>
      <c r="E165">
        <v>314.15999999999997</v>
      </c>
      <c r="F165">
        <v>658.49</v>
      </c>
      <c r="G165">
        <v>1120</v>
      </c>
      <c r="H165">
        <v>0</v>
      </c>
      <c r="I165">
        <v>1120</v>
      </c>
      <c r="J165">
        <v>168</v>
      </c>
    </row>
    <row r="166" spans="1:10" x14ac:dyDescent="0.25">
      <c r="A166" s="24">
        <v>319</v>
      </c>
      <c r="B166" t="s">
        <v>441</v>
      </c>
      <c r="C166" t="s">
        <v>421</v>
      </c>
      <c r="D166" t="s">
        <v>15</v>
      </c>
      <c r="E166">
        <v>314.15999999999997</v>
      </c>
      <c r="F166">
        <v>658.49</v>
      </c>
      <c r="G166">
        <v>1120</v>
      </c>
      <c r="H166">
        <v>0</v>
      </c>
      <c r="I166">
        <v>1120</v>
      </c>
      <c r="J166">
        <v>168</v>
      </c>
    </row>
    <row r="167" spans="1:10" x14ac:dyDescent="0.25">
      <c r="A167" s="24">
        <v>320</v>
      </c>
      <c r="B167" t="s">
        <v>441</v>
      </c>
      <c r="C167" t="s">
        <v>421</v>
      </c>
      <c r="D167" t="s">
        <v>15</v>
      </c>
      <c r="E167">
        <v>314.15999999999997</v>
      </c>
      <c r="F167">
        <v>658.49</v>
      </c>
      <c r="G167">
        <v>1120</v>
      </c>
      <c r="H167">
        <v>0</v>
      </c>
      <c r="I167">
        <v>1120</v>
      </c>
      <c r="J167">
        <v>168</v>
      </c>
    </row>
    <row r="168" spans="1:10" x14ac:dyDescent="0.25">
      <c r="A168" s="24">
        <v>321</v>
      </c>
      <c r="B168" t="s">
        <v>443</v>
      </c>
      <c r="C168" t="s">
        <v>421</v>
      </c>
      <c r="D168" t="s">
        <v>15</v>
      </c>
      <c r="E168">
        <v>314.15999999999997</v>
      </c>
      <c r="F168">
        <v>658.49</v>
      </c>
      <c r="G168">
        <v>1120</v>
      </c>
      <c r="H168">
        <v>0</v>
      </c>
      <c r="I168">
        <v>1120</v>
      </c>
      <c r="J168">
        <v>168</v>
      </c>
    </row>
    <row r="169" spans="1:10" x14ac:dyDescent="0.25">
      <c r="A169" s="24">
        <v>322</v>
      </c>
      <c r="B169" t="s">
        <v>443</v>
      </c>
      <c r="C169" t="s">
        <v>421</v>
      </c>
      <c r="D169" t="s">
        <v>15</v>
      </c>
      <c r="E169">
        <v>314.15999999999997</v>
      </c>
      <c r="F169">
        <v>658.49</v>
      </c>
      <c r="G169">
        <v>1120</v>
      </c>
      <c r="H169">
        <v>0</v>
      </c>
      <c r="I169">
        <v>1120</v>
      </c>
      <c r="J169">
        <v>168</v>
      </c>
    </row>
    <row r="170" spans="1:10" x14ac:dyDescent="0.25">
      <c r="A170" s="24">
        <v>323</v>
      </c>
      <c r="B170" t="s">
        <v>442</v>
      </c>
      <c r="C170" t="s">
        <v>421</v>
      </c>
      <c r="D170" t="s">
        <v>15</v>
      </c>
      <c r="E170">
        <v>314.15999999999997</v>
      </c>
      <c r="F170">
        <v>658.49</v>
      </c>
      <c r="G170">
        <v>1120</v>
      </c>
      <c r="H170">
        <v>0</v>
      </c>
      <c r="I170">
        <v>1120</v>
      </c>
      <c r="J170">
        <v>168</v>
      </c>
    </row>
    <row r="171" spans="1:10" x14ac:dyDescent="0.25">
      <c r="A171" s="24">
        <v>324</v>
      </c>
      <c r="B171" t="s">
        <v>441</v>
      </c>
      <c r="C171" t="s">
        <v>421</v>
      </c>
      <c r="D171" t="s">
        <v>15</v>
      </c>
      <c r="E171">
        <v>314.15999999999997</v>
      </c>
      <c r="F171">
        <v>658.49</v>
      </c>
      <c r="G171">
        <v>1120</v>
      </c>
      <c r="H171">
        <v>0</v>
      </c>
      <c r="I171">
        <v>1120</v>
      </c>
      <c r="J171">
        <v>168</v>
      </c>
    </row>
    <row r="172" spans="1:10" x14ac:dyDescent="0.25">
      <c r="A172" s="24">
        <v>325</v>
      </c>
      <c r="B172" t="s">
        <v>441</v>
      </c>
      <c r="C172" t="s">
        <v>421</v>
      </c>
      <c r="D172" t="s">
        <v>15</v>
      </c>
      <c r="E172">
        <v>314.15999999999997</v>
      </c>
      <c r="F172">
        <v>658.49</v>
      </c>
      <c r="G172">
        <v>1120</v>
      </c>
      <c r="H172">
        <v>0</v>
      </c>
      <c r="I172">
        <v>1120</v>
      </c>
      <c r="J172">
        <v>168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B78"/>
  <sheetViews>
    <sheetView topLeftCell="V1" zoomScale="84" zoomScaleNormal="84" workbookViewId="0">
      <selection activeCell="T13" sqref="T13"/>
    </sheetView>
  </sheetViews>
  <sheetFormatPr defaultRowHeight="15" x14ac:dyDescent="0.25"/>
  <cols>
    <col min="1" max="1" width="17.140625" style="24" bestFit="1" customWidth="1"/>
    <col min="2" max="2" width="24.85546875" bestFit="1" customWidth="1"/>
    <col min="3" max="3" width="27.140625" bestFit="1" customWidth="1"/>
    <col min="4" max="4" width="24.42578125" bestFit="1" customWidth="1"/>
    <col min="5" max="5" width="40.140625" bestFit="1" customWidth="1"/>
    <col min="6" max="6" width="36.5703125" bestFit="1" customWidth="1"/>
    <col min="7" max="7" width="49.85546875" bestFit="1" customWidth="1"/>
    <col min="8" max="8" width="33" bestFit="1" customWidth="1"/>
    <col min="9" max="9" width="49.5703125" bestFit="1" customWidth="1"/>
    <col min="10" max="10" width="24.42578125" bestFit="1" customWidth="1"/>
    <col min="12" max="12" width="18" bestFit="1" customWidth="1"/>
    <col min="13" max="13" width="32.140625" bestFit="1" customWidth="1"/>
    <col min="14" max="14" width="9.85546875" customWidth="1"/>
    <col min="15" max="15" width="37.28515625" customWidth="1"/>
    <col min="16" max="16" width="44.42578125" bestFit="1" customWidth="1"/>
    <col min="17" max="17" width="38.7109375" customWidth="1"/>
    <col min="18" max="18" width="26.85546875" customWidth="1"/>
    <col min="19" max="19" width="35.28515625" bestFit="1" customWidth="1"/>
    <col min="20" max="20" width="24.140625" bestFit="1" customWidth="1"/>
    <col min="22" max="22" width="24.5703125" bestFit="1" customWidth="1"/>
    <col min="23" max="23" width="32.140625" bestFit="1" customWidth="1"/>
    <col min="24" max="24" width="9.85546875" customWidth="1"/>
    <col min="25" max="25" width="38.7109375" bestFit="1" customWidth="1"/>
    <col min="26" max="26" width="26.85546875" bestFit="1" customWidth="1"/>
    <col min="27" max="27" width="35.28515625" bestFit="1" customWidth="1"/>
    <col min="28" max="30" width="24.140625" bestFit="1" customWidth="1"/>
  </cols>
  <sheetData>
    <row r="1" spans="1:28" x14ac:dyDescent="0.25">
      <c r="A1" s="25" t="s">
        <v>423</v>
      </c>
      <c r="B1" t="s" vm="1">
        <v>449</v>
      </c>
      <c r="V1" s="22" t="s">
        <v>414</v>
      </c>
      <c r="W1" t="s">
        <v>422</v>
      </c>
    </row>
    <row r="3" spans="1:28" x14ac:dyDescent="0.25">
      <c r="A3" s="25" t="s">
        <v>424</v>
      </c>
      <c r="B3" s="22" t="s">
        <v>425</v>
      </c>
      <c r="C3" s="22" t="s">
        <v>414</v>
      </c>
      <c r="D3" s="22" t="s">
        <v>2</v>
      </c>
      <c r="E3" t="s">
        <v>426</v>
      </c>
      <c r="F3" t="s">
        <v>427</v>
      </c>
      <c r="G3" t="s">
        <v>428</v>
      </c>
      <c r="H3" t="s">
        <v>429</v>
      </c>
      <c r="I3" t="s">
        <v>430</v>
      </c>
      <c r="J3" t="s">
        <v>447</v>
      </c>
      <c r="L3" s="22" t="s">
        <v>432</v>
      </c>
      <c r="M3" t="s">
        <v>433</v>
      </c>
      <c r="N3" t="s">
        <v>434</v>
      </c>
      <c r="O3" t="s">
        <v>435</v>
      </c>
      <c r="P3" t="s">
        <v>436</v>
      </c>
      <c r="Q3" t="s">
        <v>437</v>
      </c>
      <c r="R3" t="s">
        <v>438</v>
      </c>
      <c r="S3" t="s">
        <v>439</v>
      </c>
      <c r="T3" t="s">
        <v>440</v>
      </c>
      <c r="V3" s="22" t="s">
        <v>432</v>
      </c>
      <c r="W3" t="s">
        <v>433</v>
      </c>
      <c r="X3" t="s">
        <v>434</v>
      </c>
      <c r="Y3" t="s">
        <v>437</v>
      </c>
      <c r="Z3" t="s">
        <v>438</v>
      </c>
      <c r="AA3" t="s">
        <v>439</v>
      </c>
      <c r="AB3" t="s">
        <v>440</v>
      </c>
    </row>
    <row r="4" spans="1:28" x14ac:dyDescent="0.25">
      <c r="A4" s="24">
        <v>326</v>
      </c>
      <c r="B4" t="s">
        <v>443</v>
      </c>
      <c r="C4" t="s">
        <v>422</v>
      </c>
      <c r="D4" t="s">
        <v>5</v>
      </c>
      <c r="E4">
        <v>163.13</v>
      </c>
      <c r="F4">
        <v>507.46</v>
      </c>
      <c r="G4">
        <v>762</v>
      </c>
      <c r="H4">
        <v>0</v>
      </c>
      <c r="I4">
        <v>762</v>
      </c>
      <c r="J4">
        <v>76.2</v>
      </c>
      <c r="L4" s="23" t="s">
        <v>442</v>
      </c>
      <c r="M4">
        <v>22</v>
      </c>
      <c r="N4">
        <v>16445</v>
      </c>
      <c r="O4">
        <v>3348.43</v>
      </c>
      <c r="P4">
        <v>13096.57</v>
      </c>
      <c r="Q4">
        <v>10923.689999999999</v>
      </c>
      <c r="R4">
        <v>1644.4999999999998</v>
      </c>
      <c r="S4">
        <v>496.6389999999999</v>
      </c>
      <c r="T4">
        <v>3380.1710000000012</v>
      </c>
      <c r="V4" s="23" t="s">
        <v>442</v>
      </c>
      <c r="W4">
        <v>22</v>
      </c>
      <c r="X4">
        <v>16445</v>
      </c>
      <c r="Y4">
        <v>10923.689999999999</v>
      </c>
      <c r="Z4">
        <v>1644.4999999999998</v>
      </c>
      <c r="AA4">
        <v>496.6389999999999</v>
      </c>
      <c r="AB4">
        <v>3380.1710000000012</v>
      </c>
    </row>
    <row r="5" spans="1:28" x14ac:dyDescent="0.25">
      <c r="A5" s="24">
        <v>327</v>
      </c>
      <c r="B5" t="s">
        <v>442</v>
      </c>
      <c r="C5" t="s">
        <v>422</v>
      </c>
      <c r="D5" t="s">
        <v>5</v>
      </c>
      <c r="E5">
        <v>163.13</v>
      </c>
      <c r="F5">
        <v>507.46</v>
      </c>
      <c r="G5">
        <v>762</v>
      </c>
      <c r="H5">
        <v>0</v>
      </c>
      <c r="I5">
        <v>762</v>
      </c>
      <c r="J5">
        <v>76.2</v>
      </c>
      <c r="L5" s="26" t="s">
        <v>5</v>
      </c>
      <c r="M5">
        <v>9</v>
      </c>
      <c r="N5">
        <v>6858</v>
      </c>
      <c r="O5">
        <v>1468.17</v>
      </c>
      <c r="P5">
        <v>5389.83</v>
      </c>
      <c r="Q5">
        <v>4567.1399999999994</v>
      </c>
      <c r="R5">
        <v>685.80000000000007</v>
      </c>
      <c r="S5">
        <v>207.11160000000001</v>
      </c>
      <c r="T5">
        <v>1397.9484000000004</v>
      </c>
      <c r="V5" s="26" t="s">
        <v>5</v>
      </c>
      <c r="W5">
        <v>9</v>
      </c>
      <c r="X5">
        <v>6858</v>
      </c>
      <c r="Y5">
        <v>4567.1399999999994</v>
      </c>
      <c r="Z5">
        <v>685.80000000000007</v>
      </c>
      <c r="AA5">
        <v>207.11160000000001</v>
      </c>
      <c r="AB5">
        <v>1397.9484000000004</v>
      </c>
    </row>
    <row r="6" spans="1:28" x14ac:dyDescent="0.25">
      <c r="A6" s="24">
        <v>328</v>
      </c>
      <c r="B6" t="s">
        <v>442</v>
      </c>
      <c r="C6" t="s">
        <v>422</v>
      </c>
      <c r="D6" t="s">
        <v>5</v>
      </c>
      <c r="E6">
        <v>163.13</v>
      </c>
      <c r="F6">
        <v>507.46</v>
      </c>
      <c r="G6">
        <v>762</v>
      </c>
      <c r="H6">
        <v>0</v>
      </c>
      <c r="I6">
        <v>762</v>
      </c>
      <c r="J6">
        <v>76.2</v>
      </c>
      <c r="L6" s="26" t="s">
        <v>8</v>
      </c>
      <c r="M6">
        <v>5</v>
      </c>
      <c r="N6">
        <v>3095</v>
      </c>
      <c r="O6">
        <v>486</v>
      </c>
      <c r="P6">
        <v>2609</v>
      </c>
      <c r="Q6">
        <v>2207.6499999999996</v>
      </c>
      <c r="R6">
        <v>309.5</v>
      </c>
      <c r="S6">
        <v>93.468999999999994</v>
      </c>
      <c r="T6">
        <v>484.38100000000037</v>
      </c>
      <c r="V6" s="26" t="s">
        <v>8</v>
      </c>
      <c r="W6">
        <v>5</v>
      </c>
      <c r="X6">
        <v>3095</v>
      </c>
      <c r="Y6">
        <v>2207.6499999999996</v>
      </c>
      <c r="Z6">
        <v>309.5</v>
      </c>
      <c r="AA6">
        <v>93.468999999999994</v>
      </c>
      <c r="AB6">
        <v>484.38100000000037</v>
      </c>
    </row>
    <row r="7" spans="1:28" x14ac:dyDescent="0.25">
      <c r="A7" s="24">
        <v>329</v>
      </c>
      <c r="B7" t="s">
        <v>443</v>
      </c>
      <c r="C7" t="s">
        <v>422</v>
      </c>
      <c r="D7" t="s">
        <v>5</v>
      </c>
      <c r="E7">
        <v>163.13</v>
      </c>
      <c r="F7">
        <v>507.46</v>
      </c>
      <c r="G7">
        <v>762</v>
      </c>
      <c r="H7">
        <v>0</v>
      </c>
      <c r="I7">
        <v>762</v>
      </c>
      <c r="J7">
        <v>76.2</v>
      </c>
      <c r="L7" s="26" t="s">
        <v>22</v>
      </c>
      <c r="M7">
        <v>2</v>
      </c>
      <c r="N7">
        <v>1392</v>
      </c>
      <c r="O7">
        <v>238.86</v>
      </c>
      <c r="P7">
        <v>1153.1399999999999</v>
      </c>
      <c r="Q7">
        <v>927.52</v>
      </c>
      <c r="R7">
        <v>139.20000000000002</v>
      </c>
      <c r="S7">
        <v>42.038400000000003</v>
      </c>
      <c r="T7">
        <v>283.24159999999995</v>
      </c>
      <c r="V7" s="26" t="s">
        <v>22</v>
      </c>
      <c r="W7">
        <v>2</v>
      </c>
      <c r="X7">
        <v>1392</v>
      </c>
      <c r="Y7">
        <v>927.52</v>
      </c>
      <c r="Z7">
        <v>139.20000000000002</v>
      </c>
      <c r="AA7">
        <v>42.038400000000003</v>
      </c>
      <c r="AB7">
        <v>283.24159999999995</v>
      </c>
    </row>
    <row r="8" spans="1:28" x14ac:dyDescent="0.25">
      <c r="A8" s="24">
        <v>330</v>
      </c>
      <c r="B8" t="s">
        <v>442</v>
      </c>
      <c r="C8" t="s">
        <v>422</v>
      </c>
      <c r="D8" t="s">
        <v>5</v>
      </c>
      <c r="E8">
        <v>163.13</v>
      </c>
      <c r="F8">
        <v>507.46</v>
      </c>
      <c r="G8">
        <v>762</v>
      </c>
      <c r="H8">
        <v>0</v>
      </c>
      <c r="I8">
        <v>762</v>
      </c>
      <c r="J8">
        <v>76.2</v>
      </c>
      <c r="L8" s="26" t="s">
        <v>17</v>
      </c>
      <c r="M8">
        <v>4</v>
      </c>
      <c r="N8">
        <v>2860</v>
      </c>
      <c r="O8">
        <v>527.07999999999993</v>
      </c>
      <c r="P8">
        <v>2332.92</v>
      </c>
      <c r="Q8">
        <v>1904.3999999999999</v>
      </c>
      <c r="R8">
        <v>286</v>
      </c>
      <c r="S8">
        <v>86.372</v>
      </c>
      <c r="T8">
        <v>583.22800000000018</v>
      </c>
      <c r="V8" s="26" t="s">
        <v>17</v>
      </c>
      <c r="W8">
        <v>4</v>
      </c>
      <c r="X8">
        <v>2860</v>
      </c>
      <c r="Y8">
        <v>1904.3999999999999</v>
      </c>
      <c r="Z8">
        <v>286</v>
      </c>
      <c r="AA8">
        <v>86.372</v>
      </c>
      <c r="AB8">
        <v>583.22800000000018</v>
      </c>
    </row>
    <row r="9" spans="1:28" x14ac:dyDescent="0.25">
      <c r="A9" s="24">
        <v>331</v>
      </c>
      <c r="B9" t="s">
        <v>443</v>
      </c>
      <c r="C9" t="s">
        <v>422</v>
      </c>
      <c r="D9" t="s">
        <v>5</v>
      </c>
      <c r="E9">
        <v>163.13</v>
      </c>
      <c r="F9">
        <v>507.46</v>
      </c>
      <c r="G9">
        <v>762</v>
      </c>
      <c r="H9">
        <v>0</v>
      </c>
      <c r="I9">
        <v>762</v>
      </c>
      <c r="J9">
        <v>76.2</v>
      </c>
      <c r="L9" s="26" t="s">
        <v>15</v>
      </c>
      <c r="M9">
        <v>2</v>
      </c>
      <c r="N9">
        <v>2240</v>
      </c>
      <c r="O9">
        <v>628.31999999999994</v>
      </c>
      <c r="P9">
        <v>1611.68</v>
      </c>
      <c r="Q9">
        <v>1316.98</v>
      </c>
      <c r="R9">
        <v>224</v>
      </c>
      <c r="S9">
        <v>67.647999999999996</v>
      </c>
      <c r="T9">
        <v>631.37199999999996</v>
      </c>
      <c r="V9" s="26" t="s">
        <v>15</v>
      </c>
      <c r="W9">
        <v>2</v>
      </c>
      <c r="X9">
        <v>2240</v>
      </c>
      <c r="Y9">
        <v>1316.98</v>
      </c>
      <c r="Z9">
        <v>224</v>
      </c>
      <c r="AA9">
        <v>67.647999999999996</v>
      </c>
      <c r="AB9">
        <v>631.37199999999996</v>
      </c>
    </row>
    <row r="10" spans="1:28" x14ac:dyDescent="0.25">
      <c r="A10" s="24">
        <v>332</v>
      </c>
      <c r="B10" t="s">
        <v>442</v>
      </c>
      <c r="C10" t="s">
        <v>422</v>
      </c>
      <c r="D10" t="s">
        <v>5</v>
      </c>
      <c r="E10">
        <v>163.13</v>
      </c>
      <c r="F10">
        <v>507.46</v>
      </c>
      <c r="G10">
        <v>762</v>
      </c>
      <c r="H10">
        <v>0</v>
      </c>
      <c r="I10">
        <v>762</v>
      </c>
      <c r="J10">
        <v>76.2</v>
      </c>
      <c r="L10" s="23" t="s">
        <v>441</v>
      </c>
      <c r="M10">
        <v>18</v>
      </c>
      <c r="N10">
        <v>13103</v>
      </c>
      <c r="O10">
        <v>2528.77</v>
      </c>
      <c r="P10">
        <v>10574.23</v>
      </c>
      <c r="Q10">
        <v>8726.7100000000028</v>
      </c>
      <c r="R10">
        <v>1310.3000000000002</v>
      </c>
      <c r="S10">
        <v>395.71060000000006</v>
      </c>
      <c r="T10">
        <v>2670.2793999999972</v>
      </c>
      <c r="V10" s="23" t="s">
        <v>441</v>
      </c>
      <c r="W10">
        <v>18</v>
      </c>
      <c r="X10">
        <v>13103</v>
      </c>
      <c r="Y10">
        <v>8726.7100000000028</v>
      </c>
      <c r="Z10">
        <v>1310.3000000000002</v>
      </c>
      <c r="AA10">
        <v>395.71060000000006</v>
      </c>
      <c r="AB10">
        <v>2670.2793999999972</v>
      </c>
    </row>
    <row r="11" spans="1:28" x14ac:dyDescent="0.25">
      <c r="A11" s="24">
        <v>333</v>
      </c>
      <c r="B11" t="s">
        <v>443</v>
      </c>
      <c r="C11" t="s">
        <v>422</v>
      </c>
      <c r="D11" t="s">
        <v>5</v>
      </c>
      <c r="E11">
        <v>163.13</v>
      </c>
      <c r="F11">
        <v>507.46</v>
      </c>
      <c r="G11">
        <v>762</v>
      </c>
      <c r="H11">
        <v>0</v>
      </c>
      <c r="I11">
        <v>762</v>
      </c>
      <c r="J11">
        <v>76.2</v>
      </c>
      <c r="L11" s="26" t="s">
        <v>5</v>
      </c>
      <c r="M11">
        <v>4</v>
      </c>
      <c r="N11">
        <v>3048</v>
      </c>
      <c r="O11">
        <v>652.52</v>
      </c>
      <c r="P11">
        <v>2395.48</v>
      </c>
      <c r="Q11">
        <v>2029.84</v>
      </c>
      <c r="R11">
        <v>304.8</v>
      </c>
      <c r="S11">
        <v>92.049599999999998</v>
      </c>
      <c r="T11">
        <v>621.31040000000007</v>
      </c>
      <c r="V11" s="26" t="s">
        <v>5</v>
      </c>
      <c r="W11">
        <v>4</v>
      </c>
      <c r="X11">
        <v>3048</v>
      </c>
      <c r="Y11">
        <v>2029.84</v>
      </c>
      <c r="Z11">
        <v>304.8</v>
      </c>
      <c r="AA11">
        <v>92.049599999999998</v>
      </c>
      <c r="AB11">
        <v>621.31040000000007</v>
      </c>
    </row>
    <row r="12" spans="1:28" x14ac:dyDescent="0.25">
      <c r="A12" s="24">
        <v>334</v>
      </c>
      <c r="B12" t="s">
        <v>443</v>
      </c>
      <c r="C12" t="s">
        <v>422</v>
      </c>
      <c r="D12" t="s">
        <v>5</v>
      </c>
      <c r="E12">
        <v>163.13</v>
      </c>
      <c r="F12">
        <v>507.46</v>
      </c>
      <c r="G12">
        <v>762</v>
      </c>
      <c r="H12">
        <v>0</v>
      </c>
      <c r="I12">
        <v>762</v>
      </c>
      <c r="J12">
        <v>76.2</v>
      </c>
      <c r="L12" s="26" t="s">
        <v>8</v>
      </c>
      <c r="M12">
        <v>3</v>
      </c>
      <c r="N12">
        <v>1857</v>
      </c>
      <c r="O12">
        <v>291.60000000000002</v>
      </c>
      <c r="P12">
        <v>1565.4</v>
      </c>
      <c r="Q12">
        <v>1324.59</v>
      </c>
      <c r="R12">
        <v>185.70000000000002</v>
      </c>
      <c r="S12">
        <v>56.081400000000002</v>
      </c>
      <c r="T12">
        <v>290.62860000000001</v>
      </c>
      <c r="V12" s="26" t="s">
        <v>8</v>
      </c>
      <c r="W12">
        <v>3</v>
      </c>
      <c r="X12">
        <v>1857</v>
      </c>
      <c r="Y12">
        <v>1324.59</v>
      </c>
      <c r="Z12">
        <v>185.70000000000002</v>
      </c>
      <c r="AA12">
        <v>56.081400000000002</v>
      </c>
      <c r="AB12">
        <v>290.62860000000001</v>
      </c>
    </row>
    <row r="13" spans="1:28" x14ac:dyDescent="0.25">
      <c r="A13" s="24">
        <v>335</v>
      </c>
      <c r="B13" t="s">
        <v>443</v>
      </c>
      <c r="C13" t="s">
        <v>422</v>
      </c>
      <c r="D13" t="s">
        <v>5</v>
      </c>
      <c r="E13">
        <v>163.13</v>
      </c>
      <c r="F13">
        <v>507.46</v>
      </c>
      <c r="G13">
        <v>762</v>
      </c>
      <c r="H13">
        <v>0</v>
      </c>
      <c r="I13">
        <v>762</v>
      </c>
      <c r="J13">
        <v>76.2</v>
      </c>
      <c r="L13" s="26" t="s">
        <v>22</v>
      </c>
      <c r="M13">
        <v>2</v>
      </c>
      <c r="N13">
        <v>1392</v>
      </c>
      <c r="O13">
        <v>238.86</v>
      </c>
      <c r="P13">
        <v>1153.1399999999999</v>
      </c>
      <c r="Q13">
        <v>927.52</v>
      </c>
      <c r="R13">
        <v>139.20000000000002</v>
      </c>
      <c r="S13">
        <v>42.038400000000003</v>
      </c>
      <c r="T13">
        <v>283.24159999999995</v>
      </c>
      <c r="V13" s="26" t="s">
        <v>22</v>
      </c>
      <c r="W13">
        <v>2</v>
      </c>
      <c r="X13">
        <v>1392</v>
      </c>
      <c r="Y13">
        <v>927.52</v>
      </c>
      <c r="Z13">
        <v>139.20000000000002</v>
      </c>
      <c r="AA13">
        <v>42.038400000000003</v>
      </c>
      <c r="AB13">
        <v>283.24159999999995</v>
      </c>
    </row>
    <row r="14" spans="1:28" x14ac:dyDescent="0.25">
      <c r="A14" s="24">
        <v>336</v>
      </c>
      <c r="B14" t="s">
        <v>443</v>
      </c>
      <c r="C14" t="s">
        <v>422</v>
      </c>
      <c r="D14" t="s">
        <v>5</v>
      </c>
      <c r="E14">
        <v>163.13</v>
      </c>
      <c r="F14">
        <v>507.46</v>
      </c>
      <c r="G14">
        <v>762</v>
      </c>
      <c r="H14">
        <v>0</v>
      </c>
      <c r="I14">
        <v>762</v>
      </c>
      <c r="J14">
        <v>76.2</v>
      </c>
      <c r="L14" s="26" t="s">
        <v>37</v>
      </c>
      <c r="M14">
        <v>1</v>
      </c>
      <c r="N14">
        <v>681</v>
      </c>
      <c r="O14">
        <v>109.24000000000001</v>
      </c>
      <c r="P14">
        <v>571.76</v>
      </c>
      <c r="Q14">
        <v>453.57</v>
      </c>
      <c r="R14">
        <v>68.100000000000009</v>
      </c>
      <c r="S14">
        <v>20.566200000000002</v>
      </c>
      <c r="T14">
        <v>138.76379999999997</v>
      </c>
      <c r="V14" s="26" t="s">
        <v>37</v>
      </c>
      <c r="W14">
        <v>1</v>
      </c>
      <c r="X14">
        <v>681</v>
      </c>
      <c r="Y14">
        <v>453.57</v>
      </c>
      <c r="Z14">
        <v>68.100000000000009</v>
      </c>
      <c r="AA14">
        <v>20.566200000000002</v>
      </c>
      <c r="AB14">
        <v>138.76379999999997</v>
      </c>
    </row>
    <row r="15" spans="1:28" x14ac:dyDescent="0.25">
      <c r="A15" s="24">
        <v>337</v>
      </c>
      <c r="B15" t="s">
        <v>443</v>
      </c>
      <c r="C15" t="s">
        <v>422</v>
      </c>
      <c r="D15" t="s">
        <v>5</v>
      </c>
      <c r="E15">
        <v>163.13</v>
      </c>
      <c r="F15">
        <v>507.46</v>
      </c>
      <c r="G15">
        <v>762</v>
      </c>
      <c r="H15">
        <v>0</v>
      </c>
      <c r="I15">
        <v>762</v>
      </c>
      <c r="J15">
        <v>76.2</v>
      </c>
      <c r="L15" s="26" t="s">
        <v>17</v>
      </c>
      <c r="M15">
        <v>7</v>
      </c>
      <c r="N15">
        <v>5005</v>
      </c>
      <c r="O15">
        <v>922.38999999999987</v>
      </c>
      <c r="P15">
        <v>4082.61</v>
      </c>
      <c r="Q15">
        <v>3332.7</v>
      </c>
      <c r="R15">
        <v>500.5</v>
      </c>
      <c r="S15">
        <v>151.15099999999998</v>
      </c>
      <c r="T15">
        <v>1020.6490000000002</v>
      </c>
      <c r="V15" s="26" t="s">
        <v>17</v>
      </c>
      <c r="W15">
        <v>7</v>
      </c>
      <c r="X15">
        <v>5005</v>
      </c>
      <c r="Y15">
        <v>3332.7</v>
      </c>
      <c r="Z15">
        <v>500.5</v>
      </c>
      <c r="AA15">
        <v>151.15099999999998</v>
      </c>
      <c r="AB15">
        <v>1020.6490000000002</v>
      </c>
    </row>
    <row r="16" spans="1:28" x14ac:dyDescent="0.25">
      <c r="A16" s="24">
        <v>338</v>
      </c>
      <c r="B16" t="s">
        <v>441</v>
      </c>
      <c r="C16" t="s">
        <v>422</v>
      </c>
      <c r="D16" t="s">
        <v>5</v>
      </c>
      <c r="E16">
        <v>163.13</v>
      </c>
      <c r="F16">
        <v>507.46</v>
      </c>
      <c r="G16">
        <v>762</v>
      </c>
      <c r="H16">
        <v>0</v>
      </c>
      <c r="I16">
        <v>762</v>
      </c>
      <c r="J16">
        <v>76.2</v>
      </c>
      <c r="L16" s="26" t="s">
        <v>15</v>
      </c>
      <c r="M16">
        <v>1</v>
      </c>
      <c r="N16">
        <v>1120</v>
      </c>
      <c r="O16">
        <v>314.15999999999997</v>
      </c>
      <c r="P16">
        <v>805.84</v>
      </c>
      <c r="Q16">
        <v>658.49</v>
      </c>
      <c r="R16">
        <v>112</v>
      </c>
      <c r="S16">
        <v>33.823999999999998</v>
      </c>
      <c r="T16">
        <v>315.68599999999998</v>
      </c>
      <c r="V16" s="26" t="s">
        <v>15</v>
      </c>
      <c r="W16">
        <v>1</v>
      </c>
      <c r="X16">
        <v>1120</v>
      </c>
      <c r="Y16">
        <v>658.49</v>
      </c>
      <c r="Z16">
        <v>112</v>
      </c>
      <c r="AA16">
        <v>33.823999999999998</v>
      </c>
      <c r="AB16">
        <v>315.68599999999998</v>
      </c>
    </row>
    <row r="17" spans="1:28" x14ac:dyDescent="0.25">
      <c r="A17" s="24">
        <v>339</v>
      </c>
      <c r="B17" t="s">
        <v>443</v>
      </c>
      <c r="C17" t="s">
        <v>422</v>
      </c>
      <c r="D17" t="s">
        <v>5</v>
      </c>
      <c r="E17">
        <v>163.13</v>
      </c>
      <c r="F17">
        <v>507.46</v>
      </c>
      <c r="G17">
        <v>762</v>
      </c>
      <c r="H17">
        <v>0</v>
      </c>
      <c r="I17">
        <v>762</v>
      </c>
      <c r="J17">
        <v>76.2</v>
      </c>
      <c r="L17" s="23" t="s">
        <v>443</v>
      </c>
      <c r="M17">
        <v>35</v>
      </c>
      <c r="N17">
        <v>25668</v>
      </c>
      <c r="O17">
        <v>5044.6399999999976</v>
      </c>
      <c r="P17">
        <v>20623.36</v>
      </c>
      <c r="Q17">
        <v>17096.190000000002</v>
      </c>
      <c r="R17">
        <v>2566.7999999999997</v>
      </c>
      <c r="S17">
        <v>775.17359999999985</v>
      </c>
      <c r="T17">
        <v>5229.8363999999983</v>
      </c>
      <c r="V17" s="23" t="s">
        <v>443</v>
      </c>
      <c r="W17">
        <v>35</v>
      </c>
      <c r="X17">
        <v>25668</v>
      </c>
      <c r="Y17">
        <v>17096.190000000002</v>
      </c>
      <c r="Z17">
        <v>2566.7999999999997</v>
      </c>
      <c r="AA17">
        <v>775.17359999999985</v>
      </c>
      <c r="AB17">
        <v>5229.8363999999983</v>
      </c>
    </row>
    <row r="18" spans="1:28" x14ac:dyDescent="0.25">
      <c r="A18" s="24">
        <v>340</v>
      </c>
      <c r="B18" t="s">
        <v>442</v>
      </c>
      <c r="C18" t="s">
        <v>422</v>
      </c>
      <c r="D18" t="s">
        <v>5</v>
      </c>
      <c r="E18">
        <v>163.13</v>
      </c>
      <c r="F18">
        <v>507.46</v>
      </c>
      <c r="G18">
        <v>762</v>
      </c>
      <c r="H18">
        <v>0</v>
      </c>
      <c r="I18">
        <v>762</v>
      </c>
      <c r="J18">
        <v>76.2</v>
      </c>
      <c r="L18" s="26" t="s">
        <v>5</v>
      </c>
      <c r="M18">
        <v>10</v>
      </c>
      <c r="N18">
        <v>7620</v>
      </c>
      <c r="O18">
        <v>1631.3000000000002</v>
      </c>
      <c r="P18">
        <v>5988.7</v>
      </c>
      <c r="Q18">
        <v>5074.5999999999995</v>
      </c>
      <c r="R18">
        <v>762.00000000000011</v>
      </c>
      <c r="S18">
        <v>230.12400000000002</v>
      </c>
      <c r="T18">
        <v>1553.2760000000005</v>
      </c>
      <c r="V18" s="26" t="s">
        <v>5</v>
      </c>
      <c r="W18">
        <v>10</v>
      </c>
      <c r="X18">
        <v>7620</v>
      </c>
      <c r="Y18">
        <v>5074.5999999999995</v>
      </c>
      <c r="Z18">
        <v>762.00000000000011</v>
      </c>
      <c r="AA18">
        <v>230.12400000000002</v>
      </c>
      <c r="AB18">
        <v>1553.2760000000005</v>
      </c>
    </row>
    <row r="19" spans="1:28" x14ac:dyDescent="0.25">
      <c r="A19" s="24">
        <v>341</v>
      </c>
      <c r="B19" t="s">
        <v>441</v>
      </c>
      <c r="C19" t="s">
        <v>422</v>
      </c>
      <c r="D19" t="s">
        <v>5</v>
      </c>
      <c r="E19">
        <v>163.13</v>
      </c>
      <c r="F19">
        <v>507.46</v>
      </c>
      <c r="G19">
        <v>762</v>
      </c>
      <c r="H19">
        <v>0</v>
      </c>
      <c r="I19">
        <v>762</v>
      </c>
      <c r="J19">
        <v>76.2</v>
      </c>
      <c r="L19" s="26" t="s">
        <v>8</v>
      </c>
      <c r="M19">
        <v>9</v>
      </c>
      <c r="N19">
        <v>5571</v>
      </c>
      <c r="O19">
        <v>874.80000000000018</v>
      </c>
      <c r="P19">
        <v>4696.2</v>
      </c>
      <c r="Q19">
        <v>3973.7699999999986</v>
      </c>
      <c r="R19">
        <v>557.09999999999991</v>
      </c>
      <c r="S19">
        <v>168.24419999999998</v>
      </c>
      <c r="T19">
        <v>871.8858000000015</v>
      </c>
      <c r="V19" s="26" t="s">
        <v>8</v>
      </c>
      <c r="W19">
        <v>9</v>
      </c>
      <c r="X19">
        <v>5571</v>
      </c>
      <c r="Y19">
        <v>3973.7699999999986</v>
      </c>
      <c r="Z19">
        <v>557.09999999999991</v>
      </c>
      <c r="AA19">
        <v>168.24419999999998</v>
      </c>
      <c r="AB19">
        <v>871.8858000000015</v>
      </c>
    </row>
    <row r="20" spans="1:28" x14ac:dyDescent="0.25">
      <c r="A20" s="24">
        <v>342</v>
      </c>
      <c r="B20" t="s">
        <v>441</v>
      </c>
      <c r="C20" t="s">
        <v>422</v>
      </c>
      <c r="D20" t="s">
        <v>5</v>
      </c>
      <c r="E20">
        <v>163.13</v>
      </c>
      <c r="F20">
        <v>507.46</v>
      </c>
      <c r="G20">
        <v>762</v>
      </c>
      <c r="H20">
        <v>0</v>
      </c>
      <c r="I20">
        <v>762</v>
      </c>
      <c r="J20">
        <v>76.2</v>
      </c>
      <c r="L20" s="26" t="s">
        <v>22</v>
      </c>
      <c r="M20">
        <v>4</v>
      </c>
      <c r="N20">
        <v>2784</v>
      </c>
      <c r="O20">
        <v>477.72</v>
      </c>
      <c r="P20">
        <v>2306.2799999999997</v>
      </c>
      <c r="Q20">
        <v>1855.04</v>
      </c>
      <c r="R20">
        <v>278.40000000000003</v>
      </c>
      <c r="S20">
        <v>84.076800000000006</v>
      </c>
      <c r="T20">
        <v>566.4831999999999</v>
      </c>
      <c r="V20" s="26" t="s">
        <v>22</v>
      </c>
      <c r="W20">
        <v>4</v>
      </c>
      <c r="X20">
        <v>2784</v>
      </c>
      <c r="Y20">
        <v>1855.04</v>
      </c>
      <c r="Z20">
        <v>278.40000000000003</v>
      </c>
      <c r="AA20">
        <v>84.076800000000006</v>
      </c>
      <c r="AB20">
        <v>566.4831999999999</v>
      </c>
    </row>
    <row r="21" spans="1:28" x14ac:dyDescent="0.25">
      <c r="A21" s="24">
        <v>343</v>
      </c>
      <c r="B21" t="s">
        <v>441</v>
      </c>
      <c r="C21" t="s">
        <v>422</v>
      </c>
      <c r="D21" t="s">
        <v>5</v>
      </c>
      <c r="E21">
        <v>163.13</v>
      </c>
      <c r="F21">
        <v>507.46</v>
      </c>
      <c r="G21">
        <v>762</v>
      </c>
      <c r="H21">
        <v>0</v>
      </c>
      <c r="I21">
        <v>762</v>
      </c>
      <c r="J21">
        <v>76.2</v>
      </c>
      <c r="L21" s="26" t="s">
        <v>37</v>
      </c>
      <c r="M21">
        <v>3</v>
      </c>
      <c r="N21">
        <v>2043</v>
      </c>
      <c r="O21">
        <v>327.72</v>
      </c>
      <c r="P21">
        <v>1715.28</v>
      </c>
      <c r="Q21">
        <v>1360.71</v>
      </c>
      <c r="R21">
        <v>204.3</v>
      </c>
      <c r="S21">
        <v>61.698599999999999</v>
      </c>
      <c r="T21">
        <v>416.29139999999995</v>
      </c>
      <c r="V21" s="26" t="s">
        <v>37</v>
      </c>
      <c r="W21">
        <v>3</v>
      </c>
      <c r="X21">
        <v>2043</v>
      </c>
      <c r="Y21">
        <v>1360.71</v>
      </c>
      <c r="Z21">
        <v>204.3</v>
      </c>
      <c r="AA21">
        <v>61.698599999999999</v>
      </c>
      <c r="AB21">
        <v>416.29139999999995</v>
      </c>
    </row>
    <row r="22" spans="1:28" x14ac:dyDescent="0.25">
      <c r="A22" s="24">
        <v>344</v>
      </c>
      <c r="B22" t="s">
        <v>442</v>
      </c>
      <c r="C22" t="s">
        <v>422</v>
      </c>
      <c r="D22" t="s">
        <v>5</v>
      </c>
      <c r="E22">
        <v>163.13</v>
      </c>
      <c r="F22">
        <v>507.46</v>
      </c>
      <c r="G22">
        <v>762</v>
      </c>
      <c r="H22">
        <v>0</v>
      </c>
      <c r="I22">
        <v>762</v>
      </c>
      <c r="J22">
        <v>76.2</v>
      </c>
      <c r="L22" s="26" t="s">
        <v>17</v>
      </c>
      <c r="M22">
        <v>6</v>
      </c>
      <c r="N22">
        <v>4290</v>
      </c>
      <c r="O22">
        <v>790.61999999999989</v>
      </c>
      <c r="P22">
        <v>3499.38</v>
      </c>
      <c r="Q22">
        <v>2856.6</v>
      </c>
      <c r="R22">
        <v>429</v>
      </c>
      <c r="S22">
        <v>129.55799999999999</v>
      </c>
      <c r="T22">
        <v>874.8420000000001</v>
      </c>
      <c r="V22" s="26" t="s">
        <v>17</v>
      </c>
      <c r="W22">
        <v>6</v>
      </c>
      <c r="X22">
        <v>4290</v>
      </c>
      <c r="Y22">
        <v>2856.6</v>
      </c>
      <c r="Z22">
        <v>429</v>
      </c>
      <c r="AA22">
        <v>129.55799999999999</v>
      </c>
      <c r="AB22">
        <v>874.8420000000001</v>
      </c>
    </row>
    <row r="23" spans="1:28" x14ac:dyDescent="0.25">
      <c r="A23" s="24">
        <v>345</v>
      </c>
      <c r="B23" t="s">
        <v>442</v>
      </c>
      <c r="C23" t="s">
        <v>422</v>
      </c>
      <c r="D23" t="s">
        <v>5</v>
      </c>
      <c r="E23">
        <v>163.13</v>
      </c>
      <c r="F23">
        <v>507.46</v>
      </c>
      <c r="G23">
        <v>762</v>
      </c>
      <c r="H23">
        <v>0</v>
      </c>
      <c r="I23">
        <v>762</v>
      </c>
      <c r="J23">
        <v>76.2</v>
      </c>
      <c r="L23" s="26" t="s">
        <v>15</v>
      </c>
      <c r="M23">
        <v>3</v>
      </c>
      <c r="N23">
        <v>3360</v>
      </c>
      <c r="O23">
        <v>942.4799999999999</v>
      </c>
      <c r="P23">
        <v>2417.52</v>
      </c>
      <c r="Q23">
        <v>1975.47</v>
      </c>
      <c r="R23">
        <v>336</v>
      </c>
      <c r="S23">
        <v>101.47199999999999</v>
      </c>
      <c r="T23">
        <v>947.05799999999999</v>
      </c>
      <c r="V23" s="26" t="s">
        <v>15</v>
      </c>
      <c r="W23">
        <v>3</v>
      </c>
      <c r="X23">
        <v>3360</v>
      </c>
      <c r="Y23">
        <v>1975.47</v>
      </c>
      <c r="Z23">
        <v>336</v>
      </c>
      <c r="AA23">
        <v>101.47199999999999</v>
      </c>
      <c r="AB23">
        <v>947.05799999999999</v>
      </c>
    </row>
    <row r="24" spans="1:28" x14ac:dyDescent="0.25">
      <c r="A24" s="24">
        <v>346</v>
      </c>
      <c r="B24" t="s">
        <v>443</v>
      </c>
      <c r="C24" t="s">
        <v>422</v>
      </c>
      <c r="D24" t="s">
        <v>5</v>
      </c>
      <c r="E24">
        <v>163.13</v>
      </c>
      <c r="F24">
        <v>507.46</v>
      </c>
      <c r="G24">
        <v>762</v>
      </c>
      <c r="H24">
        <v>0</v>
      </c>
      <c r="I24">
        <v>762</v>
      </c>
      <c r="J24">
        <v>76.2</v>
      </c>
      <c r="L24" s="23" t="s">
        <v>444</v>
      </c>
      <c r="M24">
        <v>75</v>
      </c>
      <c r="N24">
        <v>55216</v>
      </c>
      <c r="O24">
        <v>10921.840000000006</v>
      </c>
      <c r="P24">
        <v>44294.159999999996</v>
      </c>
      <c r="Q24">
        <v>36746.589999999953</v>
      </c>
      <c r="R24">
        <v>5521.6</v>
      </c>
      <c r="S24">
        <v>1667.5232000000001</v>
      </c>
      <c r="T24">
        <v>11280.286800000047</v>
      </c>
      <c r="V24" s="23" t="s">
        <v>444</v>
      </c>
      <c r="W24">
        <v>75</v>
      </c>
      <c r="X24">
        <v>55216</v>
      </c>
      <c r="Y24">
        <v>36746.589999999953</v>
      </c>
      <c r="Z24">
        <v>5521.6</v>
      </c>
      <c r="AA24">
        <v>1667.5232000000001</v>
      </c>
      <c r="AB24">
        <v>11280.286800000047</v>
      </c>
    </row>
    <row r="25" spans="1:28" x14ac:dyDescent="0.25">
      <c r="A25" s="24">
        <v>347</v>
      </c>
      <c r="B25" t="s">
        <v>442</v>
      </c>
      <c r="C25" t="s">
        <v>422</v>
      </c>
      <c r="D25" t="s">
        <v>5</v>
      </c>
      <c r="E25">
        <v>163.13</v>
      </c>
      <c r="F25">
        <v>507.46</v>
      </c>
      <c r="G25">
        <v>762</v>
      </c>
      <c r="H25">
        <v>0</v>
      </c>
      <c r="I25">
        <v>762</v>
      </c>
      <c r="J25">
        <v>76.2</v>
      </c>
    </row>
    <row r="26" spans="1:28" x14ac:dyDescent="0.25">
      <c r="A26" s="24">
        <v>348</v>
      </c>
      <c r="B26" t="s">
        <v>442</v>
      </c>
      <c r="C26" t="s">
        <v>422</v>
      </c>
      <c r="D26" t="s">
        <v>5</v>
      </c>
      <c r="E26">
        <v>163.13</v>
      </c>
      <c r="F26">
        <v>507.46</v>
      </c>
      <c r="G26">
        <v>762</v>
      </c>
      <c r="H26">
        <v>0</v>
      </c>
      <c r="I26">
        <v>762</v>
      </c>
      <c r="J26">
        <v>76.2</v>
      </c>
    </row>
    <row r="27" spans="1:28" x14ac:dyDescent="0.25">
      <c r="A27" s="24">
        <v>349</v>
      </c>
      <c r="B27" t="s">
        <v>442</v>
      </c>
      <c r="C27" t="s">
        <v>422</v>
      </c>
      <c r="D27" t="s">
        <v>8</v>
      </c>
      <c r="E27">
        <v>97.2</v>
      </c>
      <c r="F27">
        <v>441.53</v>
      </c>
      <c r="G27">
        <v>619</v>
      </c>
      <c r="H27">
        <v>0</v>
      </c>
      <c r="I27">
        <v>619</v>
      </c>
      <c r="J27">
        <v>61.900000000000006</v>
      </c>
    </row>
    <row r="28" spans="1:28" x14ac:dyDescent="0.25">
      <c r="A28" s="24">
        <v>350</v>
      </c>
      <c r="B28" t="s">
        <v>443</v>
      </c>
      <c r="C28" t="s">
        <v>422</v>
      </c>
      <c r="D28" t="s">
        <v>8</v>
      </c>
      <c r="E28">
        <v>97.2</v>
      </c>
      <c r="F28">
        <v>441.53</v>
      </c>
      <c r="G28">
        <v>619</v>
      </c>
      <c r="H28">
        <v>0</v>
      </c>
      <c r="I28">
        <v>619</v>
      </c>
      <c r="J28">
        <v>61.900000000000006</v>
      </c>
    </row>
    <row r="29" spans="1:28" x14ac:dyDescent="0.25">
      <c r="A29" s="24">
        <v>351</v>
      </c>
      <c r="B29" t="s">
        <v>443</v>
      </c>
      <c r="C29" t="s">
        <v>422</v>
      </c>
      <c r="D29" t="s">
        <v>8</v>
      </c>
      <c r="E29">
        <v>97.2</v>
      </c>
      <c r="F29">
        <v>441.53</v>
      </c>
      <c r="G29">
        <v>619</v>
      </c>
      <c r="H29">
        <v>0</v>
      </c>
      <c r="I29">
        <v>619</v>
      </c>
      <c r="J29">
        <v>61.900000000000006</v>
      </c>
    </row>
    <row r="30" spans="1:28" x14ac:dyDescent="0.25">
      <c r="A30" s="24">
        <v>352</v>
      </c>
      <c r="B30" t="s">
        <v>443</v>
      </c>
      <c r="C30" t="s">
        <v>422</v>
      </c>
      <c r="D30" t="s">
        <v>8</v>
      </c>
      <c r="E30">
        <v>97.2</v>
      </c>
      <c r="F30">
        <v>441.53</v>
      </c>
      <c r="G30">
        <v>619</v>
      </c>
      <c r="H30">
        <v>0</v>
      </c>
      <c r="I30">
        <v>619</v>
      </c>
      <c r="J30">
        <v>61.900000000000006</v>
      </c>
    </row>
    <row r="31" spans="1:28" x14ac:dyDescent="0.25">
      <c r="A31" s="24">
        <v>353</v>
      </c>
      <c r="B31" t="s">
        <v>443</v>
      </c>
      <c r="C31" t="s">
        <v>422</v>
      </c>
      <c r="D31" t="s">
        <v>8</v>
      </c>
      <c r="E31">
        <v>97.2</v>
      </c>
      <c r="F31">
        <v>441.53</v>
      </c>
      <c r="G31">
        <v>619</v>
      </c>
      <c r="H31">
        <v>0</v>
      </c>
      <c r="I31">
        <v>619</v>
      </c>
      <c r="J31">
        <v>61.900000000000006</v>
      </c>
    </row>
    <row r="32" spans="1:28" x14ac:dyDescent="0.25">
      <c r="A32" s="24">
        <v>354</v>
      </c>
      <c r="B32" t="s">
        <v>441</v>
      </c>
      <c r="C32" t="s">
        <v>422</v>
      </c>
      <c r="D32" t="s">
        <v>8</v>
      </c>
      <c r="E32">
        <v>97.2</v>
      </c>
      <c r="F32">
        <v>441.53</v>
      </c>
      <c r="G32">
        <v>619</v>
      </c>
      <c r="H32">
        <v>0</v>
      </c>
      <c r="I32">
        <v>619</v>
      </c>
      <c r="J32">
        <v>61.900000000000006</v>
      </c>
    </row>
    <row r="33" spans="1:10" x14ac:dyDescent="0.25">
      <c r="A33" s="24">
        <v>355</v>
      </c>
      <c r="B33" t="s">
        <v>442</v>
      </c>
      <c r="C33" t="s">
        <v>422</v>
      </c>
      <c r="D33" t="s">
        <v>8</v>
      </c>
      <c r="E33">
        <v>97.2</v>
      </c>
      <c r="F33">
        <v>441.53</v>
      </c>
      <c r="G33">
        <v>619</v>
      </c>
      <c r="H33">
        <v>0</v>
      </c>
      <c r="I33">
        <v>619</v>
      </c>
      <c r="J33">
        <v>61.900000000000006</v>
      </c>
    </row>
    <row r="34" spans="1:10" x14ac:dyDescent="0.25">
      <c r="A34" s="24">
        <v>356</v>
      </c>
      <c r="B34" t="s">
        <v>443</v>
      </c>
      <c r="C34" t="s">
        <v>422</v>
      </c>
      <c r="D34" t="s">
        <v>8</v>
      </c>
      <c r="E34">
        <v>97.2</v>
      </c>
      <c r="F34">
        <v>441.53</v>
      </c>
      <c r="G34">
        <v>619</v>
      </c>
      <c r="H34">
        <v>0</v>
      </c>
      <c r="I34">
        <v>619</v>
      </c>
      <c r="J34">
        <v>61.900000000000006</v>
      </c>
    </row>
    <row r="35" spans="1:10" x14ac:dyDescent="0.25">
      <c r="A35" s="24">
        <v>357</v>
      </c>
      <c r="B35" t="s">
        <v>441</v>
      </c>
      <c r="C35" t="s">
        <v>422</v>
      </c>
      <c r="D35" t="s">
        <v>8</v>
      </c>
      <c r="E35">
        <v>97.2</v>
      </c>
      <c r="F35">
        <v>441.53</v>
      </c>
      <c r="G35">
        <v>619</v>
      </c>
      <c r="H35">
        <v>0</v>
      </c>
      <c r="I35">
        <v>619</v>
      </c>
      <c r="J35">
        <v>61.900000000000006</v>
      </c>
    </row>
    <row r="36" spans="1:10" x14ac:dyDescent="0.25">
      <c r="A36" s="24">
        <v>358</v>
      </c>
      <c r="B36" t="s">
        <v>442</v>
      </c>
      <c r="C36" t="s">
        <v>422</v>
      </c>
      <c r="D36" t="s">
        <v>8</v>
      </c>
      <c r="E36">
        <v>97.2</v>
      </c>
      <c r="F36">
        <v>441.53</v>
      </c>
      <c r="G36">
        <v>619</v>
      </c>
      <c r="H36">
        <v>0</v>
      </c>
      <c r="I36">
        <v>619</v>
      </c>
      <c r="J36">
        <v>61.900000000000006</v>
      </c>
    </row>
    <row r="37" spans="1:10" x14ac:dyDescent="0.25">
      <c r="A37" s="24">
        <v>359</v>
      </c>
      <c r="B37" t="s">
        <v>443</v>
      </c>
      <c r="C37" t="s">
        <v>422</v>
      </c>
      <c r="D37" t="s">
        <v>8</v>
      </c>
      <c r="E37">
        <v>97.2</v>
      </c>
      <c r="F37">
        <v>441.53</v>
      </c>
      <c r="G37">
        <v>619</v>
      </c>
      <c r="H37">
        <v>0</v>
      </c>
      <c r="I37">
        <v>619</v>
      </c>
      <c r="J37">
        <v>61.900000000000006</v>
      </c>
    </row>
    <row r="38" spans="1:10" x14ac:dyDescent="0.25">
      <c r="A38" s="24">
        <v>360</v>
      </c>
      <c r="B38" t="s">
        <v>443</v>
      </c>
      <c r="C38" t="s">
        <v>422</v>
      </c>
      <c r="D38" t="s">
        <v>8</v>
      </c>
      <c r="E38">
        <v>97.2</v>
      </c>
      <c r="F38">
        <v>441.53</v>
      </c>
      <c r="G38">
        <v>619</v>
      </c>
      <c r="H38">
        <v>0</v>
      </c>
      <c r="I38">
        <v>619</v>
      </c>
      <c r="J38">
        <v>61.900000000000006</v>
      </c>
    </row>
    <row r="39" spans="1:10" x14ac:dyDescent="0.25">
      <c r="A39" s="24">
        <v>361</v>
      </c>
      <c r="B39" t="s">
        <v>443</v>
      </c>
      <c r="C39" t="s">
        <v>422</v>
      </c>
      <c r="D39" t="s">
        <v>8</v>
      </c>
      <c r="E39">
        <v>97.2</v>
      </c>
      <c r="F39">
        <v>441.53</v>
      </c>
      <c r="G39">
        <v>619</v>
      </c>
      <c r="H39">
        <v>0</v>
      </c>
      <c r="I39">
        <v>619</v>
      </c>
      <c r="J39">
        <v>61.900000000000006</v>
      </c>
    </row>
    <row r="40" spans="1:10" x14ac:dyDescent="0.25">
      <c r="A40" s="24">
        <v>362</v>
      </c>
      <c r="B40" t="s">
        <v>443</v>
      </c>
      <c r="C40" t="s">
        <v>422</v>
      </c>
      <c r="D40" t="s">
        <v>8</v>
      </c>
      <c r="E40">
        <v>97.2</v>
      </c>
      <c r="F40">
        <v>441.53</v>
      </c>
      <c r="G40">
        <v>619</v>
      </c>
      <c r="H40">
        <v>0</v>
      </c>
      <c r="I40">
        <v>619</v>
      </c>
      <c r="J40">
        <v>61.900000000000006</v>
      </c>
    </row>
    <row r="41" spans="1:10" x14ac:dyDescent="0.25">
      <c r="A41" s="24">
        <v>363</v>
      </c>
      <c r="B41" t="s">
        <v>442</v>
      </c>
      <c r="C41" t="s">
        <v>422</v>
      </c>
      <c r="D41" t="s">
        <v>8</v>
      </c>
      <c r="E41">
        <v>97.2</v>
      </c>
      <c r="F41">
        <v>441.53</v>
      </c>
      <c r="G41">
        <v>619</v>
      </c>
      <c r="H41">
        <v>0</v>
      </c>
      <c r="I41">
        <v>619</v>
      </c>
      <c r="J41">
        <v>61.900000000000006</v>
      </c>
    </row>
    <row r="42" spans="1:10" x14ac:dyDescent="0.25">
      <c r="A42" s="24">
        <v>364</v>
      </c>
      <c r="B42" t="s">
        <v>441</v>
      </c>
      <c r="C42" t="s">
        <v>422</v>
      </c>
      <c r="D42" t="s">
        <v>8</v>
      </c>
      <c r="E42">
        <v>97.2</v>
      </c>
      <c r="F42">
        <v>441.53</v>
      </c>
      <c r="G42">
        <v>619</v>
      </c>
      <c r="H42">
        <v>0</v>
      </c>
      <c r="I42">
        <v>619</v>
      </c>
      <c r="J42">
        <v>61.900000000000006</v>
      </c>
    </row>
    <row r="43" spans="1:10" x14ac:dyDescent="0.25">
      <c r="A43" s="24">
        <v>365</v>
      </c>
      <c r="B43" t="s">
        <v>442</v>
      </c>
      <c r="C43" t="s">
        <v>422</v>
      </c>
      <c r="D43" t="s">
        <v>8</v>
      </c>
      <c r="E43">
        <v>97.2</v>
      </c>
      <c r="F43">
        <v>441.53</v>
      </c>
      <c r="G43">
        <v>619</v>
      </c>
      <c r="H43">
        <v>0</v>
      </c>
      <c r="I43">
        <v>619</v>
      </c>
      <c r="J43">
        <v>61.900000000000006</v>
      </c>
    </row>
    <row r="44" spans="1:10" x14ac:dyDescent="0.25">
      <c r="A44" s="24">
        <v>366</v>
      </c>
      <c r="B44" t="s">
        <v>443</v>
      </c>
      <c r="C44" t="s">
        <v>422</v>
      </c>
      <c r="D44" t="s">
        <v>22</v>
      </c>
      <c r="E44">
        <v>119.43</v>
      </c>
      <c r="F44">
        <v>463.76</v>
      </c>
      <c r="G44">
        <v>696</v>
      </c>
      <c r="H44">
        <v>0</v>
      </c>
      <c r="I44">
        <v>696</v>
      </c>
      <c r="J44">
        <v>69.600000000000009</v>
      </c>
    </row>
    <row r="45" spans="1:10" x14ac:dyDescent="0.25">
      <c r="A45" s="24">
        <v>367</v>
      </c>
      <c r="B45" t="s">
        <v>441</v>
      </c>
      <c r="C45" t="s">
        <v>422</v>
      </c>
      <c r="D45" t="s">
        <v>22</v>
      </c>
      <c r="E45">
        <v>119.43</v>
      </c>
      <c r="F45">
        <v>463.76</v>
      </c>
      <c r="G45">
        <v>696</v>
      </c>
      <c r="H45">
        <v>0</v>
      </c>
      <c r="I45">
        <v>696</v>
      </c>
      <c r="J45">
        <v>69.600000000000009</v>
      </c>
    </row>
    <row r="46" spans="1:10" x14ac:dyDescent="0.25">
      <c r="A46" s="24">
        <v>368</v>
      </c>
      <c r="B46" t="s">
        <v>443</v>
      </c>
      <c r="C46" t="s">
        <v>422</v>
      </c>
      <c r="D46" t="s">
        <v>22</v>
      </c>
      <c r="E46">
        <v>119.43</v>
      </c>
      <c r="F46">
        <v>463.76</v>
      </c>
      <c r="G46">
        <v>696</v>
      </c>
      <c r="H46">
        <v>0</v>
      </c>
      <c r="I46">
        <v>696</v>
      </c>
      <c r="J46">
        <v>69.600000000000009</v>
      </c>
    </row>
    <row r="47" spans="1:10" x14ac:dyDescent="0.25">
      <c r="A47" s="24">
        <v>369</v>
      </c>
      <c r="B47" t="s">
        <v>441</v>
      </c>
      <c r="C47" t="s">
        <v>422</v>
      </c>
      <c r="D47" t="s">
        <v>22</v>
      </c>
      <c r="E47">
        <v>119.43</v>
      </c>
      <c r="F47">
        <v>463.76</v>
      </c>
      <c r="G47">
        <v>696</v>
      </c>
      <c r="H47">
        <v>0</v>
      </c>
      <c r="I47">
        <v>696</v>
      </c>
      <c r="J47">
        <v>69.600000000000009</v>
      </c>
    </row>
    <row r="48" spans="1:10" x14ac:dyDescent="0.25">
      <c r="A48" s="24">
        <v>370</v>
      </c>
      <c r="B48" t="s">
        <v>442</v>
      </c>
      <c r="C48" t="s">
        <v>422</v>
      </c>
      <c r="D48" t="s">
        <v>22</v>
      </c>
      <c r="E48">
        <v>119.43</v>
      </c>
      <c r="F48">
        <v>463.76</v>
      </c>
      <c r="G48">
        <v>696</v>
      </c>
      <c r="H48">
        <v>0</v>
      </c>
      <c r="I48">
        <v>696</v>
      </c>
      <c r="J48">
        <v>69.600000000000009</v>
      </c>
    </row>
    <row r="49" spans="1:10" x14ac:dyDescent="0.25">
      <c r="A49" s="24">
        <v>371</v>
      </c>
      <c r="B49" t="s">
        <v>442</v>
      </c>
      <c r="C49" t="s">
        <v>422</v>
      </c>
      <c r="D49" t="s">
        <v>22</v>
      </c>
      <c r="E49">
        <v>119.43</v>
      </c>
      <c r="F49">
        <v>463.76</v>
      </c>
      <c r="G49">
        <v>696</v>
      </c>
      <c r="H49">
        <v>0</v>
      </c>
      <c r="I49">
        <v>696</v>
      </c>
      <c r="J49">
        <v>69.600000000000009</v>
      </c>
    </row>
    <row r="50" spans="1:10" x14ac:dyDescent="0.25">
      <c r="A50" s="24">
        <v>372</v>
      </c>
      <c r="B50" t="s">
        <v>443</v>
      </c>
      <c r="C50" t="s">
        <v>422</v>
      </c>
      <c r="D50" t="s">
        <v>22</v>
      </c>
      <c r="E50">
        <v>119.43</v>
      </c>
      <c r="F50">
        <v>463.76</v>
      </c>
      <c r="G50">
        <v>696</v>
      </c>
      <c r="H50">
        <v>0</v>
      </c>
      <c r="I50">
        <v>696</v>
      </c>
      <c r="J50">
        <v>69.600000000000009</v>
      </c>
    </row>
    <row r="51" spans="1:10" x14ac:dyDescent="0.25">
      <c r="A51" s="24">
        <v>373</v>
      </c>
      <c r="B51" t="s">
        <v>443</v>
      </c>
      <c r="C51" t="s">
        <v>422</v>
      </c>
      <c r="D51" t="s">
        <v>22</v>
      </c>
      <c r="E51">
        <v>119.43</v>
      </c>
      <c r="F51">
        <v>463.76</v>
      </c>
      <c r="G51">
        <v>696</v>
      </c>
      <c r="H51">
        <v>0</v>
      </c>
      <c r="I51">
        <v>696</v>
      </c>
      <c r="J51">
        <v>69.600000000000009</v>
      </c>
    </row>
    <row r="52" spans="1:10" x14ac:dyDescent="0.25">
      <c r="A52" s="24">
        <v>374</v>
      </c>
      <c r="B52" t="s">
        <v>443</v>
      </c>
      <c r="C52" t="s">
        <v>422</v>
      </c>
      <c r="D52" t="s">
        <v>37</v>
      </c>
      <c r="E52">
        <v>109.24000000000001</v>
      </c>
      <c r="F52">
        <v>453.57</v>
      </c>
      <c r="G52">
        <v>681</v>
      </c>
      <c r="H52">
        <v>0</v>
      </c>
      <c r="I52">
        <v>681</v>
      </c>
      <c r="J52">
        <v>68.100000000000009</v>
      </c>
    </row>
    <row r="53" spans="1:10" x14ac:dyDescent="0.25">
      <c r="A53" s="24">
        <v>375</v>
      </c>
      <c r="B53" t="s">
        <v>443</v>
      </c>
      <c r="C53" t="s">
        <v>422</v>
      </c>
      <c r="D53" t="s">
        <v>37</v>
      </c>
      <c r="E53">
        <v>109.24000000000001</v>
      </c>
      <c r="F53">
        <v>453.57</v>
      </c>
      <c r="G53">
        <v>681</v>
      </c>
      <c r="H53">
        <v>0</v>
      </c>
      <c r="I53">
        <v>681</v>
      </c>
      <c r="J53">
        <v>68.100000000000009</v>
      </c>
    </row>
    <row r="54" spans="1:10" x14ac:dyDescent="0.25">
      <c r="A54" s="24">
        <v>376</v>
      </c>
      <c r="B54" t="s">
        <v>441</v>
      </c>
      <c r="C54" t="s">
        <v>422</v>
      </c>
      <c r="D54" t="s">
        <v>37</v>
      </c>
      <c r="E54">
        <v>109.24000000000001</v>
      </c>
      <c r="F54">
        <v>453.57</v>
      </c>
      <c r="G54">
        <v>681</v>
      </c>
      <c r="H54">
        <v>0</v>
      </c>
      <c r="I54">
        <v>681</v>
      </c>
      <c r="J54">
        <v>68.100000000000009</v>
      </c>
    </row>
    <row r="55" spans="1:10" x14ac:dyDescent="0.25">
      <c r="A55" s="24">
        <v>377</v>
      </c>
      <c r="B55" t="s">
        <v>443</v>
      </c>
      <c r="C55" t="s">
        <v>422</v>
      </c>
      <c r="D55" t="s">
        <v>37</v>
      </c>
      <c r="E55">
        <v>109.24000000000001</v>
      </c>
      <c r="F55">
        <v>453.57</v>
      </c>
      <c r="G55">
        <v>681</v>
      </c>
      <c r="H55">
        <v>0</v>
      </c>
      <c r="I55">
        <v>681</v>
      </c>
      <c r="J55">
        <v>68.100000000000009</v>
      </c>
    </row>
    <row r="56" spans="1:10" x14ac:dyDescent="0.25">
      <c r="A56" s="24">
        <v>378</v>
      </c>
      <c r="B56" t="s">
        <v>441</v>
      </c>
      <c r="C56" t="s">
        <v>422</v>
      </c>
      <c r="D56" t="s">
        <v>17</v>
      </c>
      <c r="E56">
        <v>131.76999999999998</v>
      </c>
      <c r="F56">
        <v>476.09999999999997</v>
      </c>
      <c r="G56">
        <v>715</v>
      </c>
      <c r="H56">
        <v>0</v>
      </c>
      <c r="I56">
        <v>715</v>
      </c>
      <c r="J56">
        <v>71.5</v>
      </c>
    </row>
    <row r="57" spans="1:10" x14ac:dyDescent="0.25">
      <c r="A57" s="24">
        <v>379</v>
      </c>
      <c r="B57" t="s">
        <v>442</v>
      </c>
      <c r="C57" t="s">
        <v>422</v>
      </c>
      <c r="D57" t="s">
        <v>17</v>
      </c>
      <c r="E57">
        <v>131.76999999999998</v>
      </c>
      <c r="F57">
        <v>476.09999999999997</v>
      </c>
      <c r="G57">
        <v>715</v>
      </c>
      <c r="H57">
        <v>0</v>
      </c>
      <c r="I57">
        <v>715</v>
      </c>
      <c r="J57">
        <v>71.5</v>
      </c>
    </row>
    <row r="58" spans="1:10" x14ac:dyDescent="0.25">
      <c r="A58" s="24">
        <v>380</v>
      </c>
      <c r="B58" t="s">
        <v>443</v>
      </c>
      <c r="C58" t="s">
        <v>422</v>
      </c>
      <c r="D58" t="s">
        <v>17</v>
      </c>
      <c r="E58">
        <v>131.76999999999998</v>
      </c>
      <c r="F58">
        <v>476.09999999999997</v>
      </c>
      <c r="G58">
        <v>715</v>
      </c>
      <c r="H58">
        <v>0</v>
      </c>
      <c r="I58">
        <v>715</v>
      </c>
      <c r="J58">
        <v>71.5</v>
      </c>
    </row>
    <row r="59" spans="1:10" x14ac:dyDescent="0.25">
      <c r="A59" s="24">
        <v>381</v>
      </c>
      <c r="B59" t="s">
        <v>441</v>
      </c>
      <c r="C59" t="s">
        <v>422</v>
      </c>
      <c r="D59" t="s">
        <v>17</v>
      </c>
      <c r="E59">
        <v>131.76999999999998</v>
      </c>
      <c r="F59">
        <v>476.09999999999997</v>
      </c>
      <c r="G59">
        <v>715</v>
      </c>
      <c r="H59">
        <v>0</v>
      </c>
      <c r="I59">
        <v>715</v>
      </c>
      <c r="J59">
        <v>71.5</v>
      </c>
    </row>
    <row r="60" spans="1:10" x14ac:dyDescent="0.25">
      <c r="A60" s="24">
        <v>382</v>
      </c>
      <c r="B60" t="s">
        <v>441</v>
      </c>
      <c r="C60" t="s">
        <v>422</v>
      </c>
      <c r="D60" t="s">
        <v>17</v>
      </c>
      <c r="E60">
        <v>131.76999999999998</v>
      </c>
      <c r="F60">
        <v>476.09999999999997</v>
      </c>
      <c r="G60">
        <v>715</v>
      </c>
      <c r="H60">
        <v>0</v>
      </c>
      <c r="I60">
        <v>715</v>
      </c>
      <c r="J60">
        <v>71.5</v>
      </c>
    </row>
    <row r="61" spans="1:10" x14ac:dyDescent="0.25">
      <c r="A61" s="24">
        <v>383</v>
      </c>
      <c r="B61" t="s">
        <v>443</v>
      </c>
      <c r="C61" t="s">
        <v>422</v>
      </c>
      <c r="D61" t="s">
        <v>17</v>
      </c>
      <c r="E61">
        <v>131.76999999999998</v>
      </c>
      <c r="F61">
        <v>476.09999999999997</v>
      </c>
      <c r="G61">
        <v>715</v>
      </c>
      <c r="H61">
        <v>0</v>
      </c>
      <c r="I61">
        <v>715</v>
      </c>
      <c r="J61">
        <v>71.5</v>
      </c>
    </row>
    <row r="62" spans="1:10" x14ac:dyDescent="0.25">
      <c r="A62" s="24">
        <v>384</v>
      </c>
      <c r="B62" t="s">
        <v>441</v>
      </c>
      <c r="C62" t="s">
        <v>422</v>
      </c>
      <c r="D62" t="s">
        <v>17</v>
      </c>
      <c r="E62">
        <v>131.76999999999998</v>
      </c>
      <c r="F62">
        <v>476.09999999999997</v>
      </c>
      <c r="G62">
        <v>715</v>
      </c>
      <c r="H62">
        <v>0</v>
      </c>
      <c r="I62">
        <v>715</v>
      </c>
      <c r="J62">
        <v>71.5</v>
      </c>
    </row>
    <row r="63" spans="1:10" x14ac:dyDescent="0.25">
      <c r="A63" s="24">
        <v>385</v>
      </c>
      <c r="B63" t="s">
        <v>441</v>
      </c>
      <c r="C63" t="s">
        <v>422</v>
      </c>
      <c r="D63" t="s">
        <v>17</v>
      </c>
      <c r="E63">
        <v>131.76999999999998</v>
      </c>
      <c r="F63">
        <v>476.09999999999997</v>
      </c>
      <c r="G63">
        <v>715</v>
      </c>
      <c r="H63">
        <v>0</v>
      </c>
      <c r="I63">
        <v>715</v>
      </c>
      <c r="J63">
        <v>71.5</v>
      </c>
    </row>
    <row r="64" spans="1:10" x14ac:dyDescent="0.25">
      <c r="A64" s="24">
        <v>386</v>
      </c>
      <c r="B64" t="s">
        <v>443</v>
      </c>
      <c r="C64" t="s">
        <v>422</v>
      </c>
      <c r="D64" t="s">
        <v>17</v>
      </c>
      <c r="E64">
        <v>131.76999999999998</v>
      </c>
      <c r="F64">
        <v>476.09999999999997</v>
      </c>
      <c r="G64">
        <v>715</v>
      </c>
      <c r="H64">
        <v>0</v>
      </c>
      <c r="I64">
        <v>715</v>
      </c>
      <c r="J64">
        <v>71.5</v>
      </c>
    </row>
    <row r="65" spans="1:10" x14ac:dyDescent="0.25">
      <c r="A65" s="24">
        <v>387</v>
      </c>
      <c r="B65" t="s">
        <v>441</v>
      </c>
      <c r="C65" t="s">
        <v>422</v>
      </c>
      <c r="D65" t="s">
        <v>17</v>
      </c>
      <c r="E65">
        <v>131.76999999999998</v>
      </c>
      <c r="F65">
        <v>476.09999999999997</v>
      </c>
      <c r="G65">
        <v>715</v>
      </c>
      <c r="H65">
        <v>0</v>
      </c>
      <c r="I65">
        <v>715</v>
      </c>
      <c r="J65">
        <v>71.5</v>
      </c>
    </row>
    <row r="66" spans="1:10" x14ac:dyDescent="0.25">
      <c r="A66" s="24">
        <v>388</v>
      </c>
      <c r="B66" t="s">
        <v>443</v>
      </c>
      <c r="C66" t="s">
        <v>422</v>
      </c>
      <c r="D66" t="s">
        <v>17</v>
      </c>
      <c r="E66">
        <v>131.76999999999998</v>
      </c>
      <c r="F66">
        <v>476.09999999999997</v>
      </c>
      <c r="G66">
        <v>715</v>
      </c>
      <c r="H66">
        <v>0</v>
      </c>
      <c r="I66">
        <v>715</v>
      </c>
      <c r="J66">
        <v>71.5</v>
      </c>
    </row>
    <row r="67" spans="1:10" x14ac:dyDescent="0.25">
      <c r="A67" s="24">
        <v>389</v>
      </c>
      <c r="B67" t="s">
        <v>442</v>
      </c>
      <c r="C67" t="s">
        <v>422</v>
      </c>
      <c r="D67" t="s">
        <v>17</v>
      </c>
      <c r="E67">
        <v>131.76999999999998</v>
      </c>
      <c r="F67">
        <v>476.09999999999997</v>
      </c>
      <c r="G67">
        <v>715</v>
      </c>
      <c r="H67">
        <v>0</v>
      </c>
      <c r="I67">
        <v>715</v>
      </c>
      <c r="J67">
        <v>71.5</v>
      </c>
    </row>
    <row r="68" spans="1:10" x14ac:dyDescent="0.25">
      <c r="A68" s="24">
        <v>390</v>
      </c>
      <c r="B68" t="s">
        <v>443</v>
      </c>
      <c r="C68" t="s">
        <v>422</v>
      </c>
      <c r="D68" t="s">
        <v>17</v>
      </c>
      <c r="E68">
        <v>131.76999999999998</v>
      </c>
      <c r="F68">
        <v>476.09999999999997</v>
      </c>
      <c r="G68">
        <v>715</v>
      </c>
      <c r="H68">
        <v>0</v>
      </c>
      <c r="I68">
        <v>715</v>
      </c>
      <c r="J68">
        <v>71.5</v>
      </c>
    </row>
    <row r="69" spans="1:10" x14ac:dyDescent="0.25">
      <c r="A69" s="24">
        <v>391</v>
      </c>
      <c r="B69" t="s">
        <v>441</v>
      </c>
      <c r="C69" t="s">
        <v>422</v>
      </c>
      <c r="D69" t="s">
        <v>17</v>
      </c>
      <c r="E69">
        <v>131.76999999999998</v>
      </c>
      <c r="F69">
        <v>476.09999999999997</v>
      </c>
      <c r="G69">
        <v>715</v>
      </c>
      <c r="H69">
        <v>0</v>
      </c>
      <c r="I69">
        <v>715</v>
      </c>
      <c r="J69">
        <v>71.5</v>
      </c>
    </row>
    <row r="70" spans="1:10" x14ac:dyDescent="0.25">
      <c r="A70" s="24">
        <v>392</v>
      </c>
      <c r="B70" t="s">
        <v>442</v>
      </c>
      <c r="C70" t="s">
        <v>422</v>
      </c>
      <c r="D70" t="s">
        <v>17</v>
      </c>
      <c r="E70">
        <v>131.76999999999998</v>
      </c>
      <c r="F70">
        <v>476.09999999999997</v>
      </c>
      <c r="G70">
        <v>715</v>
      </c>
      <c r="H70">
        <v>0</v>
      </c>
      <c r="I70">
        <v>715</v>
      </c>
      <c r="J70">
        <v>71.5</v>
      </c>
    </row>
    <row r="71" spans="1:10" x14ac:dyDescent="0.25">
      <c r="A71" s="24">
        <v>393</v>
      </c>
      <c r="B71" t="s">
        <v>443</v>
      </c>
      <c r="C71" t="s">
        <v>422</v>
      </c>
      <c r="D71" t="s">
        <v>17</v>
      </c>
      <c r="E71">
        <v>131.76999999999998</v>
      </c>
      <c r="F71">
        <v>476.09999999999997</v>
      </c>
      <c r="G71">
        <v>715</v>
      </c>
      <c r="H71">
        <v>0</v>
      </c>
      <c r="I71">
        <v>715</v>
      </c>
      <c r="J71">
        <v>71.5</v>
      </c>
    </row>
    <row r="72" spans="1:10" x14ac:dyDescent="0.25">
      <c r="A72" s="24">
        <v>394</v>
      </c>
      <c r="B72" t="s">
        <v>442</v>
      </c>
      <c r="C72" t="s">
        <v>422</v>
      </c>
      <c r="D72" t="s">
        <v>17</v>
      </c>
      <c r="E72">
        <v>131.76999999999998</v>
      </c>
      <c r="F72">
        <v>476.09999999999997</v>
      </c>
      <c r="G72">
        <v>715</v>
      </c>
      <c r="H72">
        <v>0</v>
      </c>
      <c r="I72">
        <v>715</v>
      </c>
      <c r="J72">
        <v>71.5</v>
      </c>
    </row>
    <row r="73" spans="1:10" x14ac:dyDescent="0.25">
      <c r="A73" s="24">
        <v>395</v>
      </c>
      <c r="B73" t="s">
        <v>443</v>
      </c>
      <c r="C73" t="s">
        <v>422</v>
      </c>
      <c r="D73" t="s">
        <v>15</v>
      </c>
      <c r="E73">
        <v>314.15999999999997</v>
      </c>
      <c r="F73">
        <v>658.49</v>
      </c>
      <c r="G73">
        <v>1120</v>
      </c>
      <c r="H73">
        <v>0</v>
      </c>
      <c r="I73">
        <v>1120</v>
      </c>
      <c r="J73">
        <v>112</v>
      </c>
    </row>
    <row r="74" spans="1:10" x14ac:dyDescent="0.25">
      <c r="A74" s="24">
        <v>396</v>
      </c>
      <c r="B74" t="s">
        <v>441</v>
      </c>
      <c r="C74" t="s">
        <v>422</v>
      </c>
      <c r="D74" t="s">
        <v>15</v>
      </c>
      <c r="E74">
        <v>314.15999999999997</v>
      </c>
      <c r="F74">
        <v>658.49</v>
      </c>
      <c r="G74">
        <v>1120</v>
      </c>
      <c r="H74">
        <v>0</v>
      </c>
      <c r="I74">
        <v>1120</v>
      </c>
      <c r="J74">
        <v>112</v>
      </c>
    </row>
    <row r="75" spans="1:10" x14ac:dyDescent="0.25">
      <c r="A75" s="24">
        <v>397</v>
      </c>
      <c r="B75" t="s">
        <v>443</v>
      </c>
      <c r="C75" t="s">
        <v>422</v>
      </c>
      <c r="D75" t="s">
        <v>15</v>
      </c>
      <c r="E75">
        <v>314.15999999999997</v>
      </c>
      <c r="F75">
        <v>658.49</v>
      </c>
      <c r="G75">
        <v>1120</v>
      </c>
      <c r="H75">
        <v>0</v>
      </c>
      <c r="I75">
        <v>1120</v>
      </c>
      <c r="J75">
        <v>112</v>
      </c>
    </row>
    <row r="76" spans="1:10" x14ac:dyDescent="0.25">
      <c r="A76" s="24">
        <v>398</v>
      </c>
      <c r="B76" t="s">
        <v>443</v>
      </c>
      <c r="C76" t="s">
        <v>422</v>
      </c>
      <c r="D76" t="s">
        <v>15</v>
      </c>
      <c r="E76">
        <v>314.15999999999997</v>
      </c>
      <c r="F76">
        <v>658.49</v>
      </c>
      <c r="G76">
        <v>1120</v>
      </c>
      <c r="H76">
        <v>0</v>
      </c>
      <c r="I76">
        <v>1120</v>
      </c>
      <c r="J76">
        <v>112</v>
      </c>
    </row>
    <row r="77" spans="1:10" x14ac:dyDescent="0.25">
      <c r="A77" s="24">
        <v>399</v>
      </c>
      <c r="B77" t="s">
        <v>442</v>
      </c>
      <c r="C77" t="s">
        <v>422</v>
      </c>
      <c r="D77" t="s">
        <v>15</v>
      </c>
      <c r="E77">
        <v>314.15999999999997</v>
      </c>
      <c r="F77">
        <v>658.49</v>
      </c>
      <c r="G77">
        <v>1120</v>
      </c>
      <c r="H77">
        <v>0</v>
      </c>
      <c r="I77">
        <v>1120</v>
      </c>
      <c r="J77">
        <v>112</v>
      </c>
    </row>
    <row r="78" spans="1:10" x14ac:dyDescent="0.25">
      <c r="A78" s="24">
        <v>400</v>
      </c>
      <c r="B78" t="s">
        <v>442</v>
      </c>
      <c r="C78" t="s">
        <v>422</v>
      </c>
      <c r="D78" t="s">
        <v>15</v>
      </c>
      <c r="E78">
        <v>314.15999999999997</v>
      </c>
      <c r="F78">
        <v>658.49</v>
      </c>
      <c r="G78">
        <v>1120</v>
      </c>
      <c r="H78">
        <v>0</v>
      </c>
      <c r="I78">
        <v>1120</v>
      </c>
      <c r="J78">
        <v>112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Q402"/>
  <sheetViews>
    <sheetView zoomScale="79" zoomScaleNormal="79" workbookViewId="0">
      <selection activeCell="L9" sqref="L9"/>
    </sheetView>
  </sheetViews>
  <sheetFormatPr defaultRowHeight="15" x14ac:dyDescent="0.25"/>
  <cols>
    <col min="1" max="1" width="13.85546875" style="9" customWidth="1"/>
    <col min="2" max="2" width="16.28515625" customWidth="1"/>
    <col min="3" max="3" width="10.5703125" customWidth="1"/>
    <col min="4" max="4" width="17.42578125" customWidth="1"/>
    <col min="5" max="5" width="19" customWidth="1"/>
    <col min="6" max="6" width="16.7109375" style="4" customWidth="1"/>
    <col min="7" max="7" width="11.5703125" style="5" customWidth="1"/>
    <col min="8" max="8" width="16.28515625" customWidth="1"/>
    <col min="9" max="9" width="9.85546875" customWidth="1"/>
    <col min="10" max="10" width="12" customWidth="1"/>
    <col min="11" max="11" width="15.140625" customWidth="1"/>
    <col min="12" max="12" width="13.42578125" customWidth="1"/>
    <col min="13" max="13" width="14.5703125" customWidth="1"/>
    <col min="14" max="14" width="19.85546875" customWidth="1"/>
    <col min="15" max="15" width="17.140625" customWidth="1"/>
    <col min="16" max="16" width="13.85546875" customWidth="1"/>
    <col min="17" max="17" width="21.140625" style="1" customWidth="1"/>
    <col min="18" max="18" width="35.7109375" customWidth="1"/>
  </cols>
  <sheetData>
    <row r="1" spans="1:17" ht="90" x14ac:dyDescent="0.25">
      <c r="A1" s="15" t="s">
        <v>424</v>
      </c>
      <c r="B1" s="19" t="s">
        <v>414</v>
      </c>
      <c r="C1" s="19" t="s">
        <v>450</v>
      </c>
      <c r="D1" s="19" t="s">
        <v>1</v>
      </c>
      <c r="E1" s="19" t="s">
        <v>417</v>
      </c>
      <c r="F1" s="19" t="s">
        <v>2</v>
      </c>
      <c r="G1" s="19" t="s">
        <v>451</v>
      </c>
      <c r="H1" s="18" t="s">
        <v>0</v>
      </c>
      <c r="I1" s="18" t="s">
        <v>452</v>
      </c>
      <c r="J1" s="18" t="s">
        <v>426</v>
      </c>
      <c r="K1" s="18" t="s">
        <v>427</v>
      </c>
      <c r="L1" s="18" t="s">
        <v>428</v>
      </c>
      <c r="M1" s="19" t="s">
        <v>429</v>
      </c>
      <c r="N1" s="18" t="s">
        <v>430</v>
      </c>
      <c r="O1" s="18" t="s">
        <v>453</v>
      </c>
      <c r="P1" s="18" t="s">
        <v>447</v>
      </c>
      <c r="Q1" s="60" t="s">
        <v>454</v>
      </c>
    </row>
    <row r="2" spans="1:17" x14ac:dyDescent="0.25">
      <c r="A2" s="10">
        <f>ROW(A2)-1</f>
        <v>1</v>
      </c>
      <c r="B2" s="5" t="s">
        <v>418</v>
      </c>
      <c r="C2" s="5">
        <f>IF(OR(B2="Гаврилов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" s="5" t="s">
        <v>152</v>
      </c>
      <c r="E2" s="5" t="s">
        <v>78</v>
      </c>
      <c r="F2" s="4" t="s">
        <v>5</v>
      </c>
      <c r="G2" s="5" t="str">
        <f>VLOOKUP(Таблица3[[#This Row],[Наименование товара]],Склад!$A$3:$B$8,2,1)</f>
        <v>Person</v>
      </c>
      <c r="H2" s="14">
        <v>44958</v>
      </c>
      <c r="I2" s="8">
        <f>INT((MONTH(Таблица3[[#This Row],[Дата продажи]])+2)/3)</f>
        <v>1</v>
      </c>
      <c r="J2" s="5">
        <f>INDEX(Склад!$A$3:$M$8, MATCH(Таблица3[[#This Row],[Наименование товара]], Склад!$A$3:$A$8, 0), 9)</f>
        <v>163.13</v>
      </c>
      <c r="K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" s="5">
        <v>0</v>
      </c>
      <c r="N2" s="5">
        <f>CEILING((Таблица3[[#This Row],[Цена за единицу (с учетом наценки продавца), руб.]] - Таблица3[[#This Row],[Цена за единицу (с учетом наценки продавца), руб.]]*M2),1)</f>
        <v>762</v>
      </c>
      <c r="O2" s="21">
        <f>VLOOKUP(Таблица3[[#This Row],[Менеджер по продажам]],'Справочная информация'!B$2:C$6,2,0)</f>
        <v>0.15</v>
      </c>
      <c r="P2" s="5">
        <f>Таблица3[[#This Row],[Цена продажи с учетом персональной скидки, руб.]]*O2</f>
        <v>114.3</v>
      </c>
      <c r="Q2" s="61"/>
    </row>
    <row r="3" spans="1:17" x14ac:dyDescent="0.25">
      <c r="A3" s="10">
        <f t="shared" ref="A3:A66" si="0">ROW(A3)-1</f>
        <v>2</v>
      </c>
      <c r="B3" s="5" t="s">
        <v>418</v>
      </c>
      <c r="C3" s="5">
        <f>IF(OR(B3="Гаврилов Н.А.",Таблица3[[#This Row],[Менеджер по продажам]]="Никифорова В.М."),1,IF(Таблица3[[#This Row],[Менеджер по продажам]]="Соколов Г.П.",3,2))</f>
        <v>1</v>
      </c>
      <c r="D3" s="5" t="s">
        <v>125</v>
      </c>
      <c r="E3" s="5" t="s">
        <v>11</v>
      </c>
      <c r="F3" s="4" t="s">
        <v>5</v>
      </c>
      <c r="G3" s="5" t="str">
        <f>VLOOKUP(Таблица3[[#This Row],[Наименование товара]],Склад!$A$3:$B$8,2,1)</f>
        <v>Person</v>
      </c>
      <c r="H3" s="14">
        <v>44953</v>
      </c>
      <c r="I3" s="8">
        <f>INT((MONTH(Таблица3[[#This Row],[Дата продажи]])+2)/3)</f>
        <v>1</v>
      </c>
      <c r="J3" s="5">
        <f>INDEX(Склад!$A$3:$M$8, MATCH(Таблица3[[#This Row],[Наименование товара]], Склад!$A$3:$A$8, 0), 9)</f>
        <v>163.13</v>
      </c>
      <c r="K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" s="5">
        <v>0</v>
      </c>
      <c r="N3" s="5">
        <f>CEILING((Таблица3[[#This Row],[Цена за единицу (с учетом наценки продавца), руб.]] - Таблица3[[#This Row],[Цена за единицу (с учетом наценки продавца), руб.]]*M3),1)</f>
        <v>762</v>
      </c>
      <c r="O3" s="21">
        <f>VLOOKUP(Таблица3[[#This Row],[Менеджер по продажам]],'Справочная информация'!B$2:C$6,2,0)</f>
        <v>0.15</v>
      </c>
      <c r="P3" s="5">
        <f>Таблица3[[#This Row],[Цена продажи с учетом персональной скидки, руб.]]*O3</f>
        <v>114.3</v>
      </c>
      <c r="Q3" s="61"/>
    </row>
    <row r="4" spans="1:17" x14ac:dyDescent="0.25">
      <c r="A4" s="10">
        <f t="shared" si="0"/>
        <v>3</v>
      </c>
      <c r="B4" s="5" t="s">
        <v>418</v>
      </c>
      <c r="C4" s="5">
        <f>IF(OR(B4="Гаврилов Н.А.",Таблица3[[#This Row],[Менеджер по продажам]]="Никифорова В.М."),1,IF(Таблица3[[#This Row],[Менеджер по продажам]]="Соколов Г.П.",3,2))</f>
        <v>1</v>
      </c>
      <c r="D4" s="5" t="s">
        <v>272</v>
      </c>
      <c r="E4" s="5" t="s">
        <v>11</v>
      </c>
      <c r="F4" s="4" t="s">
        <v>5</v>
      </c>
      <c r="G4" s="5" t="str">
        <f>VLOOKUP(Таблица3[[#This Row],[Наименование товара]],Склад!$A$3:$B$8,2,1)</f>
        <v>Person</v>
      </c>
      <c r="H4" s="14">
        <v>44987</v>
      </c>
      <c r="I4" s="8">
        <f>INT((MONTH(Таблица3[[#This Row],[Дата продажи]])+2)/3)</f>
        <v>1</v>
      </c>
      <c r="J4" s="5">
        <f>INDEX(Склад!$A$3:$M$8, MATCH(Таблица3[[#This Row],[Наименование товара]], Склад!$A$3:$A$8, 0), 9)</f>
        <v>163.13</v>
      </c>
      <c r="K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4" s="5">
        <v>0</v>
      </c>
      <c r="N4" s="5">
        <f>CEILING((Таблица3[[#This Row],[Цена за единицу (с учетом наценки продавца), руб.]] - Таблица3[[#This Row],[Цена за единицу (с учетом наценки продавца), руб.]]*M4),1)</f>
        <v>762</v>
      </c>
      <c r="O4" s="21">
        <f>VLOOKUP(Таблица3[[#This Row],[Менеджер по продажам]],'Справочная информация'!B$2:C$6,2,0)</f>
        <v>0.15</v>
      </c>
      <c r="P4" s="5">
        <f>Таблица3[[#This Row],[Цена продажи с учетом персональной скидки, руб.]]*O4</f>
        <v>114.3</v>
      </c>
      <c r="Q4" s="61"/>
    </row>
    <row r="5" spans="1:17" x14ac:dyDescent="0.25">
      <c r="A5" s="10">
        <f t="shared" si="0"/>
        <v>4</v>
      </c>
      <c r="B5" s="5" t="s">
        <v>418</v>
      </c>
      <c r="C5" s="5">
        <f>IF(OR(B5="Гаврилов Н.А.",Таблица3[[#This Row],[Менеджер по продажам]]="Никифорова В.М."),1,IF(Таблица3[[#This Row],[Менеджер по продажам]]="Соколов Г.П.",3,2))</f>
        <v>1</v>
      </c>
      <c r="D5" s="5" t="s">
        <v>337</v>
      </c>
      <c r="E5" s="5" t="s">
        <v>212</v>
      </c>
      <c r="F5" s="4" t="s">
        <v>5</v>
      </c>
      <c r="G5" s="5" t="str">
        <f>VLOOKUP(Таблица3[[#This Row],[Наименование товара]],Склад!$A$3:$B$8,2,1)</f>
        <v>Person</v>
      </c>
      <c r="H5" s="14">
        <v>45001</v>
      </c>
      <c r="I5" s="8">
        <f>INT((MONTH(Таблица3[[#This Row],[Дата продажи]])+2)/3)</f>
        <v>1</v>
      </c>
      <c r="J5" s="5">
        <f>INDEX(Склад!$A$3:$M$8, MATCH(Таблица3[[#This Row],[Наименование товара]], Склад!$A$3:$A$8, 0), 9)</f>
        <v>163.13</v>
      </c>
      <c r="K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5" s="5">
        <v>0</v>
      </c>
      <c r="N5" s="5">
        <f>CEILING((Таблица3[[#This Row],[Цена за единицу (с учетом наценки продавца), руб.]] - Таблица3[[#This Row],[Цена за единицу (с учетом наценки продавца), руб.]]*M5),1)</f>
        <v>762</v>
      </c>
      <c r="O5" s="21">
        <f>VLOOKUP(Таблица3[[#This Row],[Менеджер по продажам]],'Справочная информация'!B$2:C$6,2,0)</f>
        <v>0.15</v>
      </c>
      <c r="P5" s="5">
        <f>Таблица3[[#This Row],[Цена продажи с учетом персональной скидки, руб.]]*O5</f>
        <v>114.3</v>
      </c>
      <c r="Q5" s="61"/>
    </row>
    <row r="6" spans="1:17" x14ac:dyDescent="0.25">
      <c r="A6" s="10">
        <f t="shared" si="0"/>
        <v>5</v>
      </c>
      <c r="B6" s="5" t="s">
        <v>418</v>
      </c>
      <c r="C6" s="5">
        <f>IF(OR(B6="Гаврилов Н.А.",Таблица3[[#This Row],[Менеджер по продажам]]="Никифорова В.М."),1,IF(Таблица3[[#This Row],[Менеджер по продажам]]="Соколов Г.П.",3,2))</f>
        <v>1</v>
      </c>
      <c r="D6" s="5" t="s">
        <v>404</v>
      </c>
      <c r="E6" s="5" t="s">
        <v>31</v>
      </c>
      <c r="F6" s="4" t="s">
        <v>5</v>
      </c>
      <c r="G6" s="5" t="str">
        <f>VLOOKUP(Таблица3[[#This Row],[Наименование товара]],Склад!$A$3:$B$8,2,1)</f>
        <v>Person</v>
      </c>
      <c r="H6" s="14">
        <v>45013</v>
      </c>
      <c r="I6" s="8">
        <f>INT((MONTH(Таблица3[[#This Row],[Дата продажи]])+2)/3)</f>
        <v>1</v>
      </c>
      <c r="J6" s="5">
        <f>INDEX(Склад!$A$3:$M$8, MATCH(Таблица3[[#This Row],[Наименование товара]], Склад!$A$3:$A$8, 0), 9)</f>
        <v>163.13</v>
      </c>
      <c r="K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6" s="5">
        <v>0</v>
      </c>
      <c r="N6" s="5">
        <f>CEILING((Таблица3[[#This Row],[Цена за единицу (с учетом наценки продавца), руб.]] - Таблица3[[#This Row],[Цена за единицу (с учетом наценки продавца), руб.]]*M6),1)</f>
        <v>762</v>
      </c>
      <c r="O6" s="21">
        <f>VLOOKUP(Таблица3[[#This Row],[Менеджер по продажам]],'Справочная информация'!B$2:C$6,2,0)</f>
        <v>0.15</v>
      </c>
      <c r="P6" s="5">
        <f>Таблица3[[#This Row],[Цена продажи с учетом персональной скидки, руб.]]*O6</f>
        <v>114.3</v>
      </c>
      <c r="Q6" s="61"/>
    </row>
    <row r="7" spans="1:17" x14ac:dyDescent="0.25">
      <c r="A7" s="10">
        <f t="shared" si="0"/>
        <v>6</v>
      </c>
      <c r="B7" s="5" t="s">
        <v>418</v>
      </c>
      <c r="C7" s="5">
        <f>IF(OR(B7="Гаврилов Н.А.",Таблица3[[#This Row],[Менеджер по продажам]]="Никифорова В.М."),1,IF(Таблица3[[#This Row],[Менеджер по продажам]]="Соколов Г.П.",3,2))</f>
        <v>1</v>
      </c>
      <c r="D7" s="5" t="s">
        <v>389</v>
      </c>
      <c r="E7" s="5" t="s">
        <v>212</v>
      </c>
      <c r="F7" s="4" t="s">
        <v>5</v>
      </c>
      <c r="G7" s="5" t="str">
        <f>VLOOKUP(Таблица3[[#This Row],[Наименование товара]],Склад!$A$3:$B$8,2,1)</f>
        <v>Person</v>
      </c>
      <c r="H7" s="14">
        <v>45010</v>
      </c>
      <c r="I7" s="8">
        <f>INT((MONTH(Таблица3[[#This Row],[Дата продажи]])+2)/3)</f>
        <v>1</v>
      </c>
      <c r="J7" s="5">
        <f>INDEX(Склад!$A$3:$M$8, MATCH(Таблица3[[#This Row],[Наименование товара]], Склад!$A$3:$A$8, 0), 9)</f>
        <v>163.13</v>
      </c>
      <c r="K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" s="5">
        <v>0</v>
      </c>
      <c r="N7" s="5">
        <f>CEILING((Таблица3[[#This Row],[Цена за единицу (с учетом наценки продавца), руб.]] - Таблица3[[#This Row],[Цена за единицу (с учетом наценки продавца), руб.]]*M7),1)</f>
        <v>762</v>
      </c>
      <c r="O7" s="21">
        <f>VLOOKUP(Таблица3[[#This Row],[Менеджер по продажам]],'Справочная информация'!B$2:C$6,2,0)</f>
        <v>0.15</v>
      </c>
      <c r="P7" s="5">
        <f>Таблица3[[#This Row],[Цена продажи с учетом персональной скидки, руб.]]*O7</f>
        <v>114.3</v>
      </c>
      <c r="Q7" s="61"/>
    </row>
    <row r="8" spans="1:17" x14ac:dyDescent="0.25">
      <c r="A8" s="10">
        <f t="shared" si="0"/>
        <v>7</v>
      </c>
      <c r="B8" s="5" t="s">
        <v>418</v>
      </c>
      <c r="C8" s="5">
        <f>IF(OR(B8="Гаврилов Н.А.",Таблица3[[#This Row],[Менеджер по продажам]]="Никифорова В.М."),1,IF(Таблица3[[#This Row],[Менеджер по продажам]]="Соколов Г.П.",3,2))</f>
        <v>1</v>
      </c>
      <c r="D8" s="5" t="s">
        <v>332</v>
      </c>
      <c r="E8" s="5" t="s">
        <v>31</v>
      </c>
      <c r="F8" s="4" t="s">
        <v>5</v>
      </c>
      <c r="G8" s="5" t="str">
        <f>VLOOKUP(Таблица3[[#This Row],[Наименование товара]],Склад!$A$3:$B$8,2,1)</f>
        <v>Person</v>
      </c>
      <c r="H8" s="14">
        <v>44999</v>
      </c>
      <c r="I8" s="8">
        <f>INT((MONTH(Таблица3[[#This Row],[Дата продажи]])+2)/3)</f>
        <v>1</v>
      </c>
      <c r="J8" s="5">
        <f>INDEX(Склад!$A$3:$M$8, MATCH(Таблица3[[#This Row],[Наименование товара]], Склад!$A$3:$A$8, 0), 9)</f>
        <v>163.13</v>
      </c>
      <c r="K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8" s="5">
        <v>0</v>
      </c>
      <c r="N8" s="5">
        <f>CEILING((Таблица3[[#This Row],[Цена за единицу (с учетом наценки продавца), руб.]] - Таблица3[[#This Row],[Цена за единицу (с учетом наценки продавца), руб.]]*M8),1)</f>
        <v>762</v>
      </c>
      <c r="O8" s="21">
        <f>VLOOKUP(Таблица3[[#This Row],[Менеджер по продажам]],'Справочная информация'!B$2:C$6,2,0)</f>
        <v>0.15</v>
      </c>
      <c r="P8" s="5">
        <f>Таблица3[[#This Row],[Цена продажи с учетом персональной скидки, руб.]]*O8</f>
        <v>114.3</v>
      </c>
      <c r="Q8" s="61"/>
    </row>
    <row r="9" spans="1:17" x14ac:dyDescent="0.25">
      <c r="A9" s="10">
        <f t="shared" si="0"/>
        <v>8</v>
      </c>
      <c r="B9" s="5" t="s">
        <v>418</v>
      </c>
      <c r="C9" s="5">
        <f>IF(OR(B9="Гаврилов Н.А.",Таблица3[[#This Row],[Менеджер по продажам]]="Никифорова В.М."),1,IF(Таблица3[[#This Row],[Менеджер по продажам]]="Соколов Г.П.",3,2))</f>
        <v>1</v>
      </c>
      <c r="D9" s="5" t="s">
        <v>79</v>
      </c>
      <c r="E9" s="5" t="s">
        <v>78</v>
      </c>
      <c r="F9" s="4" t="s">
        <v>5</v>
      </c>
      <c r="G9" s="5" t="str">
        <f>VLOOKUP(Таблица3[[#This Row],[Наименование товара]],Склад!$A$3:$B$8,2,1)</f>
        <v>Person</v>
      </c>
      <c r="H9" s="14">
        <v>44941</v>
      </c>
      <c r="I9" s="8">
        <f>INT((MONTH(Таблица3[[#This Row],[Дата продажи]])+2)/3)</f>
        <v>1</v>
      </c>
      <c r="J9" s="5">
        <f>INDEX(Склад!$A$3:$M$8, MATCH(Таблица3[[#This Row],[Наименование товара]], Склад!$A$3:$A$8, 0), 9)</f>
        <v>163.13</v>
      </c>
      <c r="K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9" s="5">
        <v>0</v>
      </c>
      <c r="N9" s="5">
        <f>CEILING((Таблица3[[#This Row],[Цена за единицу (с учетом наценки продавца), руб.]] - Таблица3[[#This Row],[Цена за единицу (с учетом наценки продавца), руб.]]*M9),1)</f>
        <v>762</v>
      </c>
      <c r="O9" s="21">
        <f>VLOOKUP(Таблица3[[#This Row],[Менеджер по продажам]],'Справочная информация'!B$2:C$6,2,0)</f>
        <v>0.15</v>
      </c>
      <c r="P9" s="5">
        <f>Таблица3[[#This Row],[Цена продажи с учетом персональной скидки, руб.]]*O9</f>
        <v>114.3</v>
      </c>
      <c r="Q9" s="61"/>
    </row>
    <row r="10" spans="1:17" x14ac:dyDescent="0.25">
      <c r="A10" s="10">
        <f t="shared" si="0"/>
        <v>9</v>
      </c>
      <c r="B10" s="5" t="s">
        <v>418</v>
      </c>
      <c r="C10" s="5">
        <f>IF(OR(B10="Гаврилов Н.А.",Таблица3[[#This Row],[Менеджер по продажам]]="Никифорова В.М."),1,IF(Таблица3[[#This Row],[Менеджер по продажам]]="Соколов Г.П.",3,2))</f>
        <v>1</v>
      </c>
      <c r="D10" s="5" t="s">
        <v>182</v>
      </c>
      <c r="E10" s="5" t="s">
        <v>11</v>
      </c>
      <c r="F10" s="4" t="s">
        <v>5</v>
      </c>
      <c r="G10" s="5" t="str">
        <f>VLOOKUP(Таблица3[[#This Row],[Наименование товара]],Склад!$A$3:$B$8,2,1)</f>
        <v>Person</v>
      </c>
      <c r="H10" s="14">
        <v>44964</v>
      </c>
      <c r="I10" s="8">
        <f>INT((MONTH(Таблица3[[#This Row],[Дата продажи]])+2)/3)</f>
        <v>1</v>
      </c>
      <c r="J10" s="5">
        <f>INDEX(Склад!$A$3:$M$8, MATCH(Таблица3[[#This Row],[Наименование товара]], Склад!$A$3:$A$8, 0), 9)</f>
        <v>163.13</v>
      </c>
      <c r="K1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0" s="5">
        <v>0</v>
      </c>
      <c r="N10" s="5">
        <f>CEILING((Таблица3[[#This Row],[Цена за единицу (с учетом наценки продавца), руб.]] - Таблица3[[#This Row],[Цена за единицу (с учетом наценки продавца), руб.]]*M10),1)</f>
        <v>762</v>
      </c>
      <c r="O10" s="21">
        <f>VLOOKUP(Таблица3[[#This Row],[Менеджер по продажам]],'Справочная информация'!B$2:C$6,2,0)</f>
        <v>0.15</v>
      </c>
      <c r="P10" s="5">
        <f>Таблица3[[#This Row],[Цена продажи с учетом персональной скидки, руб.]]*O10</f>
        <v>114.3</v>
      </c>
      <c r="Q10" s="61"/>
    </row>
    <row r="11" spans="1:17" x14ac:dyDescent="0.25">
      <c r="A11" s="10">
        <f t="shared" si="0"/>
        <v>10</v>
      </c>
      <c r="B11" s="5" t="s">
        <v>418</v>
      </c>
      <c r="C11" s="5">
        <f>IF(OR(B11="Гаврилов Н.А.",Таблица3[[#This Row],[Менеджер по продажам]]="Никифорова В.М."),1,IF(Таблица3[[#This Row],[Менеджер по продажам]]="Соколов Г.П.",3,2))</f>
        <v>1</v>
      </c>
      <c r="D11" s="5" t="s">
        <v>312</v>
      </c>
      <c r="E11" s="5" t="s">
        <v>78</v>
      </c>
      <c r="F11" s="4" t="s">
        <v>5</v>
      </c>
      <c r="G11" s="5" t="str">
        <f>VLOOKUP(Таблица3[[#This Row],[Наименование товара]],Склад!$A$3:$B$8,2,1)</f>
        <v>Person</v>
      </c>
      <c r="H11" s="14">
        <v>44995</v>
      </c>
      <c r="I11" s="8">
        <f>INT((MONTH(Таблица3[[#This Row],[Дата продажи]])+2)/3)</f>
        <v>1</v>
      </c>
      <c r="J11" s="5">
        <f>INDEX(Склад!$A$3:$M$8, MATCH(Таблица3[[#This Row],[Наименование товара]], Склад!$A$3:$A$8, 0), 9)</f>
        <v>163.13</v>
      </c>
      <c r="K1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1" s="5">
        <v>0</v>
      </c>
      <c r="N11" s="5">
        <f>CEILING((Таблица3[[#This Row],[Цена за единицу (с учетом наценки продавца), руб.]] - Таблица3[[#This Row],[Цена за единицу (с учетом наценки продавца), руб.]]*M11),1)</f>
        <v>762</v>
      </c>
      <c r="O11" s="21">
        <f>VLOOKUP(Таблица3[[#This Row],[Менеджер по продажам]],'Справочная информация'!B$2:C$6,2,0)</f>
        <v>0.15</v>
      </c>
      <c r="P11" s="5">
        <f>Таблица3[[#This Row],[Цена продажи с учетом персональной скидки, руб.]]*O11</f>
        <v>114.3</v>
      </c>
      <c r="Q11" s="61"/>
    </row>
    <row r="12" spans="1:17" x14ac:dyDescent="0.25">
      <c r="A12" s="10">
        <f t="shared" si="0"/>
        <v>11</v>
      </c>
      <c r="B12" s="5" t="s">
        <v>418</v>
      </c>
      <c r="C12" s="5">
        <f>IF(OR(B12="Гаврилов Н.А.",Таблица3[[#This Row],[Менеджер по продажам]]="Никифорова В.М."),1,IF(Таблица3[[#This Row],[Менеджер по продажам]]="Соколов Г.П.",3,2))</f>
        <v>1</v>
      </c>
      <c r="D12" s="5" t="s">
        <v>51</v>
      </c>
      <c r="E12" s="5" t="s">
        <v>47</v>
      </c>
      <c r="F12" s="4" t="s">
        <v>5</v>
      </c>
      <c r="G12" s="5" t="str">
        <f>VLOOKUP(Таблица3[[#This Row],[Наименование товара]],Склад!$A$3:$B$8,2,1)</f>
        <v>Person</v>
      </c>
      <c r="H12" s="14">
        <v>44935</v>
      </c>
      <c r="I12" s="8">
        <f>INT((MONTH(Таблица3[[#This Row],[Дата продажи]])+2)/3)</f>
        <v>1</v>
      </c>
      <c r="J12" s="5">
        <f>INDEX(Склад!$A$3:$M$8, MATCH(Таблица3[[#This Row],[Наименование товара]], Склад!$A$3:$A$8, 0), 9)</f>
        <v>163.13</v>
      </c>
      <c r="K1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2" s="5">
        <v>0</v>
      </c>
      <c r="N12" s="5">
        <f>CEILING((Таблица3[[#This Row],[Цена за единицу (с учетом наценки продавца), руб.]] - Таблица3[[#This Row],[Цена за единицу (с учетом наценки продавца), руб.]]*M12),1)</f>
        <v>762</v>
      </c>
      <c r="O12" s="21">
        <f>VLOOKUP(Таблица3[[#This Row],[Менеджер по продажам]],'Справочная информация'!B$2:C$6,2,0)</f>
        <v>0.15</v>
      </c>
      <c r="P12" s="5">
        <f>Таблица3[[#This Row],[Цена продажи с учетом персональной скидки, руб.]]*O12</f>
        <v>114.3</v>
      </c>
      <c r="Q12" s="61"/>
    </row>
    <row r="13" spans="1:17" x14ac:dyDescent="0.25">
      <c r="A13" s="10">
        <f t="shared" si="0"/>
        <v>12</v>
      </c>
      <c r="B13" s="5" t="s">
        <v>418</v>
      </c>
      <c r="C13" s="5">
        <f>IF(OR(B13="Гаврилов Н.А.",Таблица3[[#This Row],[Менеджер по продажам]]="Никифорова В.М."),1,IF(Таблица3[[#This Row],[Менеджер по продажам]]="Соколов Г.П.",3,2))</f>
        <v>1</v>
      </c>
      <c r="D13" s="5" t="s">
        <v>238</v>
      </c>
      <c r="E13" s="5" t="s">
        <v>13</v>
      </c>
      <c r="F13" s="4" t="s">
        <v>8</v>
      </c>
      <c r="G13" s="5" t="str">
        <f>VLOOKUP(Таблица3[[#This Row],[Наименование товара]],Склад!$A$3:$B$8,2,1)</f>
        <v>Colisto</v>
      </c>
      <c r="H13" s="14">
        <v>44978</v>
      </c>
      <c r="I13" s="8">
        <f>INT((MONTH(Таблица3[[#This Row],[Дата продажи]])+2)/3)</f>
        <v>1</v>
      </c>
      <c r="J13" s="5">
        <f>INDEX(Склад!$A$3:$M$8, MATCH(Таблица3[[#This Row],[Наименование товара]], Склад!$A$3:$A$8, 0), 9)</f>
        <v>97.2</v>
      </c>
      <c r="K1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3" s="5">
        <v>0</v>
      </c>
      <c r="N13" s="5">
        <f>CEILING((Таблица3[[#This Row],[Цена за единицу (с учетом наценки продавца), руб.]] - Таблица3[[#This Row],[Цена за единицу (с учетом наценки продавца), руб.]]*M13),1)</f>
        <v>619</v>
      </c>
      <c r="O13" s="21">
        <f>VLOOKUP(Таблица3[[#This Row],[Менеджер по продажам]],'Справочная информация'!B$2:C$6,2,0)</f>
        <v>0.15</v>
      </c>
      <c r="P13" s="5">
        <f>Таблица3[[#This Row],[Цена продажи с учетом персональной скидки, руб.]]*O13</f>
        <v>92.85</v>
      </c>
      <c r="Q13" s="61"/>
    </row>
    <row r="14" spans="1:17" x14ac:dyDescent="0.25">
      <c r="A14" s="10">
        <f t="shared" si="0"/>
        <v>13</v>
      </c>
      <c r="B14" s="5" t="s">
        <v>418</v>
      </c>
      <c r="C14" s="5">
        <f>IF(OR(B14="Гаврилов Н.А.",Таблица3[[#This Row],[Менеджер по продажам]]="Никифорова В.М."),1,IF(Таблица3[[#This Row],[Менеджер по продажам]]="Соколов Г.П.",3,2))</f>
        <v>1</v>
      </c>
      <c r="D14" s="5" t="s">
        <v>358</v>
      </c>
      <c r="E14" s="5" t="s">
        <v>11</v>
      </c>
      <c r="F14" s="4" t="s">
        <v>8</v>
      </c>
      <c r="G14" s="5" t="str">
        <f>VLOOKUP(Таблица3[[#This Row],[Наименование товара]],Склад!$A$3:$B$8,2,1)</f>
        <v>Colisto</v>
      </c>
      <c r="H14" s="14">
        <v>45005</v>
      </c>
      <c r="I14" s="8">
        <f>INT((MONTH(Таблица3[[#This Row],[Дата продажи]])+2)/3)</f>
        <v>1</v>
      </c>
      <c r="J14" s="5">
        <f>INDEX(Склад!$A$3:$M$8, MATCH(Таблица3[[#This Row],[Наименование товара]], Склад!$A$3:$A$8, 0), 9)</f>
        <v>97.2</v>
      </c>
      <c r="K1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4" s="5">
        <v>0</v>
      </c>
      <c r="N14" s="5">
        <f>CEILING((Таблица3[[#This Row],[Цена за единицу (с учетом наценки продавца), руб.]] - Таблица3[[#This Row],[Цена за единицу (с учетом наценки продавца), руб.]]*M14),1)</f>
        <v>619</v>
      </c>
      <c r="O14" s="21">
        <f>VLOOKUP(Таблица3[[#This Row],[Менеджер по продажам]],'Справочная информация'!B$2:C$6,2,0)</f>
        <v>0.15</v>
      </c>
      <c r="P14" s="5">
        <f>Таблица3[[#This Row],[Цена продажи с учетом персональной скидки, руб.]]*O14</f>
        <v>92.85</v>
      </c>
      <c r="Q14" s="61"/>
    </row>
    <row r="15" spans="1:17" x14ac:dyDescent="0.25">
      <c r="A15" s="10">
        <f t="shared" si="0"/>
        <v>14</v>
      </c>
      <c r="B15" s="5" t="s">
        <v>418</v>
      </c>
      <c r="C15" s="5">
        <f>IF(OR(B15="Гаврилов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" s="5" t="s">
        <v>404</v>
      </c>
      <c r="E15" s="5" t="s">
        <v>31</v>
      </c>
      <c r="F15" s="4" t="s">
        <v>8</v>
      </c>
      <c r="G15" s="5" t="str">
        <f>VLOOKUP(Таблица3[[#This Row],[Наименование товара]],Склад!$A$3:$B$8,2,1)</f>
        <v>Colisto</v>
      </c>
      <c r="H15" s="14">
        <v>45013</v>
      </c>
      <c r="I15" s="8">
        <f>INT((MONTH(Таблица3[[#This Row],[Дата продажи]])+2)/3)</f>
        <v>1</v>
      </c>
      <c r="J15" s="5">
        <f>INDEX(Склад!$A$3:$M$8, MATCH(Таблица3[[#This Row],[Наименование товара]], Склад!$A$3:$A$8, 0), 9)</f>
        <v>97.2</v>
      </c>
      <c r="K1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5" s="5">
        <v>0.02</v>
      </c>
      <c r="N15" s="5">
        <f>CEILING((Таблица3[[#This Row],[Цена за единицу (с учетом наценки продавца), руб.]] - Таблица3[[#This Row],[Цена за единицу (с учетом наценки продавца), руб.]]*M15),1)</f>
        <v>607</v>
      </c>
      <c r="O15" s="21">
        <f>VLOOKUP(Таблица3[[#This Row],[Менеджер по продажам]],'Справочная информация'!B$2:C$6,2,0)</f>
        <v>0.15</v>
      </c>
      <c r="P15" s="5">
        <f>Таблица3[[#This Row],[Цена продажи с учетом персональной скидки, руб.]]*O15</f>
        <v>91.05</v>
      </c>
      <c r="Q15" s="61"/>
    </row>
    <row r="16" spans="1:17" x14ac:dyDescent="0.25">
      <c r="A16" s="10">
        <f t="shared" si="0"/>
        <v>15</v>
      </c>
      <c r="B16" s="5" t="s">
        <v>418</v>
      </c>
      <c r="C16" s="5">
        <f>IF(OR(B16="Гаврилов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" s="5" t="s">
        <v>116</v>
      </c>
      <c r="E16" s="5" t="s">
        <v>31</v>
      </c>
      <c r="F16" s="4" t="s">
        <v>8</v>
      </c>
      <c r="G16" s="5" t="str">
        <f>VLOOKUP(Таблица3[[#This Row],[Наименование товара]],Склад!$A$3:$B$8,2,1)</f>
        <v>Colisto</v>
      </c>
      <c r="H16" s="14">
        <v>44950</v>
      </c>
      <c r="I16" s="8">
        <f>INT((MONTH(Таблица3[[#This Row],[Дата продажи]])+2)/3)</f>
        <v>1</v>
      </c>
      <c r="J16" s="5">
        <f>INDEX(Склад!$A$3:$M$8, MATCH(Таблица3[[#This Row],[Наименование товара]], Склад!$A$3:$A$8, 0), 9)</f>
        <v>97.2</v>
      </c>
      <c r="K1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6" s="5">
        <v>0</v>
      </c>
      <c r="N16" s="5">
        <f>CEILING((Таблица3[[#This Row],[Цена за единицу (с учетом наценки продавца), руб.]] - Таблица3[[#This Row],[Цена за единицу (с учетом наценки продавца), руб.]]*M16),1)</f>
        <v>619</v>
      </c>
      <c r="O16" s="21">
        <f>VLOOKUP(Таблица3[[#This Row],[Менеджер по продажам]],'Справочная информация'!B$2:C$6,2,0)</f>
        <v>0.15</v>
      </c>
      <c r="P16" s="5">
        <f>Таблица3[[#This Row],[Цена продажи с учетом персональной скидки, руб.]]*O16</f>
        <v>92.85</v>
      </c>
      <c r="Q16" s="61"/>
    </row>
    <row r="17" spans="1:17" x14ac:dyDescent="0.25">
      <c r="A17" s="10">
        <f t="shared" si="0"/>
        <v>16</v>
      </c>
      <c r="B17" s="5" t="s">
        <v>418</v>
      </c>
      <c r="C17" s="5">
        <f>IF(OR(B17="Гаврилов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" s="5" t="s">
        <v>373</v>
      </c>
      <c r="E17" s="5" t="s">
        <v>94</v>
      </c>
      <c r="F17" s="4" t="s">
        <v>8</v>
      </c>
      <c r="G17" s="5" t="str">
        <f>VLOOKUP(Таблица3[[#This Row],[Наименование товара]],Склад!$A$3:$B$8,2,1)</f>
        <v>Colisto</v>
      </c>
      <c r="H17" s="14">
        <v>45008</v>
      </c>
      <c r="I17" s="8">
        <f>INT((MONTH(Таблица3[[#This Row],[Дата продажи]])+2)/3)</f>
        <v>1</v>
      </c>
      <c r="J17" s="5">
        <f>INDEX(Склад!$A$3:$M$8, MATCH(Таблица3[[#This Row],[Наименование товара]], Склад!$A$3:$A$8, 0), 9)</f>
        <v>97.2</v>
      </c>
      <c r="K1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" s="5">
        <v>0.05</v>
      </c>
      <c r="N17" s="5">
        <f>CEILING((Таблица3[[#This Row],[Цена за единицу (с учетом наценки продавца), руб.]] - Таблица3[[#This Row],[Цена за единицу (с учетом наценки продавца), руб.]]*M17),1)</f>
        <v>589</v>
      </c>
      <c r="O17" s="21">
        <f>VLOOKUP(Таблица3[[#This Row],[Менеджер по продажам]],'Справочная информация'!B$2:C$6,2,0)</f>
        <v>0.15</v>
      </c>
      <c r="P17" s="5">
        <f>Таблица3[[#This Row],[Цена продажи с учетом персональной скидки, руб.]]*O17</f>
        <v>88.35</v>
      </c>
      <c r="Q17" s="61"/>
    </row>
    <row r="18" spans="1:17" x14ac:dyDescent="0.25">
      <c r="A18" s="10">
        <f t="shared" si="0"/>
        <v>17</v>
      </c>
      <c r="B18" s="5" t="s">
        <v>418</v>
      </c>
      <c r="C18" s="5">
        <f>IF(OR(B18="Гаврилов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" s="5" t="s">
        <v>324</v>
      </c>
      <c r="E18" s="5" t="s">
        <v>212</v>
      </c>
      <c r="F18" s="4" t="s">
        <v>8</v>
      </c>
      <c r="G18" s="5" t="str">
        <f>VLOOKUP(Таблица3[[#This Row],[Наименование товара]],Склад!$A$3:$B$8,2,1)</f>
        <v>Colisto</v>
      </c>
      <c r="H18" s="14">
        <v>44998</v>
      </c>
      <c r="I18" s="8">
        <f>INT((MONTH(Таблица3[[#This Row],[Дата продажи]])+2)/3)</f>
        <v>1</v>
      </c>
      <c r="J18" s="5">
        <f>INDEX(Склад!$A$3:$M$8, MATCH(Таблица3[[#This Row],[Наименование товара]], Склад!$A$3:$A$8, 0), 9)</f>
        <v>97.2</v>
      </c>
      <c r="K1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" s="5">
        <v>0</v>
      </c>
      <c r="N18" s="5">
        <f>CEILING((Таблица3[[#This Row],[Цена за единицу (с учетом наценки продавца), руб.]] - Таблица3[[#This Row],[Цена за единицу (с учетом наценки продавца), руб.]]*M18),1)</f>
        <v>619</v>
      </c>
      <c r="O18" s="21">
        <f>VLOOKUP(Таблица3[[#This Row],[Менеджер по продажам]],'Справочная информация'!B$2:C$6,2,0)</f>
        <v>0.15</v>
      </c>
      <c r="P18" s="5">
        <f>Таблица3[[#This Row],[Цена продажи с учетом персональной скидки, руб.]]*O18</f>
        <v>92.85</v>
      </c>
      <c r="Q18" s="61"/>
    </row>
    <row r="19" spans="1:17" x14ac:dyDescent="0.25">
      <c r="A19" s="10">
        <f t="shared" si="0"/>
        <v>18</v>
      </c>
      <c r="B19" s="5" t="s">
        <v>418</v>
      </c>
      <c r="C19" s="5">
        <f>IF(OR(B19="Гаврилов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" s="5" t="s">
        <v>353</v>
      </c>
      <c r="E19" s="5" t="s">
        <v>11</v>
      </c>
      <c r="F19" s="4" t="s">
        <v>8</v>
      </c>
      <c r="G19" s="5" t="str">
        <f>VLOOKUP(Таблица3[[#This Row],[Наименование товара]],Склад!$A$3:$B$8,2,1)</f>
        <v>Colisto</v>
      </c>
      <c r="H19" s="14">
        <v>45004</v>
      </c>
      <c r="I19" s="8">
        <f>INT((MONTH(Таблица3[[#This Row],[Дата продажи]])+2)/3)</f>
        <v>1</v>
      </c>
      <c r="J19" s="5">
        <f>INDEX(Склад!$A$3:$M$8, MATCH(Таблица3[[#This Row],[Наименование товара]], Склад!$A$3:$A$8, 0), 9)</f>
        <v>97.2</v>
      </c>
      <c r="K1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9" s="5">
        <v>0</v>
      </c>
      <c r="N19" s="5">
        <f>CEILING((Таблица3[[#This Row],[Цена за единицу (с учетом наценки продавца), руб.]] - Таблица3[[#This Row],[Цена за единицу (с учетом наценки продавца), руб.]]*M19),1)</f>
        <v>619</v>
      </c>
      <c r="O19" s="21">
        <f>VLOOKUP(Таблица3[[#This Row],[Менеджер по продажам]],'Справочная информация'!B$2:C$6,2,0)</f>
        <v>0.15</v>
      </c>
      <c r="P19" s="5">
        <f>Таблица3[[#This Row],[Цена продажи с учетом персональной скидки, руб.]]*O19</f>
        <v>92.85</v>
      </c>
      <c r="Q19" s="61"/>
    </row>
    <row r="20" spans="1:17" x14ac:dyDescent="0.25">
      <c r="A20" s="10">
        <f t="shared" si="0"/>
        <v>19</v>
      </c>
      <c r="B20" s="5" t="s">
        <v>418</v>
      </c>
      <c r="C20" s="5">
        <f>IF(OR(B20="Гаврилов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" s="5" t="s">
        <v>297</v>
      </c>
      <c r="E20" s="5" t="s">
        <v>212</v>
      </c>
      <c r="F20" s="4" t="s">
        <v>8</v>
      </c>
      <c r="G20" s="5" t="str">
        <f>VLOOKUP(Таблица3[[#This Row],[Наименование товара]],Склад!$A$3:$B$8,2,1)</f>
        <v>Colisto</v>
      </c>
      <c r="H20" s="14">
        <v>44992</v>
      </c>
      <c r="I20" s="8">
        <f>INT((MONTH(Таблица3[[#This Row],[Дата продажи]])+2)/3)</f>
        <v>1</v>
      </c>
      <c r="J20" s="5">
        <f>INDEX(Склад!$A$3:$M$8, MATCH(Таблица3[[#This Row],[Наименование товара]], Склад!$A$3:$A$8, 0), 9)</f>
        <v>97.2</v>
      </c>
      <c r="K2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0" s="5">
        <v>0</v>
      </c>
      <c r="N20" s="5">
        <f>CEILING((Таблица3[[#This Row],[Цена за единицу (с учетом наценки продавца), руб.]] - Таблица3[[#This Row],[Цена за единицу (с учетом наценки продавца), руб.]]*M20),1)</f>
        <v>619</v>
      </c>
      <c r="O20" s="21">
        <f>VLOOKUP(Таблица3[[#This Row],[Менеджер по продажам]],'Справочная информация'!B$2:C$6,2,0)</f>
        <v>0.15</v>
      </c>
      <c r="P20" s="5">
        <f>Таблица3[[#This Row],[Цена продажи с учетом персональной скидки, руб.]]*O20</f>
        <v>92.85</v>
      </c>
      <c r="Q20" s="61"/>
    </row>
    <row r="21" spans="1:17" x14ac:dyDescent="0.25">
      <c r="A21" s="10">
        <f t="shared" si="0"/>
        <v>20</v>
      </c>
      <c r="B21" s="5" t="s">
        <v>418</v>
      </c>
      <c r="C21" s="5">
        <f>IF(OR(B21="Гаврилов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" s="5" t="s">
        <v>83</v>
      </c>
      <c r="E21" s="5" t="s">
        <v>78</v>
      </c>
      <c r="F21" s="4" t="s">
        <v>8</v>
      </c>
      <c r="G21" s="5" t="str">
        <f>VLOOKUP(Таблица3[[#This Row],[Наименование товара]],Склад!$A$3:$B$8,2,1)</f>
        <v>Colisto</v>
      </c>
      <c r="H21" s="14">
        <v>44943</v>
      </c>
      <c r="I21" s="8">
        <f>INT((MONTH(Таблица3[[#This Row],[Дата продажи]])+2)/3)</f>
        <v>1</v>
      </c>
      <c r="J21" s="5">
        <f>INDEX(Склад!$A$3:$M$8, MATCH(Таблица3[[#This Row],[Наименование товара]], Склад!$A$3:$A$8, 0), 9)</f>
        <v>97.2</v>
      </c>
      <c r="K2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1" s="5">
        <v>0</v>
      </c>
      <c r="N21" s="5">
        <f>CEILING((Таблица3[[#This Row],[Цена за единицу (с учетом наценки продавца), руб.]] - Таблица3[[#This Row],[Цена за единицу (с учетом наценки продавца), руб.]]*M21),1)</f>
        <v>619</v>
      </c>
      <c r="O21" s="21">
        <f>VLOOKUP(Таблица3[[#This Row],[Менеджер по продажам]],'Справочная информация'!B$2:C$6,2,0)</f>
        <v>0.15</v>
      </c>
      <c r="P21" s="5">
        <f>Таблица3[[#This Row],[Цена продажи с учетом персональной скидки, руб.]]*O21</f>
        <v>92.85</v>
      </c>
      <c r="Q21" s="61"/>
    </row>
    <row r="22" spans="1:17" x14ac:dyDescent="0.25">
      <c r="A22" s="10">
        <f t="shared" si="0"/>
        <v>21</v>
      </c>
      <c r="B22" s="5" t="s">
        <v>418</v>
      </c>
      <c r="C22" s="5">
        <f>IF(OR(B22="Гаврилов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" s="5" t="s">
        <v>146</v>
      </c>
      <c r="E22" s="5" t="s">
        <v>78</v>
      </c>
      <c r="F22" s="4" t="s">
        <v>8</v>
      </c>
      <c r="G22" s="5" t="str">
        <f>VLOOKUP(Таблица3[[#This Row],[Наименование товара]],Склад!$A$3:$B$8,2,1)</f>
        <v>Colisto</v>
      </c>
      <c r="H22" s="14">
        <v>44957</v>
      </c>
      <c r="I22" s="8">
        <f>INT((MONTH(Таблица3[[#This Row],[Дата продажи]])+2)/3)</f>
        <v>1</v>
      </c>
      <c r="J22" s="5">
        <f>INDEX(Склад!$A$3:$M$8, MATCH(Таблица3[[#This Row],[Наименование товара]], Склад!$A$3:$A$8, 0), 9)</f>
        <v>97.2</v>
      </c>
      <c r="K2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2" s="5">
        <v>0</v>
      </c>
      <c r="N22" s="5">
        <f>CEILING((Таблица3[[#This Row],[Цена за единицу (с учетом наценки продавца), руб.]] - Таблица3[[#This Row],[Цена за единицу (с учетом наценки продавца), руб.]]*M22),1)</f>
        <v>619</v>
      </c>
      <c r="O22" s="21">
        <f>VLOOKUP(Таблица3[[#This Row],[Менеджер по продажам]],'Справочная информация'!B$2:C$6,2,0)</f>
        <v>0.15</v>
      </c>
      <c r="P22" s="5">
        <f>Таблица3[[#This Row],[Цена продажи с учетом персональной скидки, руб.]]*O22</f>
        <v>92.85</v>
      </c>
      <c r="Q22" s="61"/>
    </row>
    <row r="23" spans="1:17" x14ac:dyDescent="0.25">
      <c r="A23" s="10">
        <f t="shared" si="0"/>
        <v>22</v>
      </c>
      <c r="B23" s="5" t="s">
        <v>418</v>
      </c>
      <c r="C23" s="5">
        <f>IF(OR(B23="Гаврилов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" s="5" t="s">
        <v>98</v>
      </c>
      <c r="E23" s="5" t="s">
        <v>78</v>
      </c>
      <c r="F23" s="4" t="s">
        <v>8</v>
      </c>
      <c r="G23" s="5" t="str">
        <f>VLOOKUP(Таблица3[[#This Row],[Наименование товара]],Склад!$A$3:$B$8,2,1)</f>
        <v>Colisto</v>
      </c>
      <c r="H23" s="14">
        <v>44946</v>
      </c>
      <c r="I23" s="8">
        <f>INT((MONTH(Таблица3[[#This Row],[Дата продажи]])+2)/3)</f>
        <v>1</v>
      </c>
      <c r="J23" s="5">
        <f>INDEX(Склад!$A$3:$M$8, MATCH(Таблица3[[#This Row],[Наименование товара]], Склад!$A$3:$A$8, 0), 9)</f>
        <v>97.2</v>
      </c>
      <c r="K2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3" s="5">
        <v>0</v>
      </c>
      <c r="N23" s="5">
        <f>CEILING((Таблица3[[#This Row],[Цена за единицу (с учетом наценки продавца), руб.]] - Таблица3[[#This Row],[Цена за единицу (с учетом наценки продавца), руб.]]*M23),1)</f>
        <v>619</v>
      </c>
      <c r="O23" s="21">
        <f>VLOOKUP(Таблица3[[#This Row],[Менеджер по продажам]],'Справочная информация'!B$2:C$6,2,0)</f>
        <v>0.15</v>
      </c>
      <c r="P23" s="5">
        <f>Таблица3[[#This Row],[Цена продажи с учетом персональной скидки, руб.]]*O23</f>
        <v>92.85</v>
      </c>
      <c r="Q23" s="61"/>
    </row>
    <row r="24" spans="1:17" x14ac:dyDescent="0.25">
      <c r="A24" s="10">
        <f t="shared" si="0"/>
        <v>23</v>
      </c>
      <c r="B24" s="5" t="s">
        <v>418</v>
      </c>
      <c r="C24" s="5">
        <f>IF(OR(B24="Гаврилов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" s="5" t="s">
        <v>164</v>
      </c>
      <c r="E24" s="5" t="s">
        <v>11</v>
      </c>
      <c r="F24" s="4" t="s">
        <v>8</v>
      </c>
      <c r="G24" s="5" t="str">
        <f>VLOOKUP(Таблица3[[#This Row],[Наименование товара]],Склад!$A$3:$B$8,2,1)</f>
        <v>Colisto</v>
      </c>
      <c r="H24" s="14">
        <v>44961</v>
      </c>
      <c r="I24" s="8">
        <f>INT((MONTH(Таблица3[[#This Row],[Дата продажи]])+2)/3)</f>
        <v>1</v>
      </c>
      <c r="J24" s="5">
        <f>INDEX(Склад!$A$3:$M$8, MATCH(Таблица3[[#This Row],[Наименование товара]], Склад!$A$3:$A$8, 0), 9)</f>
        <v>97.2</v>
      </c>
      <c r="K2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4" s="5">
        <v>0</v>
      </c>
      <c r="N24" s="5">
        <f>CEILING((Таблица3[[#This Row],[Цена за единицу (с учетом наценки продавца), руб.]] - Таблица3[[#This Row],[Цена за единицу (с учетом наценки продавца), руб.]]*M24),1)</f>
        <v>619</v>
      </c>
      <c r="O24" s="21">
        <f>VLOOKUP(Таблица3[[#This Row],[Менеджер по продажам]],'Справочная информация'!B$2:C$6,2,0)</f>
        <v>0.15</v>
      </c>
      <c r="P24" s="5">
        <f>Таблица3[[#This Row],[Цена продажи с учетом персональной скидки, руб.]]*O24</f>
        <v>92.85</v>
      </c>
      <c r="Q24" s="61"/>
    </row>
    <row r="25" spans="1:17" x14ac:dyDescent="0.25">
      <c r="A25" s="10">
        <f t="shared" si="0"/>
        <v>24</v>
      </c>
      <c r="B25" s="5" t="s">
        <v>418</v>
      </c>
      <c r="C25" s="5">
        <f>IF(OR(B25="Гаврилов Н.А.",Таблица3[[#This Row],[Менеджер по продажам]]="Никифорова В.М."),1,IF(Таблица3[[#This Row],[Менеджер по продажам]]="Соколов Г.П.",3,2))</f>
        <v>1</v>
      </c>
      <c r="D25" s="5" t="s">
        <v>77</v>
      </c>
      <c r="E25" s="5" t="s">
        <v>78</v>
      </c>
      <c r="F25" s="4" t="s">
        <v>8</v>
      </c>
      <c r="G25" s="5" t="str">
        <f>VLOOKUP(Таблица3[[#This Row],[Наименование товара]],Склад!$A$3:$B$8,2,1)</f>
        <v>Colisto</v>
      </c>
      <c r="H25" s="14">
        <v>44941</v>
      </c>
      <c r="I25" s="8">
        <f>INT((MONTH(Таблица3[[#This Row],[Дата продажи]])+2)/3)</f>
        <v>1</v>
      </c>
      <c r="J25" s="5">
        <f>INDEX(Склад!$A$3:$M$8, MATCH(Таблица3[[#This Row],[Наименование товара]], Склад!$A$3:$A$8, 0), 9)</f>
        <v>97.2</v>
      </c>
      <c r="K2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5" s="5">
        <v>0</v>
      </c>
      <c r="N25" s="5">
        <f>CEILING((Таблица3[[#This Row],[Цена за единицу (с учетом наценки продавца), руб.]] - Таблица3[[#This Row],[Цена за единицу (с учетом наценки продавца), руб.]]*M25),1)</f>
        <v>619</v>
      </c>
      <c r="O25" s="21">
        <f>VLOOKUP(Таблица3[[#This Row],[Менеджер по продажам]],'Справочная информация'!B$2:C$6,2,0)</f>
        <v>0.15</v>
      </c>
      <c r="P25" s="5">
        <f>Таблица3[[#This Row],[Цена продажи с учетом персональной скидки, руб.]]*O25</f>
        <v>92.85</v>
      </c>
      <c r="Q25" s="61"/>
    </row>
    <row r="26" spans="1:17" x14ac:dyDescent="0.25">
      <c r="A26" s="10">
        <f t="shared" si="0"/>
        <v>25</v>
      </c>
      <c r="B26" s="5" t="s">
        <v>418</v>
      </c>
      <c r="C26" s="5">
        <f>IF(OR(B26="Гаврилов Н.А.",Таблица3[[#This Row],[Менеджер по продажам]]="Никифорова В.М."),1,IF(Таблица3[[#This Row],[Менеджер по продажам]]="Соколов Г.П.",3,2))</f>
        <v>1</v>
      </c>
      <c r="D26" s="5" t="s">
        <v>305</v>
      </c>
      <c r="E26" s="5" t="s">
        <v>212</v>
      </c>
      <c r="F26" s="4" t="s">
        <v>8</v>
      </c>
      <c r="G26" s="5" t="str">
        <f>VLOOKUP(Таблица3[[#This Row],[Наименование товара]],Склад!$A$3:$B$8,2,1)</f>
        <v>Colisto</v>
      </c>
      <c r="H26" s="14">
        <v>44993</v>
      </c>
      <c r="I26" s="8">
        <f>INT((MONTH(Таблица3[[#This Row],[Дата продажи]])+2)/3)</f>
        <v>1</v>
      </c>
      <c r="J26" s="5">
        <f>INDEX(Склад!$A$3:$M$8, MATCH(Таблица3[[#This Row],[Наименование товара]], Склад!$A$3:$A$8, 0), 9)</f>
        <v>97.2</v>
      </c>
      <c r="K2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" s="5">
        <v>0</v>
      </c>
      <c r="N26" s="5">
        <f>CEILING((Таблица3[[#This Row],[Цена за единицу (с учетом наценки продавца), руб.]] - Таблица3[[#This Row],[Цена за единицу (с учетом наценки продавца), руб.]]*M26),1)</f>
        <v>619</v>
      </c>
      <c r="O26" s="21">
        <f>VLOOKUP(Таблица3[[#This Row],[Менеджер по продажам]],'Справочная информация'!B$2:C$6,2,0)</f>
        <v>0.15</v>
      </c>
      <c r="P26" s="5">
        <f>Таблица3[[#This Row],[Цена продажи с учетом персональной скидки, руб.]]*O26</f>
        <v>92.85</v>
      </c>
      <c r="Q26" s="61"/>
    </row>
    <row r="27" spans="1:17" x14ac:dyDescent="0.25">
      <c r="A27" s="10">
        <f t="shared" si="0"/>
        <v>26</v>
      </c>
      <c r="B27" s="5" t="s">
        <v>418</v>
      </c>
      <c r="C27" s="5">
        <f>IF(OR(B27="Гаврилов Н.А.",Таблица3[[#This Row],[Менеджер по продажам]]="Никифорова В.М."),1,IF(Таблица3[[#This Row],[Менеджер по продажам]]="Соколов Г.П.",3,2))</f>
        <v>1</v>
      </c>
      <c r="D27" s="5" t="s">
        <v>288</v>
      </c>
      <c r="E27" s="5" t="s">
        <v>11</v>
      </c>
      <c r="F27" s="4" t="s">
        <v>8</v>
      </c>
      <c r="G27" s="5" t="str">
        <f>VLOOKUP(Таблица3[[#This Row],[Наименование товара]],Склад!$A$3:$B$8,2,1)</f>
        <v>Colisto</v>
      </c>
      <c r="H27" s="14">
        <v>44990</v>
      </c>
      <c r="I27" s="8">
        <f>INT((MONTH(Таблица3[[#This Row],[Дата продажи]])+2)/3)</f>
        <v>1</v>
      </c>
      <c r="J27" s="5">
        <f>INDEX(Склад!$A$3:$M$8, MATCH(Таблица3[[#This Row],[Наименование товара]], Склад!$A$3:$A$8, 0), 9)</f>
        <v>97.2</v>
      </c>
      <c r="K2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" s="5">
        <v>0</v>
      </c>
      <c r="N27" s="5">
        <f>CEILING((Таблица3[[#This Row],[Цена за единицу (с учетом наценки продавца), руб.]] - Таблица3[[#This Row],[Цена за единицу (с учетом наценки продавца), руб.]]*M27),1)</f>
        <v>619</v>
      </c>
      <c r="O27" s="21">
        <f>VLOOKUP(Таблица3[[#This Row],[Менеджер по продажам]],'Справочная информация'!B$2:C$6,2,0)</f>
        <v>0.15</v>
      </c>
      <c r="P27" s="5">
        <f>Таблица3[[#This Row],[Цена продажи с учетом персональной скидки, руб.]]*O27</f>
        <v>92.85</v>
      </c>
      <c r="Q27" s="61"/>
    </row>
    <row r="28" spans="1:17" x14ac:dyDescent="0.25">
      <c r="A28" s="10">
        <f t="shared" si="0"/>
        <v>27</v>
      </c>
      <c r="B28" s="5" t="s">
        <v>418</v>
      </c>
      <c r="C28" s="5">
        <f>IF(OR(B28="Гаврилов Н.А.",Таблица3[[#This Row],[Менеджер по продажам]]="Никифорова В.М."),1,IF(Таблица3[[#This Row],[Менеджер по продажам]]="Соколов Г.П.",3,2))</f>
        <v>1</v>
      </c>
      <c r="D28" s="5" t="s">
        <v>69</v>
      </c>
      <c r="E28" s="5" t="s">
        <v>13</v>
      </c>
      <c r="F28" s="4" t="s">
        <v>8</v>
      </c>
      <c r="G28" s="5" t="str">
        <f>VLOOKUP(Таблица3[[#This Row],[Наименование товара]],Склад!$A$3:$B$8,2,1)</f>
        <v>Colisto</v>
      </c>
      <c r="H28" s="14">
        <v>44939</v>
      </c>
      <c r="I28" s="8">
        <f>INT((MONTH(Таблица3[[#This Row],[Дата продажи]])+2)/3)</f>
        <v>1</v>
      </c>
      <c r="J28" s="5">
        <f>INDEX(Склад!$A$3:$M$8, MATCH(Таблица3[[#This Row],[Наименование товара]], Склад!$A$3:$A$8, 0), 9)</f>
        <v>97.2</v>
      </c>
      <c r="K2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8" s="5">
        <v>0</v>
      </c>
      <c r="N28" s="5">
        <f>CEILING((Таблица3[[#This Row],[Цена за единицу (с учетом наценки продавца), руб.]] - Таблица3[[#This Row],[Цена за единицу (с учетом наценки продавца), руб.]]*M28),1)</f>
        <v>619</v>
      </c>
      <c r="O28" s="21">
        <f>VLOOKUP(Таблица3[[#This Row],[Менеджер по продажам]],'Справочная информация'!B$2:C$6,2,0)</f>
        <v>0.15</v>
      </c>
      <c r="P28" s="5">
        <f>Таблица3[[#This Row],[Цена продажи с учетом персональной скидки, руб.]]*O28</f>
        <v>92.85</v>
      </c>
      <c r="Q28" s="61"/>
    </row>
    <row r="29" spans="1:17" x14ac:dyDescent="0.25">
      <c r="A29" s="10">
        <f t="shared" si="0"/>
        <v>28</v>
      </c>
      <c r="B29" s="5" t="s">
        <v>418</v>
      </c>
      <c r="C29" s="5">
        <f>IF(OR(B29="Гаврилов Н.А.",Таблица3[[#This Row],[Менеджер по продажам]]="Никифорова В.М."),1,IF(Таблица3[[#This Row],[Менеджер по продажам]]="Соколов Г.П.",3,2))</f>
        <v>1</v>
      </c>
      <c r="D29" s="5" t="s">
        <v>176</v>
      </c>
      <c r="E29" s="5" t="s">
        <v>13</v>
      </c>
      <c r="F29" s="4" t="s">
        <v>8</v>
      </c>
      <c r="G29" s="5" t="str">
        <f>VLOOKUP(Таблица3[[#This Row],[Наименование товара]],Склад!$A$3:$B$8,2,1)</f>
        <v>Colisto</v>
      </c>
      <c r="H29" s="14">
        <v>44962</v>
      </c>
      <c r="I29" s="8">
        <f>INT((MONTH(Таблица3[[#This Row],[Дата продажи]])+2)/3)</f>
        <v>1</v>
      </c>
      <c r="J29" s="5">
        <f>INDEX(Склад!$A$3:$M$8, MATCH(Таблица3[[#This Row],[Наименование товара]], Склад!$A$3:$A$8, 0), 9)</f>
        <v>97.2</v>
      </c>
      <c r="K2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9" s="5">
        <v>0</v>
      </c>
      <c r="N29" s="5">
        <f>CEILING((Таблица3[[#This Row],[Цена за единицу (с учетом наценки продавца), руб.]] - Таблица3[[#This Row],[Цена за единицу (с учетом наценки продавца), руб.]]*M29),1)</f>
        <v>619</v>
      </c>
      <c r="O29" s="21">
        <f>VLOOKUP(Таблица3[[#This Row],[Менеджер по продажам]],'Справочная информация'!B$2:C$6,2,0)</f>
        <v>0.15</v>
      </c>
      <c r="P29" s="5">
        <f>Таблица3[[#This Row],[Цена продажи с учетом персональной скидки, руб.]]*O29</f>
        <v>92.85</v>
      </c>
      <c r="Q29" s="61"/>
    </row>
    <row r="30" spans="1:17" x14ac:dyDescent="0.25">
      <c r="A30" s="10">
        <f t="shared" si="0"/>
        <v>29</v>
      </c>
      <c r="B30" s="5" t="s">
        <v>418</v>
      </c>
      <c r="C30" s="5">
        <f>IF(OR(B30="Гаврилов Н.А.",Таблица3[[#This Row],[Менеджер по продажам]]="Никифорова В.М."),1,IF(Таблица3[[#This Row],[Менеджер по продажам]]="Соколов Г.П.",3,2))</f>
        <v>1</v>
      </c>
      <c r="D30" s="5" t="s">
        <v>149</v>
      </c>
      <c r="E30" s="5" t="s">
        <v>11</v>
      </c>
      <c r="F30" s="4" t="s">
        <v>8</v>
      </c>
      <c r="G30" s="5" t="str">
        <f>VLOOKUP(Таблица3[[#This Row],[Наименование товара]],Склад!$A$3:$B$8,2,1)</f>
        <v>Colisto</v>
      </c>
      <c r="H30" s="14">
        <v>44957</v>
      </c>
      <c r="I30" s="8">
        <f>INT((MONTH(Таблица3[[#This Row],[Дата продажи]])+2)/3)</f>
        <v>1</v>
      </c>
      <c r="J30" s="5">
        <f>INDEX(Склад!$A$3:$M$8, MATCH(Таблица3[[#This Row],[Наименование товара]], Склад!$A$3:$A$8, 0), 9)</f>
        <v>97.2</v>
      </c>
      <c r="K3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0" s="5">
        <v>0</v>
      </c>
      <c r="N30" s="5">
        <f>CEILING((Таблица3[[#This Row],[Цена за единицу (с учетом наценки продавца), руб.]] - Таблица3[[#This Row],[Цена за единицу (с учетом наценки продавца), руб.]]*M30),1)</f>
        <v>619</v>
      </c>
      <c r="O30" s="21">
        <f>VLOOKUP(Таблица3[[#This Row],[Менеджер по продажам]],'Справочная информация'!B$2:C$6,2,0)</f>
        <v>0.15</v>
      </c>
      <c r="P30" s="5">
        <f>Таблица3[[#This Row],[Цена продажи с учетом персональной скидки, руб.]]*O30</f>
        <v>92.85</v>
      </c>
      <c r="Q30" s="61"/>
    </row>
    <row r="31" spans="1:17" x14ac:dyDescent="0.25">
      <c r="A31" s="10">
        <f t="shared" si="0"/>
        <v>30</v>
      </c>
      <c r="B31" s="5" t="s">
        <v>418</v>
      </c>
      <c r="C31" s="5">
        <f>IF(OR(B31="Гаврилов Н.А.",Таблица3[[#This Row],[Менеджер по продажам]]="Никифорова В.М."),1,IF(Таблица3[[#This Row],[Менеджер по продажам]]="Соколов Г.П.",3,2))</f>
        <v>1</v>
      </c>
      <c r="D31" s="5" t="s">
        <v>91</v>
      </c>
      <c r="E31" s="5" t="s">
        <v>47</v>
      </c>
      <c r="F31" s="4" t="s">
        <v>8</v>
      </c>
      <c r="G31" s="5" t="str">
        <f>VLOOKUP(Таблица3[[#This Row],[Наименование товара]],Склад!$A$3:$B$8,2,1)</f>
        <v>Colisto</v>
      </c>
      <c r="H31" s="14">
        <v>44944</v>
      </c>
      <c r="I31" s="8">
        <f>INT((MONTH(Таблица3[[#This Row],[Дата продажи]])+2)/3)</f>
        <v>1</v>
      </c>
      <c r="J31" s="5">
        <f>INDEX(Склад!$A$3:$M$8, MATCH(Таблица3[[#This Row],[Наименование товара]], Склад!$A$3:$A$8, 0), 9)</f>
        <v>97.2</v>
      </c>
      <c r="K3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1" s="5">
        <v>0</v>
      </c>
      <c r="N31" s="5">
        <f>CEILING((Таблица3[[#This Row],[Цена за единицу (с учетом наценки продавца), руб.]] - Таблица3[[#This Row],[Цена за единицу (с учетом наценки продавца), руб.]]*M31),1)</f>
        <v>619</v>
      </c>
      <c r="O31" s="21">
        <f>VLOOKUP(Таблица3[[#This Row],[Менеджер по продажам]],'Справочная информация'!B$2:C$6,2,0)</f>
        <v>0.15</v>
      </c>
      <c r="P31" s="5">
        <f>Таблица3[[#This Row],[Цена продажи с учетом персональной скидки, руб.]]*O31</f>
        <v>92.85</v>
      </c>
      <c r="Q31" s="61"/>
    </row>
    <row r="32" spans="1:17" x14ac:dyDescent="0.25">
      <c r="A32" s="10">
        <f t="shared" si="0"/>
        <v>31</v>
      </c>
      <c r="B32" s="5" t="s">
        <v>418</v>
      </c>
      <c r="C32" s="5">
        <f>IF(OR(B32="Гаврилов Н.А.",Таблица3[[#This Row],[Менеджер по продажам]]="Никифорова В.М."),1,IF(Таблица3[[#This Row],[Менеджер по продажам]]="Соколов Г.П.",3,2))</f>
        <v>1</v>
      </c>
      <c r="D32" s="5" t="s">
        <v>413</v>
      </c>
      <c r="E32" s="5" t="s">
        <v>13</v>
      </c>
      <c r="F32" s="4" t="s">
        <v>8</v>
      </c>
      <c r="G32" s="5" t="str">
        <f>VLOOKUP(Таблица3[[#This Row],[Наименование товара]],Склад!$A$3:$B$8,2,1)</f>
        <v>Colisto</v>
      </c>
      <c r="H32" s="14">
        <v>45015</v>
      </c>
      <c r="I32" s="8">
        <f>INT((MONTH(Таблица3[[#This Row],[Дата продажи]])+2)/3)</f>
        <v>1</v>
      </c>
      <c r="J32" s="5">
        <f>INDEX(Склад!$A$3:$M$8, MATCH(Таблица3[[#This Row],[Наименование товара]], Склад!$A$3:$A$8, 0), 9)</f>
        <v>97.2</v>
      </c>
      <c r="K3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2" s="5">
        <v>0</v>
      </c>
      <c r="N32" s="5">
        <f>CEILING((Таблица3[[#This Row],[Цена за единицу (с учетом наценки продавца), руб.]] - Таблица3[[#This Row],[Цена за единицу (с учетом наценки продавца), руб.]]*M32),1)</f>
        <v>619</v>
      </c>
      <c r="O32" s="21">
        <f>VLOOKUP(Таблица3[[#This Row],[Менеджер по продажам]],'Справочная информация'!B$2:C$6,2,0)</f>
        <v>0.15</v>
      </c>
      <c r="P32" s="5">
        <f>Таблица3[[#This Row],[Цена продажи с учетом персональной скидки, руб.]]*O32</f>
        <v>92.85</v>
      </c>
      <c r="Q32" s="61"/>
    </row>
    <row r="33" spans="1:17" x14ac:dyDescent="0.25">
      <c r="A33" s="10">
        <f t="shared" si="0"/>
        <v>32</v>
      </c>
      <c r="B33" s="5" t="s">
        <v>418</v>
      </c>
      <c r="C33" s="5">
        <f>IF(OR(B33="Гаврилов Н.А.",Таблица3[[#This Row],[Менеджер по продажам]]="Никифорова В.М."),1,IF(Таблица3[[#This Row],[Менеджер по продажам]]="Соколов Г.П.",3,2))</f>
        <v>1</v>
      </c>
      <c r="D33" s="5" t="s">
        <v>10</v>
      </c>
      <c r="E33" s="5" t="s">
        <v>11</v>
      </c>
      <c r="F33" s="4" t="s">
        <v>8</v>
      </c>
      <c r="G33" s="5" t="str">
        <f>VLOOKUP(Таблица3[[#This Row],[Наименование товара]],Склад!$A$3:$B$8,2,1)</f>
        <v>Colisto</v>
      </c>
      <c r="H33" s="14">
        <v>44927</v>
      </c>
      <c r="I33" s="8">
        <f>INT((MONTH(Таблица3[[#This Row],[Дата продажи]])+2)/3)</f>
        <v>1</v>
      </c>
      <c r="J33" s="5">
        <f>INDEX(Склад!$A$3:$M$8, MATCH(Таблица3[[#This Row],[Наименование товара]], Склад!$A$3:$A$8, 0), 9)</f>
        <v>97.2</v>
      </c>
      <c r="K3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3" s="5">
        <v>0</v>
      </c>
      <c r="N33" s="5">
        <f>CEILING((Таблица3[[#This Row],[Цена за единицу (с учетом наценки продавца), руб.]] - Таблица3[[#This Row],[Цена за единицу (с учетом наценки продавца), руб.]]*M33),1)</f>
        <v>619</v>
      </c>
      <c r="O33" s="21">
        <f>VLOOKUP(Таблица3[[#This Row],[Менеджер по продажам]],'Справочная информация'!B$2:C$6,2,0)</f>
        <v>0.15</v>
      </c>
      <c r="P33" s="5">
        <f>Таблица3[[#This Row],[Цена продажи с учетом персональной скидки, руб.]]*O33</f>
        <v>92.85</v>
      </c>
      <c r="Q33" s="61"/>
    </row>
    <row r="34" spans="1:17" x14ac:dyDescent="0.25">
      <c r="A34" s="10">
        <f t="shared" si="0"/>
        <v>33</v>
      </c>
      <c r="B34" s="5" t="s">
        <v>418</v>
      </c>
      <c r="C34" s="5">
        <f>IF(OR(B34="Гаврилов Н.А.",Таблица3[[#This Row],[Менеджер по продажам]]="Никифорова В.М."),1,IF(Таблица3[[#This Row],[Менеджер по продажам]]="Соколов Г.П.",3,2))</f>
        <v>1</v>
      </c>
      <c r="D34" s="5" t="s">
        <v>333</v>
      </c>
      <c r="E34" s="5" t="s">
        <v>212</v>
      </c>
      <c r="F34" s="4" t="s">
        <v>8</v>
      </c>
      <c r="G34" s="5" t="str">
        <f>VLOOKUP(Таблица3[[#This Row],[Наименование товара]],Склад!$A$3:$B$8,2,1)</f>
        <v>Colisto</v>
      </c>
      <c r="H34" s="14">
        <v>44999</v>
      </c>
      <c r="I34" s="8">
        <f>INT((MONTH(Таблица3[[#This Row],[Дата продажи]])+2)/3)</f>
        <v>1</v>
      </c>
      <c r="J34" s="5">
        <f>INDEX(Склад!$A$3:$M$8, MATCH(Таблица3[[#This Row],[Наименование товара]], Склад!$A$3:$A$8, 0), 9)</f>
        <v>97.2</v>
      </c>
      <c r="K3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4" s="5">
        <v>0</v>
      </c>
      <c r="N34" s="5">
        <f>CEILING((Таблица3[[#This Row],[Цена за единицу (с учетом наценки продавца), руб.]] - Таблица3[[#This Row],[Цена за единицу (с учетом наценки продавца), руб.]]*M34),1)</f>
        <v>619</v>
      </c>
      <c r="O34" s="21">
        <f>VLOOKUP(Таблица3[[#This Row],[Менеджер по продажам]],'Справочная информация'!B$2:C$6,2,0)</f>
        <v>0.15</v>
      </c>
      <c r="P34" s="5">
        <f>Таблица3[[#This Row],[Цена продажи с учетом персональной скидки, руб.]]*O34</f>
        <v>92.85</v>
      </c>
      <c r="Q34" s="61"/>
    </row>
    <row r="35" spans="1:17" x14ac:dyDescent="0.25">
      <c r="A35" s="10">
        <f t="shared" si="0"/>
        <v>34</v>
      </c>
      <c r="B35" s="5" t="s">
        <v>418</v>
      </c>
      <c r="C35" s="5">
        <f>IF(OR(B35="Гаврилов Н.А.",Таблица3[[#This Row],[Менеджер по продажам]]="Никифорова В.М."),1,IF(Таблица3[[#This Row],[Менеджер по продажам]]="Соколов Г.П.",3,2))</f>
        <v>1</v>
      </c>
      <c r="D35" s="5" t="s">
        <v>67</v>
      </c>
      <c r="E35" s="5" t="s">
        <v>31</v>
      </c>
      <c r="F35" s="4" t="s">
        <v>8</v>
      </c>
      <c r="G35" s="5" t="str">
        <f>VLOOKUP(Таблица3[[#This Row],[Наименование товара]],Склад!$A$3:$B$8,2,1)</f>
        <v>Colisto</v>
      </c>
      <c r="H35" s="14">
        <v>44938</v>
      </c>
      <c r="I35" s="8">
        <f>INT((MONTH(Таблица3[[#This Row],[Дата продажи]])+2)/3)</f>
        <v>1</v>
      </c>
      <c r="J35" s="5">
        <f>INDEX(Склад!$A$3:$M$8, MATCH(Таблица3[[#This Row],[Наименование товара]], Склад!$A$3:$A$8, 0), 9)</f>
        <v>97.2</v>
      </c>
      <c r="K3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" s="5">
        <v>0</v>
      </c>
      <c r="N35" s="5">
        <f>CEILING((Таблица3[[#This Row],[Цена за единицу (с учетом наценки продавца), руб.]] - Таблица3[[#This Row],[Цена за единицу (с учетом наценки продавца), руб.]]*M35),1)</f>
        <v>619</v>
      </c>
      <c r="O35" s="21">
        <f>VLOOKUP(Таблица3[[#This Row],[Менеджер по продажам]],'Справочная информация'!B$2:C$6,2,0)</f>
        <v>0.15</v>
      </c>
      <c r="P35" s="5">
        <f>Таблица3[[#This Row],[Цена продажи с учетом персональной скидки, руб.]]*O35</f>
        <v>92.85</v>
      </c>
      <c r="Q35" s="61"/>
    </row>
    <row r="36" spans="1:17" x14ac:dyDescent="0.25">
      <c r="A36" s="10">
        <f t="shared" si="0"/>
        <v>35</v>
      </c>
      <c r="B36" s="5" t="s">
        <v>418</v>
      </c>
      <c r="C36" s="5">
        <f>IF(OR(B36="Гаврилов Н.А.",Таблица3[[#This Row],[Менеджер по продажам]]="Никифорова В.М."),1,IF(Таблица3[[#This Row],[Менеджер по продажам]]="Соколов Г.П.",3,2))</f>
        <v>1</v>
      </c>
      <c r="D36" s="5" t="s">
        <v>229</v>
      </c>
      <c r="E36" s="5" t="s">
        <v>11</v>
      </c>
      <c r="F36" s="4" t="s">
        <v>22</v>
      </c>
      <c r="G36" s="5" t="str">
        <f>VLOOKUP(Таблица3[[#This Row],[Наименование товара]],Склад!$A$3:$B$8,2,1)</f>
        <v>Porto</v>
      </c>
      <c r="H36" s="14">
        <v>44976</v>
      </c>
      <c r="I36" s="8">
        <f>INT((MONTH(Таблица3[[#This Row],[Дата продажи]])+2)/3)</f>
        <v>1</v>
      </c>
      <c r="J36" s="5">
        <f>INDEX(Склад!$A$3:$M$8, MATCH(Таблица3[[#This Row],[Наименование товара]], Склад!$A$3:$A$8, 0), 9)</f>
        <v>119.43</v>
      </c>
      <c r="K3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6" s="5">
        <v>0</v>
      </c>
      <c r="N36" s="5">
        <f>CEILING((Таблица3[[#This Row],[Цена за единицу (с учетом наценки продавца), руб.]] - Таблица3[[#This Row],[Цена за единицу (с учетом наценки продавца), руб.]]*M36),1)</f>
        <v>696</v>
      </c>
      <c r="O36" s="21">
        <f>VLOOKUP(Таблица3[[#This Row],[Менеджер по продажам]],'Справочная информация'!B$2:C$6,2,0)</f>
        <v>0.15</v>
      </c>
      <c r="P36" s="5">
        <f>Таблица3[[#This Row],[Цена продажи с учетом персональной скидки, руб.]]*O36</f>
        <v>104.39999999999999</v>
      </c>
      <c r="Q36" s="61"/>
    </row>
    <row r="37" spans="1:17" ht="15.75" customHeight="1" x14ac:dyDescent="0.25">
      <c r="A37" s="10">
        <f t="shared" si="0"/>
        <v>36</v>
      </c>
      <c r="B37" s="5" t="s">
        <v>418</v>
      </c>
      <c r="C37" s="5">
        <f>IF(OR(B37="Гаврилов Н.А.",Таблица3[[#This Row],[Менеджер по продажам]]="Никифорова В.М."),1,IF(Таблица3[[#This Row],[Менеджер по продажам]]="Соколов Г.П.",3,2))</f>
        <v>1</v>
      </c>
      <c r="D37" s="5" t="s">
        <v>74</v>
      </c>
      <c r="E37" s="5" t="s">
        <v>11</v>
      </c>
      <c r="F37" s="4" t="s">
        <v>22</v>
      </c>
      <c r="G37" s="5" t="str">
        <f>VLOOKUP(Таблица3[[#This Row],[Наименование товара]],Склад!$A$3:$B$8,2,1)</f>
        <v>Porto</v>
      </c>
      <c r="H37" s="14">
        <v>44940</v>
      </c>
      <c r="I37" s="8">
        <f>INT((MONTH(Таблица3[[#This Row],[Дата продажи]])+2)/3)</f>
        <v>1</v>
      </c>
      <c r="J37" s="5">
        <f>INDEX(Склад!$A$3:$M$8, MATCH(Таблица3[[#This Row],[Наименование товара]], Склад!$A$3:$A$8, 0), 9)</f>
        <v>119.43</v>
      </c>
      <c r="K37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" s="5">
        <v>0</v>
      </c>
      <c r="N37" s="5">
        <f>CEILING((Таблица3[[#This Row],[Цена за единицу (с учетом наценки продавца), руб.]] - Таблица3[[#This Row],[Цена за единицу (с учетом наценки продавца), руб.]]*M37),1)</f>
        <v>696</v>
      </c>
      <c r="O37" s="21">
        <f>VLOOKUP(Таблица3[[#This Row],[Менеджер по продажам]],'Справочная информация'!B$2:C$6,2,0)</f>
        <v>0.15</v>
      </c>
      <c r="P37" s="5">
        <f>Таблица3[[#This Row],[Цена продажи с учетом персональной скидки, руб.]]*O37</f>
        <v>104.39999999999999</v>
      </c>
      <c r="Q37" s="61"/>
    </row>
    <row r="38" spans="1:17" x14ac:dyDescent="0.25">
      <c r="A38" s="10">
        <f t="shared" si="0"/>
        <v>37</v>
      </c>
      <c r="B38" s="5" t="s">
        <v>418</v>
      </c>
      <c r="C38" s="5">
        <f>IF(OR(B38="Гаврилов Н.А.",Таблица3[[#This Row],[Менеджер по продажам]]="Никифорова В.М."),1,IF(Таблица3[[#This Row],[Менеджер по продажам]]="Соколов Г.П.",3,2))</f>
        <v>1</v>
      </c>
      <c r="D38" s="5" t="s">
        <v>224</v>
      </c>
      <c r="E38" s="5" t="s">
        <v>31</v>
      </c>
      <c r="F38" s="4" t="s">
        <v>22</v>
      </c>
      <c r="G38" s="5" t="str">
        <f>VLOOKUP(Таблица3[[#This Row],[Наименование товара]],Склад!$A$3:$B$8,2,1)</f>
        <v>Porto</v>
      </c>
      <c r="H38" s="14">
        <v>44973</v>
      </c>
      <c r="I38" s="8">
        <f>INT((MONTH(Таблица3[[#This Row],[Дата продажи]])+2)/3)</f>
        <v>1</v>
      </c>
      <c r="J38" s="5">
        <f>INDEX(Склад!$A$3:$M$8, MATCH(Таблица3[[#This Row],[Наименование товара]], Склад!$A$3:$A$8, 0), 9)</f>
        <v>119.43</v>
      </c>
      <c r="K38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8" s="5">
        <v>0</v>
      </c>
      <c r="N38" s="5">
        <f>CEILING((Таблица3[[#This Row],[Цена за единицу (с учетом наценки продавца), руб.]] - Таблица3[[#This Row],[Цена за единицу (с учетом наценки продавца), руб.]]*M38),1)</f>
        <v>696</v>
      </c>
      <c r="O38" s="21">
        <f>VLOOKUP(Таблица3[[#This Row],[Менеджер по продажам]],'Справочная информация'!B$2:C$6,2,0)</f>
        <v>0.15</v>
      </c>
      <c r="P38" s="5">
        <f>Таблица3[[#This Row],[Цена продажи с учетом персональной скидки, руб.]]*O38</f>
        <v>104.39999999999999</v>
      </c>
      <c r="Q38" s="61"/>
    </row>
    <row r="39" spans="1:17" x14ac:dyDescent="0.25">
      <c r="A39" s="10">
        <f t="shared" si="0"/>
        <v>38</v>
      </c>
      <c r="B39" s="5" t="s">
        <v>418</v>
      </c>
      <c r="C39" s="5">
        <f>IF(OR(B39="Гаврилов Н.А.",Таблица3[[#This Row],[Менеджер по продажам]]="Никифорова В.М."),1,IF(Таблица3[[#This Row],[Менеджер по продажам]]="Соколов Г.П.",3,2))</f>
        <v>1</v>
      </c>
      <c r="D39" s="5" t="s">
        <v>139</v>
      </c>
      <c r="E39" s="5" t="s">
        <v>11</v>
      </c>
      <c r="F39" s="4" t="s">
        <v>22</v>
      </c>
      <c r="G39" s="5" t="str">
        <f>VLOOKUP(Таблица3[[#This Row],[Наименование товара]],Склад!$A$3:$B$8,2,1)</f>
        <v>Porto</v>
      </c>
      <c r="H39" s="14">
        <v>44955</v>
      </c>
      <c r="I39" s="8">
        <f>INT((MONTH(Таблица3[[#This Row],[Дата продажи]])+2)/3)</f>
        <v>1</v>
      </c>
      <c r="J39" s="5">
        <f>INDEX(Склад!$A$3:$M$8, MATCH(Таблица3[[#This Row],[Наименование товара]], Склад!$A$3:$A$8, 0), 9)</f>
        <v>119.43</v>
      </c>
      <c r="K39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9" s="5">
        <v>0</v>
      </c>
      <c r="N39" s="5">
        <f>CEILING((Таблица3[[#This Row],[Цена за единицу (с учетом наценки продавца), руб.]] - Таблица3[[#This Row],[Цена за единицу (с учетом наценки продавца), руб.]]*M39),1)</f>
        <v>696</v>
      </c>
      <c r="O39" s="21">
        <f>VLOOKUP(Таблица3[[#This Row],[Менеджер по продажам]],'Справочная информация'!B$2:C$6,2,0)</f>
        <v>0.15</v>
      </c>
      <c r="P39" s="5">
        <f>Таблица3[[#This Row],[Цена продажи с учетом персональной скидки, руб.]]*O39</f>
        <v>104.39999999999999</v>
      </c>
      <c r="Q39" s="61"/>
    </row>
    <row r="40" spans="1:17" x14ac:dyDescent="0.25">
      <c r="A40" s="10">
        <f t="shared" si="0"/>
        <v>39</v>
      </c>
      <c r="B40" s="5" t="s">
        <v>418</v>
      </c>
      <c r="C40" s="5">
        <f>IF(OR(B40="Гаврилов Н.А.",Таблица3[[#This Row],[Менеджер по продажам]]="Никифорова В.М."),1,IF(Таблица3[[#This Row],[Менеджер по продажам]]="Соколов Г.П.",3,2))</f>
        <v>1</v>
      </c>
      <c r="D40" s="5" t="s">
        <v>57</v>
      </c>
      <c r="E40" s="5" t="s">
        <v>31</v>
      </c>
      <c r="F40" s="4" t="s">
        <v>37</v>
      </c>
      <c r="G40" s="5" t="str">
        <f>VLOOKUP(Таблица3[[#This Row],[Наименование товара]],Склад!$A$3:$B$8,2,1)</f>
        <v>Porto</v>
      </c>
      <c r="H40" s="14">
        <v>44937</v>
      </c>
      <c r="I40" s="8">
        <f>INT((MONTH(Таблица3[[#This Row],[Дата продажи]])+2)/3)</f>
        <v>1</v>
      </c>
      <c r="J40" s="5">
        <f>INDEX(Склад!$A$3:$M$8, MATCH(Таблица3[[#This Row],[Наименование товара]], Склад!$A$3:$A$8, 0), 9)</f>
        <v>109.24000000000001</v>
      </c>
      <c r="K40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0" s="5">
        <v>0</v>
      </c>
      <c r="N40" s="5">
        <f>CEILING((Таблица3[[#This Row],[Цена за единицу (с учетом наценки продавца), руб.]] - Таблица3[[#This Row],[Цена за единицу (с учетом наценки продавца), руб.]]*M40),1)</f>
        <v>681</v>
      </c>
      <c r="O40" s="21">
        <f>VLOOKUP(Таблица3[[#This Row],[Менеджер по продажам]],'Справочная информация'!B$2:C$6,2,0)</f>
        <v>0.15</v>
      </c>
      <c r="P40" s="5">
        <f>Таблица3[[#This Row],[Цена продажи с учетом персональной скидки, руб.]]*O40</f>
        <v>102.14999999999999</v>
      </c>
      <c r="Q40" s="61"/>
    </row>
    <row r="41" spans="1:17" x14ac:dyDescent="0.25">
      <c r="A41" s="10">
        <f t="shared" si="0"/>
        <v>40</v>
      </c>
      <c r="B41" s="5" t="s">
        <v>418</v>
      </c>
      <c r="C41" s="5">
        <f>IF(OR(B41="Гаврилов Н.А.",Таблица3[[#This Row],[Менеджер по продажам]]="Никифорова В.М."),1,IF(Таблица3[[#This Row],[Менеджер по продажам]]="Соколов Г.П.",3,2))</f>
        <v>1</v>
      </c>
      <c r="D41" s="5" t="s">
        <v>254</v>
      </c>
      <c r="E41" s="5" t="s">
        <v>47</v>
      </c>
      <c r="F41" s="4" t="s">
        <v>37</v>
      </c>
      <c r="G41" s="5" t="str">
        <f>VLOOKUP(Таблица3[[#This Row],[Наименование товара]],Склад!$A$3:$B$8,2,1)</f>
        <v>Porto</v>
      </c>
      <c r="H41" s="14">
        <v>44982</v>
      </c>
      <c r="I41" s="8">
        <f>INT((MONTH(Таблица3[[#This Row],[Дата продажи]])+2)/3)</f>
        <v>1</v>
      </c>
      <c r="J41" s="5">
        <f>INDEX(Склад!$A$3:$M$8, MATCH(Таблица3[[#This Row],[Наименование товара]], Склад!$A$3:$A$8, 0), 9)</f>
        <v>109.24000000000001</v>
      </c>
      <c r="K41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1" s="5">
        <v>0</v>
      </c>
      <c r="N41" s="5">
        <f>CEILING((Таблица3[[#This Row],[Цена за единицу (с учетом наценки продавца), руб.]] - Таблица3[[#This Row],[Цена за единицу (с учетом наценки продавца), руб.]]*M41),1)</f>
        <v>681</v>
      </c>
      <c r="O41" s="21">
        <f>VLOOKUP(Таблица3[[#This Row],[Менеджер по продажам]],'Справочная информация'!B$2:C$6,2,0)</f>
        <v>0.15</v>
      </c>
      <c r="P41" s="5">
        <f>Таблица3[[#This Row],[Цена продажи с учетом персональной скидки, руб.]]*O41</f>
        <v>102.14999999999999</v>
      </c>
      <c r="Q41" s="61"/>
    </row>
    <row r="42" spans="1:17" x14ac:dyDescent="0.25">
      <c r="A42" s="10">
        <f t="shared" si="0"/>
        <v>41</v>
      </c>
      <c r="B42" s="5" t="s">
        <v>418</v>
      </c>
      <c r="C42" s="5">
        <f>IF(OR(B42="Гаврилов Н.А.",Таблица3[[#This Row],[Менеджер по продажам]]="Никифорова В.М."),1,IF(Таблица3[[#This Row],[Менеджер по продажам]]="Соколов Г.П.",3,2))</f>
        <v>1</v>
      </c>
      <c r="D42" s="5" t="s">
        <v>347</v>
      </c>
      <c r="E42" s="5" t="s">
        <v>212</v>
      </c>
      <c r="F42" s="4" t="s">
        <v>37</v>
      </c>
      <c r="G42" s="5" t="str">
        <f>VLOOKUP(Таблица3[[#This Row],[Наименование товара]],Склад!$A$3:$B$8,2,1)</f>
        <v>Porto</v>
      </c>
      <c r="H42" s="14">
        <v>45002</v>
      </c>
      <c r="I42" s="8">
        <f>INT((MONTH(Таблица3[[#This Row],[Дата продажи]])+2)/3)</f>
        <v>1</v>
      </c>
      <c r="J42" s="5">
        <f>INDEX(Склад!$A$3:$M$8, MATCH(Таблица3[[#This Row],[Наименование товара]], Склад!$A$3:$A$8, 0), 9)</f>
        <v>109.24000000000001</v>
      </c>
      <c r="K42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2" s="5">
        <v>0</v>
      </c>
      <c r="N42" s="5">
        <f>CEILING((Таблица3[[#This Row],[Цена за единицу (с учетом наценки продавца), руб.]] - Таблица3[[#This Row],[Цена за единицу (с учетом наценки продавца), руб.]]*M42),1)</f>
        <v>681</v>
      </c>
      <c r="O42" s="21">
        <f>VLOOKUP(Таблица3[[#This Row],[Менеджер по продажам]],'Справочная информация'!B$2:C$6,2,0)</f>
        <v>0.15</v>
      </c>
      <c r="P42" s="5">
        <f>Таблица3[[#This Row],[Цена продажи с учетом персональной скидки, руб.]]*O42</f>
        <v>102.14999999999999</v>
      </c>
      <c r="Q42" s="61"/>
    </row>
    <row r="43" spans="1:17" x14ac:dyDescent="0.25">
      <c r="A43" s="10">
        <f t="shared" si="0"/>
        <v>42</v>
      </c>
      <c r="B43" s="5" t="s">
        <v>418</v>
      </c>
      <c r="C43" s="5">
        <f>IF(OR(B43="Гаврилов Н.А.",Таблица3[[#This Row],[Менеджер по продажам]]="Никифорова В.М."),1,IF(Таблица3[[#This Row],[Менеджер по продажам]]="Соколов Г.П.",3,2))</f>
        <v>1</v>
      </c>
      <c r="D43" s="5" t="s">
        <v>256</v>
      </c>
      <c r="E43" s="5" t="s">
        <v>94</v>
      </c>
      <c r="F43" s="4" t="s">
        <v>37</v>
      </c>
      <c r="G43" s="5" t="str">
        <f>VLOOKUP(Таблица3[[#This Row],[Наименование товара]],Склад!$A$3:$B$8,2,1)</f>
        <v>Porto</v>
      </c>
      <c r="H43" s="14">
        <v>44982</v>
      </c>
      <c r="I43" s="8">
        <f>INT((MONTH(Таблица3[[#This Row],[Дата продажи]])+2)/3)</f>
        <v>1</v>
      </c>
      <c r="J43" s="5">
        <f>INDEX(Склад!$A$3:$M$8, MATCH(Таблица3[[#This Row],[Наименование товара]], Склад!$A$3:$A$8, 0), 9)</f>
        <v>109.24000000000001</v>
      </c>
      <c r="K43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3" s="5">
        <v>0</v>
      </c>
      <c r="N43" s="5">
        <f>CEILING((Таблица3[[#This Row],[Цена за единицу (с учетом наценки продавца), руб.]] - Таблица3[[#This Row],[Цена за единицу (с учетом наценки продавца), руб.]]*M43),1)</f>
        <v>681</v>
      </c>
      <c r="O43" s="21">
        <f>VLOOKUP(Таблица3[[#This Row],[Менеджер по продажам]],'Справочная информация'!B$2:C$6,2,0)</f>
        <v>0.15</v>
      </c>
      <c r="P43" s="5">
        <f>Таблица3[[#This Row],[Цена продажи с учетом персональной скидки, руб.]]*O43</f>
        <v>102.14999999999999</v>
      </c>
      <c r="Q43" s="61"/>
    </row>
    <row r="44" spans="1:17" x14ac:dyDescent="0.25">
      <c r="A44" s="10">
        <f t="shared" si="0"/>
        <v>43</v>
      </c>
      <c r="B44" s="5" t="s">
        <v>418</v>
      </c>
      <c r="C44" s="5">
        <f>IF(OR(B44="Гаврилов Н.А.",Таблица3[[#This Row],[Менеджер по продажам]]="Никифорова В.М."),1,IF(Таблица3[[#This Row],[Менеджер по продажам]]="Соколов Г.П.",3,2))</f>
        <v>1</v>
      </c>
      <c r="D44" s="5" t="s">
        <v>192</v>
      </c>
      <c r="E44" s="5" t="s">
        <v>31</v>
      </c>
      <c r="F44" s="4" t="s">
        <v>37</v>
      </c>
      <c r="G44" s="5" t="str">
        <f>VLOOKUP(Таблица3[[#This Row],[Наименование товара]],Склад!$A$3:$B$8,2,1)</f>
        <v>Porto</v>
      </c>
      <c r="H44" s="14">
        <v>44965</v>
      </c>
      <c r="I44" s="8">
        <f>INT((MONTH(Таблица3[[#This Row],[Дата продажи]])+2)/3)</f>
        <v>1</v>
      </c>
      <c r="J44" s="5">
        <f>INDEX(Склад!$A$3:$M$8, MATCH(Таблица3[[#This Row],[Наименование товара]], Склад!$A$3:$A$8, 0), 9)</f>
        <v>109.24000000000001</v>
      </c>
      <c r="K44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4" s="5">
        <v>0</v>
      </c>
      <c r="N44" s="5">
        <f>CEILING((Таблица3[[#This Row],[Цена за единицу (с учетом наценки продавца), руб.]] - Таблица3[[#This Row],[Цена за единицу (с учетом наценки продавца), руб.]]*M44),1)</f>
        <v>681</v>
      </c>
      <c r="O44" s="21">
        <f>VLOOKUP(Таблица3[[#This Row],[Менеджер по продажам]],'Справочная информация'!B$2:C$6,2,0)</f>
        <v>0.15</v>
      </c>
      <c r="P44" s="5">
        <f>Таблица3[[#This Row],[Цена продажи с учетом персональной скидки, руб.]]*O44</f>
        <v>102.14999999999999</v>
      </c>
      <c r="Q44" s="61"/>
    </row>
    <row r="45" spans="1:17" x14ac:dyDescent="0.25">
      <c r="A45" s="10">
        <f t="shared" si="0"/>
        <v>44</v>
      </c>
      <c r="B45" s="5" t="s">
        <v>418</v>
      </c>
      <c r="C45" s="5">
        <f>IF(OR(B45="Гаврилов Н.А.",Таблица3[[#This Row],[Менеджер по продажам]]="Никифорова В.М."),1,IF(Таблица3[[#This Row],[Менеджер по продажам]]="Соколов Г.П.",3,2))</f>
        <v>1</v>
      </c>
      <c r="D45" s="5" t="s">
        <v>308</v>
      </c>
      <c r="E45" s="5" t="s">
        <v>31</v>
      </c>
      <c r="F45" s="4" t="s">
        <v>37</v>
      </c>
      <c r="G45" s="5" t="str">
        <f>VLOOKUP(Таблица3[[#This Row],[Наименование товара]],Склад!$A$3:$B$8,2,1)</f>
        <v>Porto</v>
      </c>
      <c r="H45" s="14">
        <v>44994</v>
      </c>
      <c r="I45" s="8">
        <f>INT((MONTH(Таблица3[[#This Row],[Дата продажи]])+2)/3)</f>
        <v>1</v>
      </c>
      <c r="J45" s="5">
        <f>INDEX(Склад!$A$3:$M$8, MATCH(Таблица3[[#This Row],[Наименование товара]], Склад!$A$3:$A$8, 0), 9)</f>
        <v>109.24000000000001</v>
      </c>
      <c r="K45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4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45" s="5">
        <v>0</v>
      </c>
      <c r="N45" s="5">
        <f>CEILING((Таблица3[[#This Row],[Цена за единицу (с учетом наценки продавца), руб.]] - Таблица3[[#This Row],[Цена за единицу (с учетом наценки продавца), руб.]]*M45),1)</f>
        <v>681</v>
      </c>
      <c r="O45" s="21">
        <f>VLOOKUP(Таблица3[[#This Row],[Менеджер по продажам]],'Справочная информация'!B$2:C$6,2,0)</f>
        <v>0.15</v>
      </c>
      <c r="P45" s="5">
        <f>Таблица3[[#This Row],[Цена продажи с учетом персональной скидки, руб.]]*O45</f>
        <v>102.14999999999999</v>
      </c>
      <c r="Q45" s="61"/>
    </row>
    <row r="46" spans="1:17" x14ac:dyDescent="0.25">
      <c r="A46" s="10">
        <f t="shared" si="0"/>
        <v>45</v>
      </c>
      <c r="B46" s="5" t="s">
        <v>418</v>
      </c>
      <c r="C46" s="5">
        <f>IF(OR(B46="Гаврилов Н.А.",Таблица3[[#This Row],[Менеджер по продажам]]="Никифорова В.М."),1,IF(Таблица3[[#This Row],[Менеджер по продажам]]="Соколов Г.П.",3,2))</f>
        <v>1</v>
      </c>
      <c r="D46" s="5" t="s">
        <v>71</v>
      </c>
      <c r="E46" s="5" t="s">
        <v>47</v>
      </c>
      <c r="F46" s="4" t="s">
        <v>17</v>
      </c>
      <c r="G46" s="5" t="str">
        <f>VLOOKUP(Таблица3[[#This Row],[Наименование товара]],Склад!$A$3:$B$8,2,1)</f>
        <v>Porto</v>
      </c>
      <c r="H46" s="14">
        <v>44940</v>
      </c>
      <c r="I46" s="8">
        <f>INT((MONTH(Таблица3[[#This Row],[Дата продажи]])+2)/3)</f>
        <v>1</v>
      </c>
      <c r="J46" s="5">
        <f>INDEX(Склад!$A$3:$M$8, MATCH(Таблица3[[#This Row],[Наименование товара]], Склад!$A$3:$A$8, 0), 9)</f>
        <v>131.76999999999998</v>
      </c>
      <c r="K4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4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46" s="5">
        <v>0</v>
      </c>
      <c r="N46" s="5">
        <f>CEILING((Таблица3[[#This Row],[Цена за единицу (с учетом наценки продавца), руб.]] - Таблица3[[#This Row],[Цена за единицу (с учетом наценки продавца), руб.]]*M46),1)</f>
        <v>715</v>
      </c>
      <c r="O46" s="21">
        <f>VLOOKUP(Таблица3[[#This Row],[Менеджер по продажам]],'Справочная информация'!B$2:C$6,2,0)</f>
        <v>0.15</v>
      </c>
      <c r="P46" s="5">
        <f>Таблица3[[#This Row],[Цена продажи с учетом персональной скидки, руб.]]*O46</f>
        <v>107.25</v>
      </c>
      <c r="Q46" s="61"/>
    </row>
    <row r="47" spans="1:17" x14ac:dyDescent="0.25">
      <c r="A47" s="10">
        <f t="shared" si="0"/>
        <v>46</v>
      </c>
      <c r="B47" s="5" t="s">
        <v>418</v>
      </c>
      <c r="C47" s="5">
        <f>IF(OR(B47="Гаврилов Н.А.",Таблица3[[#This Row],[Менеджер по продажам]]="Никифорова В.М."),1,IF(Таблица3[[#This Row],[Менеджер по продажам]]="Соколов Г.П.",3,2))</f>
        <v>1</v>
      </c>
      <c r="D47" s="5" t="s">
        <v>87</v>
      </c>
      <c r="E47" s="5" t="s">
        <v>47</v>
      </c>
      <c r="F47" s="4" t="s">
        <v>17</v>
      </c>
      <c r="G47" s="5" t="str">
        <f>VLOOKUP(Таблица3[[#This Row],[Наименование товара]],Склад!$A$3:$B$8,2,1)</f>
        <v>Porto</v>
      </c>
      <c r="H47" s="14">
        <v>44944</v>
      </c>
      <c r="I47" s="8">
        <f>INT((MONTH(Таблица3[[#This Row],[Дата продажи]])+2)/3)</f>
        <v>1</v>
      </c>
      <c r="J47" s="5">
        <f>INDEX(Склад!$A$3:$M$8, MATCH(Таблица3[[#This Row],[Наименование товара]], Склад!$A$3:$A$8, 0), 9)</f>
        <v>131.76999999999998</v>
      </c>
      <c r="K4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4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47" s="5">
        <v>0.05</v>
      </c>
      <c r="N47" s="5">
        <f>CEILING((Таблица3[[#This Row],[Цена за единицу (с учетом наценки продавца), руб.]] - Таблица3[[#This Row],[Цена за единицу (с учетом наценки продавца), руб.]]*M47),1)</f>
        <v>680</v>
      </c>
      <c r="O47" s="21">
        <f>VLOOKUP(Таблица3[[#This Row],[Менеджер по продажам]],'Справочная информация'!B$2:C$6,2,0)</f>
        <v>0.15</v>
      </c>
      <c r="P47" s="5">
        <f>Таблица3[[#This Row],[Цена продажи с учетом персональной скидки, руб.]]*O47</f>
        <v>102</v>
      </c>
      <c r="Q47" s="61"/>
    </row>
    <row r="48" spans="1:17" x14ac:dyDescent="0.25">
      <c r="A48" s="10">
        <f t="shared" si="0"/>
        <v>47</v>
      </c>
      <c r="B48" s="5" t="s">
        <v>418</v>
      </c>
      <c r="C48" s="5">
        <f>IF(OR(B48="Гаврилов Н.А.",Таблица3[[#This Row],[Менеджер по продажам]]="Никифорова В.М."),1,IF(Таблица3[[#This Row],[Менеджер по продажам]]="Соколов Г.П.",3,2))</f>
        <v>1</v>
      </c>
      <c r="D48" s="5" t="s">
        <v>318</v>
      </c>
      <c r="E48" s="5" t="s">
        <v>11</v>
      </c>
      <c r="F48" s="4" t="s">
        <v>17</v>
      </c>
      <c r="G48" s="5" t="str">
        <f>VLOOKUP(Таблица3[[#This Row],[Наименование товара]],Склад!$A$3:$B$8,2,1)</f>
        <v>Porto</v>
      </c>
      <c r="H48" s="14">
        <v>44997</v>
      </c>
      <c r="I48" s="8">
        <f>INT((MONTH(Таблица3[[#This Row],[Дата продажи]])+2)/3)</f>
        <v>1</v>
      </c>
      <c r="J48" s="5">
        <f>INDEX(Склад!$A$3:$M$8, MATCH(Таблица3[[#This Row],[Наименование товара]], Склад!$A$3:$A$8, 0), 9)</f>
        <v>131.76999999999998</v>
      </c>
      <c r="K4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4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48" s="5">
        <v>0</v>
      </c>
      <c r="N48" s="5">
        <f>CEILING((Таблица3[[#This Row],[Цена за единицу (с учетом наценки продавца), руб.]] - Таблица3[[#This Row],[Цена за единицу (с учетом наценки продавца), руб.]]*M48),1)</f>
        <v>715</v>
      </c>
      <c r="O48" s="21">
        <f>VLOOKUP(Таблица3[[#This Row],[Менеджер по продажам]],'Справочная информация'!B$2:C$6,2,0)</f>
        <v>0.15</v>
      </c>
      <c r="P48" s="5">
        <f>Таблица3[[#This Row],[Цена продажи с учетом персональной скидки, руб.]]*O48</f>
        <v>107.25</v>
      </c>
      <c r="Q48" s="61"/>
    </row>
    <row r="49" spans="1:17" x14ac:dyDescent="0.25">
      <c r="A49" s="10">
        <f t="shared" si="0"/>
        <v>48</v>
      </c>
      <c r="B49" s="5" t="s">
        <v>418</v>
      </c>
      <c r="C49" s="5">
        <f>IF(OR(B49="Гаврилов Н.А.",Таблица3[[#This Row],[Менеджер по продажам]]="Никифорова В.М."),1,IF(Таблица3[[#This Row],[Менеджер по продажам]]="Соколов Г.П.",3,2))</f>
        <v>1</v>
      </c>
      <c r="D49" s="5" t="s">
        <v>268</v>
      </c>
      <c r="E49" s="5" t="s">
        <v>11</v>
      </c>
      <c r="F49" s="4" t="s">
        <v>17</v>
      </c>
      <c r="G49" s="5" t="str">
        <f>VLOOKUP(Таблица3[[#This Row],[Наименование товара]],Склад!$A$3:$B$8,2,1)</f>
        <v>Porto</v>
      </c>
      <c r="H49" s="14">
        <v>44986</v>
      </c>
      <c r="I49" s="8">
        <f>INT((MONTH(Таблица3[[#This Row],[Дата продажи]])+2)/3)</f>
        <v>1</v>
      </c>
      <c r="J49" s="5">
        <f>INDEX(Склад!$A$3:$M$8, MATCH(Таблица3[[#This Row],[Наименование товара]], Склад!$A$3:$A$8, 0), 9)</f>
        <v>131.76999999999998</v>
      </c>
      <c r="K4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4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49" s="5">
        <v>0</v>
      </c>
      <c r="N49" s="5">
        <f>CEILING((Таблица3[[#This Row],[Цена за единицу (с учетом наценки продавца), руб.]] - Таблица3[[#This Row],[Цена за единицу (с учетом наценки продавца), руб.]]*M49),1)</f>
        <v>715</v>
      </c>
      <c r="O49" s="21">
        <f>VLOOKUP(Таблица3[[#This Row],[Менеджер по продажам]],'Справочная информация'!B$2:C$6,2,0)</f>
        <v>0.15</v>
      </c>
      <c r="P49" s="5">
        <f>Таблица3[[#This Row],[Цена продажи с учетом персональной скидки, руб.]]*O49</f>
        <v>107.25</v>
      </c>
      <c r="Q49" s="61"/>
    </row>
    <row r="50" spans="1:17" x14ac:dyDescent="0.25">
      <c r="A50" s="10">
        <f t="shared" si="0"/>
        <v>49</v>
      </c>
      <c r="B50" s="5" t="s">
        <v>418</v>
      </c>
      <c r="C50" s="5">
        <f>IF(OR(B50="Гаврилов Н.А.",Таблица3[[#This Row],[Менеджер по продажам]]="Никифорова В.М."),1,IF(Таблица3[[#This Row],[Менеджер по продажам]]="Соколов Г.П.",3,2))</f>
        <v>1</v>
      </c>
      <c r="D50" s="5" t="s">
        <v>233</v>
      </c>
      <c r="E50" s="5" t="s">
        <v>13</v>
      </c>
      <c r="F50" s="4" t="s">
        <v>17</v>
      </c>
      <c r="G50" s="5" t="str">
        <f>VLOOKUP(Таблица3[[#This Row],[Наименование товара]],Склад!$A$3:$B$8,2,1)</f>
        <v>Porto</v>
      </c>
      <c r="H50" s="14">
        <v>44977</v>
      </c>
      <c r="I50" s="8">
        <f>INT((MONTH(Таблица3[[#This Row],[Дата продажи]])+2)/3)</f>
        <v>1</v>
      </c>
      <c r="J50" s="5">
        <f>INDEX(Склад!$A$3:$M$8, MATCH(Таблица3[[#This Row],[Наименование товара]], Склад!$A$3:$A$8, 0), 9)</f>
        <v>131.76999999999998</v>
      </c>
      <c r="K5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0" s="5">
        <v>0</v>
      </c>
      <c r="N50" s="5">
        <f>CEILING((Таблица3[[#This Row],[Цена за единицу (с учетом наценки продавца), руб.]] - Таблица3[[#This Row],[Цена за единицу (с учетом наценки продавца), руб.]]*M50),1)</f>
        <v>715</v>
      </c>
      <c r="O50" s="21">
        <f>VLOOKUP(Таблица3[[#This Row],[Менеджер по продажам]],'Справочная информация'!B$2:C$6,2,0)</f>
        <v>0.15</v>
      </c>
      <c r="P50" s="5">
        <f>Таблица3[[#This Row],[Цена продажи с учетом персональной скидки, руб.]]*O50</f>
        <v>107.25</v>
      </c>
      <c r="Q50" s="61"/>
    </row>
    <row r="51" spans="1:17" x14ac:dyDescent="0.25">
      <c r="A51" s="10">
        <f t="shared" si="0"/>
        <v>50</v>
      </c>
      <c r="B51" s="5" t="s">
        <v>418</v>
      </c>
      <c r="C51" s="5">
        <f>IF(OR(B51="Гаврилов Н.А.",Таблица3[[#This Row],[Менеджер по продажам]]="Никифорова В.М."),1,IF(Таблица3[[#This Row],[Менеджер по продажам]]="Соколов Г.П.",3,2))</f>
        <v>1</v>
      </c>
      <c r="D51" s="5" t="s">
        <v>227</v>
      </c>
      <c r="E51" s="5" t="s">
        <v>212</v>
      </c>
      <c r="F51" s="4" t="s">
        <v>17</v>
      </c>
      <c r="G51" s="5" t="str">
        <f>VLOOKUP(Таблица3[[#This Row],[Наименование товара]],Склад!$A$3:$B$8,2,1)</f>
        <v>Porto</v>
      </c>
      <c r="H51" s="14">
        <v>44974</v>
      </c>
      <c r="I51" s="8">
        <f>INT((MONTH(Таблица3[[#This Row],[Дата продажи]])+2)/3)</f>
        <v>1</v>
      </c>
      <c r="J51" s="5">
        <f>INDEX(Склад!$A$3:$M$8, MATCH(Таблица3[[#This Row],[Наименование товара]], Склад!$A$3:$A$8, 0), 9)</f>
        <v>131.76999999999998</v>
      </c>
      <c r="K5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1" s="5">
        <v>0</v>
      </c>
      <c r="N51" s="5">
        <f>CEILING((Таблица3[[#This Row],[Цена за единицу (с учетом наценки продавца), руб.]] - Таблица3[[#This Row],[Цена за единицу (с учетом наценки продавца), руб.]]*M51),1)</f>
        <v>715</v>
      </c>
      <c r="O51" s="21">
        <f>VLOOKUP(Таблица3[[#This Row],[Менеджер по продажам]],'Справочная информация'!B$2:C$6,2,0)</f>
        <v>0.15</v>
      </c>
      <c r="P51" s="5">
        <f>Таблица3[[#This Row],[Цена продажи с учетом персональной скидки, руб.]]*O51</f>
        <v>107.25</v>
      </c>
      <c r="Q51" s="61"/>
    </row>
    <row r="52" spans="1:17" x14ac:dyDescent="0.25">
      <c r="A52" s="10">
        <f t="shared" si="0"/>
        <v>51</v>
      </c>
      <c r="B52" s="5" t="s">
        <v>418</v>
      </c>
      <c r="C52" s="5">
        <f>IF(OR(B52="Гаврилов Н.А.",Таблица3[[#This Row],[Менеджер по продажам]]="Никифорова В.М."),1,IF(Таблица3[[#This Row],[Менеджер по продажам]]="Соколов Г.П.",3,2))</f>
        <v>1</v>
      </c>
      <c r="D52" s="5" t="s">
        <v>341</v>
      </c>
      <c r="E52" s="5" t="s">
        <v>212</v>
      </c>
      <c r="F52" s="4" t="s">
        <v>17</v>
      </c>
      <c r="G52" s="5" t="str">
        <f>VLOOKUP(Таблица3[[#This Row],[Наименование товара]],Склад!$A$3:$B$8,2,1)</f>
        <v>Porto</v>
      </c>
      <c r="H52" s="14">
        <v>45001</v>
      </c>
      <c r="I52" s="8">
        <f>INT((MONTH(Таблица3[[#This Row],[Дата продажи]])+2)/3)</f>
        <v>1</v>
      </c>
      <c r="J52" s="5">
        <f>INDEX(Склад!$A$3:$M$8, MATCH(Таблица3[[#This Row],[Наименование товара]], Склад!$A$3:$A$8, 0), 9)</f>
        <v>131.76999999999998</v>
      </c>
      <c r="K5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2" s="5">
        <v>0</v>
      </c>
      <c r="N52" s="5">
        <f>CEILING((Таблица3[[#This Row],[Цена за единицу (с учетом наценки продавца), руб.]] - Таблица3[[#This Row],[Цена за единицу (с учетом наценки продавца), руб.]]*M52),1)</f>
        <v>715</v>
      </c>
      <c r="O52" s="21">
        <f>VLOOKUP(Таблица3[[#This Row],[Менеджер по продажам]],'Справочная информация'!B$2:C$6,2,0)</f>
        <v>0.15</v>
      </c>
      <c r="P52" s="5">
        <f>Таблица3[[#This Row],[Цена продажи с учетом персональной скидки, руб.]]*O52</f>
        <v>107.25</v>
      </c>
      <c r="Q52" s="61"/>
    </row>
    <row r="53" spans="1:17" x14ac:dyDescent="0.25">
      <c r="A53" s="10">
        <f t="shared" si="0"/>
        <v>52</v>
      </c>
      <c r="B53" s="5" t="s">
        <v>418</v>
      </c>
      <c r="C53" s="5">
        <f>IF(OR(B53="Гаврилов Н.А.",Таблица3[[#This Row],[Менеджер по продажам]]="Никифорова В.М."),1,IF(Таблица3[[#This Row],[Менеджер по продажам]]="Соколов Г.П.",3,2))</f>
        <v>1</v>
      </c>
      <c r="D53" s="5" t="s">
        <v>243</v>
      </c>
      <c r="E53" s="5" t="s">
        <v>212</v>
      </c>
      <c r="F53" s="4" t="s">
        <v>17</v>
      </c>
      <c r="G53" s="5" t="str">
        <f>VLOOKUP(Таблица3[[#This Row],[Наименование товара]],Склад!$A$3:$B$8,2,1)</f>
        <v>Porto</v>
      </c>
      <c r="H53" s="14">
        <v>44979</v>
      </c>
      <c r="I53" s="8">
        <f>INT((MONTH(Таблица3[[#This Row],[Дата продажи]])+2)/3)</f>
        <v>1</v>
      </c>
      <c r="J53" s="5">
        <f>INDEX(Склад!$A$3:$M$8, MATCH(Таблица3[[#This Row],[Наименование товара]], Склад!$A$3:$A$8, 0), 9)</f>
        <v>131.76999999999998</v>
      </c>
      <c r="K5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3" s="5">
        <v>0</v>
      </c>
      <c r="N53" s="5">
        <f>CEILING((Таблица3[[#This Row],[Цена за единицу (с учетом наценки продавца), руб.]] - Таблица3[[#This Row],[Цена за единицу (с учетом наценки продавца), руб.]]*M53),1)</f>
        <v>715</v>
      </c>
      <c r="O53" s="21">
        <f>VLOOKUP(Таблица3[[#This Row],[Менеджер по продажам]],'Справочная информация'!B$2:C$6,2,0)</f>
        <v>0.15</v>
      </c>
      <c r="P53" s="5">
        <f>Таблица3[[#This Row],[Цена продажи с учетом персональной скидки, руб.]]*O53</f>
        <v>107.25</v>
      </c>
      <c r="Q53" s="61"/>
    </row>
    <row r="54" spans="1:17" x14ac:dyDescent="0.25">
      <c r="A54" s="10">
        <f t="shared" si="0"/>
        <v>53</v>
      </c>
      <c r="B54" s="5" t="s">
        <v>418</v>
      </c>
      <c r="C54" s="5">
        <f>IF(OR(B54="Гаврилов Н.А.",Таблица3[[#This Row],[Менеджер по продажам]]="Никифорова В.М."),1,IF(Таблица3[[#This Row],[Менеджер по продажам]]="Соколов Г.П.",3,2))</f>
        <v>1</v>
      </c>
      <c r="D54" s="5" t="s">
        <v>234</v>
      </c>
      <c r="E54" s="5" t="s">
        <v>78</v>
      </c>
      <c r="F54" s="4" t="s">
        <v>17</v>
      </c>
      <c r="G54" s="5" t="str">
        <f>VLOOKUP(Таблица3[[#This Row],[Наименование товара]],Склад!$A$3:$B$8,2,1)</f>
        <v>Porto</v>
      </c>
      <c r="H54" s="14">
        <v>44977</v>
      </c>
      <c r="I54" s="8">
        <f>INT((MONTH(Таблица3[[#This Row],[Дата продажи]])+2)/3)</f>
        <v>1</v>
      </c>
      <c r="J54" s="5">
        <f>INDEX(Склад!$A$3:$M$8, MATCH(Таблица3[[#This Row],[Наименование товара]], Склад!$A$3:$A$8, 0), 9)</f>
        <v>131.76999999999998</v>
      </c>
      <c r="K5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4" s="5">
        <v>0</v>
      </c>
      <c r="N54" s="5">
        <f>CEILING((Таблица3[[#This Row],[Цена за единицу (с учетом наценки продавца), руб.]] - Таблица3[[#This Row],[Цена за единицу (с учетом наценки продавца), руб.]]*M54),1)</f>
        <v>715</v>
      </c>
      <c r="O54" s="21">
        <f>VLOOKUP(Таблица3[[#This Row],[Менеджер по продажам]],'Справочная информация'!B$2:C$6,2,0)</f>
        <v>0.15</v>
      </c>
      <c r="P54" s="5">
        <f>Таблица3[[#This Row],[Цена продажи с учетом персональной скидки, руб.]]*O54</f>
        <v>107.25</v>
      </c>
      <c r="Q54" s="61"/>
    </row>
    <row r="55" spans="1:17" x14ac:dyDescent="0.25">
      <c r="A55" s="10">
        <f t="shared" si="0"/>
        <v>54</v>
      </c>
      <c r="B55" s="5" t="s">
        <v>418</v>
      </c>
      <c r="C55" s="5">
        <f>IF(OR(B55="Гаврилов Н.А.",Таблица3[[#This Row],[Менеджер по продажам]]="Никифорова В.М."),1,IF(Таблица3[[#This Row],[Менеджер по продажам]]="Соколов Г.П.",3,2))</f>
        <v>1</v>
      </c>
      <c r="D55" s="5" t="s">
        <v>270</v>
      </c>
      <c r="E55" s="5" t="s">
        <v>11</v>
      </c>
      <c r="F55" s="4" t="s">
        <v>17</v>
      </c>
      <c r="G55" s="5" t="str">
        <f>VLOOKUP(Таблица3[[#This Row],[Наименование товара]],Склад!$A$3:$B$8,2,1)</f>
        <v>Porto</v>
      </c>
      <c r="H55" s="14">
        <v>44986</v>
      </c>
      <c r="I55" s="8">
        <f>INT((MONTH(Таблица3[[#This Row],[Дата продажи]])+2)/3)</f>
        <v>1</v>
      </c>
      <c r="J55" s="5">
        <f>INDEX(Склад!$A$3:$M$8, MATCH(Таблица3[[#This Row],[Наименование товара]], Склад!$A$3:$A$8, 0), 9)</f>
        <v>131.76999999999998</v>
      </c>
      <c r="K5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5" s="5">
        <v>0</v>
      </c>
      <c r="N55" s="5">
        <f>CEILING((Таблица3[[#This Row],[Цена за единицу (с учетом наценки продавца), руб.]] - Таблица3[[#This Row],[Цена за единицу (с учетом наценки продавца), руб.]]*M55),1)</f>
        <v>715</v>
      </c>
      <c r="O55" s="21">
        <f>VLOOKUP(Таблица3[[#This Row],[Менеджер по продажам]],'Справочная информация'!B$2:C$6,2,0)</f>
        <v>0.15</v>
      </c>
      <c r="P55" s="5">
        <f>Таблица3[[#This Row],[Цена продажи с учетом персональной скидки, руб.]]*O55</f>
        <v>107.25</v>
      </c>
      <c r="Q55" s="61"/>
    </row>
    <row r="56" spans="1:17" x14ac:dyDescent="0.25">
      <c r="A56" s="10">
        <f t="shared" si="0"/>
        <v>55</v>
      </c>
      <c r="B56" s="5" t="s">
        <v>418</v>
      </c>
      <c r="C56" s="5">
        <f>IF(OR(B56="Гаврилов Н.А.",Таблица3[[#This Row],[Менеджер по продажам]]="Никифорова В.М."),1,IF(Таблица3[[#This Row],[Менеджер по продажам]]="Соколов Г.П.",3,2))</f>
        <v>1</v>
      </c>
      <c r="D56" s="5" t="s">
        <v>105</v>
      </c>
      <c r="E56" s="5" t="s">
        <v>31</v>
      </c>
      <c r="F56" s="4" t="s">
        <v>17</v>
      </c>
      <c r="G56" s="5" t="str">
        <f>VLOOKUP(Таблица3[[#This Row],[Наименование товара]],Склад!$A$3:$B$8,2,1)</f>
        <v>Porto</v>
      </c>
      <c r="H56" s="14">
        <v>44948</v>
      </c>
      <c r="I56" s="8">
        <f>INT((MONTH(Таблица3[[#This Row],[Дата продажи]])+2)/3)</f>
        <v>1</v>
      </c>
      <c r="J56" s="5">
        <f>INDEX(Склад!$A$3:$M$8, MATCH(Таблица3[[#This Row],[Наименование товара]], Склад!$A$3:$A$8, 0), 9)</f>
        <v>131.76999999999998</v>
      </c>
      <c r="K5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6" s="5">
        <v>0</v>
      </c>
      <c r="N56" s="5">
        <f>CEILING((Таблица3[[#This Row],[Цена за единицу (с учетом наценки продавца), руб.]] - Таблица3[[#This Row],[Цена за единицу (с учетом наценки продавца), руб.]]*M56),1)</f>
        <v>715</v>
      </c>
      <c r="O56" s="21">
        <f>VLOOKUP(Таблица3[[#This Row],[Менеджер по продажам]],'Справочная информация'!B$2:C$6,2,0)</f>
        <v>0.15</v>
      </c>
      <c r="P56" s="5">
        <f>Таблица3[[#This Row],[Цена продажи с учетом персональной скидки, руб.]]*O56</f>
        <v>107.25</v>
      </c>
      <c r="Q56" s="61"/>
    </row>
    <row r="57" spans="1:17" x14ac:dyDescent="0.25">
      <c r="A57" s="10">
        <f t="shared" si="0"/>
        <v>56</v>
      </c>
      <c r="B57" s="5" t="s">
        <v>418</v>
      </c>
      <c r="C57" s="5">
        <f>IF(OR(B57="Гаврилов Н.А.",Таблица3[[#This Row],[Менеджер по продажам]]="Никифорова В.М."),1,IF(Таблица3[[#This Row],[Менеджер по продажам]]="Соколов Г.П.",3,2))</f>
        <v>1</v>
      </c>
      <c r="D57" s="5" t="s">
        <v>181</v>
      </c>
      <c r="E57" s="5" t="s">
        <v>13</v>
      </c>
      <c r="F57" s="4" t="s">
        <v>17</v>
      </c>
      <c r="G57" s="5" t="str">
        <f>VLOOKUP(Таблица3[[#This Row],[Наименование товара]],Склад!$A$3:$B$8,2,1)</f>
        <v>Porto</v>
      </c>
      <c r="H57" s="14">
        <v>44964</v>
      </c>
      <c r="I57" s="8">
        <f>INT((MONTH(Таблица3[[#This Row],[Дата продажи]])+2)/3)</f>
        <v>1</v>
      </c>
      <c r="J57" s="5">
        <f>INDEX(Склад!$A$3:$M$8, MATCH(Таблица3[[#This Row],[Наименование товара]], Склад!$A$3:$A$8, 0), 9)</f>
        <v>131.76999999999998</v>
      </c>
      <c r="K5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7" s="5">
        <v>0</v>
      </c>
      <c r="N57" s="5">
        <f>CEILING((Таблица3[[#This Row],[Цена за единицу (с учетом наценки продавца), руб.]] - Таблица3[[#This Row],[Цена за единицу (с учетом наценки продавца), руб.]]*M57),1)</f>
        <v>715</v>
      </c>
      <c r="O57" s="21">
        <f>VLOOKUP(Таблица3[[#This Row],[Менеджер по продажам]],'Справочная информация'!B$2:C$6,2,0)</f>
        <v>0.15</v>
      </c>
      <c r="P57" s="5">
        <f>Таблица3[[#This Row],[Цена продажи с учетом персональной скидки, руб.]]*O57</f>
        <v>107.25</v>
      </c>
      <c r="Q57" s="61"/>
    </row>
    <row r="58" spans="1:17" x14ac:dyDescent="0.25">
      <c r="A58" s="10">
        <f t="shared" si="0"/>
        <v>57</v>
      </c>
      <c r="B58" s="5" t="s">
        <v>418</v>
      </c>
      <c r="C58" s="5">
        <f>IF(OR(B58="Гаврилов Н.А.",Таблица3[[#This Row],[Менеджер по продажам]]="Никифорова В.М."),1,IF(Таблица3[[#This Row],[Менеджер по продажам]]="Соколов Г.П.",3,2))</f>
        <v>1</v>
      </c>
      <c r="D58" s="5" t="s">
        <v>68</v>
      </c>
      <c r="E58" s="5" t="s">
        <v>13</v>
      </c>
      <c r="F58" s="4" t="s">
        <v>17</v>
      </c>
      <c r="G58" s="5" t="str">
        <f>VLOOKUP(Таблица3[[#This Row],[Наименование товара]],Склад!$A$3:$B$8,2,1)</f>
        <v>Porto</v>
      </c>
      <c r="H58" s="14">
        <v>44939</v>
      </c>
      <c r="I58" s="8">
        <f>INT((MONTH(Таблица3[[#This Row],[Дата продажи]])+2)/3)</f>
        <v>1</v>
      </c>
      <c r="J58" s="5">
        <f>INDEX(Склад!$A$3:$M$8, MATCH(Таблица3[[#This Row],[Наименование товара]], Склад!$A$3:$A$8, 0), 9)</f>
        <v>131.76999999999998</v>
      </c>
      <c r="K5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8" s="5">
        <v>0</v>
      </c>
      <c r="N58" s="5">
        <f>CEILING((Таблица3[[#This Row],[Цена за единицу (с учетом наценки продавца), руб.]] - Таблица3[[#This Row],[Цена за единицу (с учетом наценки продавца), руб.]]*M58),1)</f>
        <v>715</v>
      </c>
      <c r="O58" s="21">
        <f>VLOOKUP(Таблица3[[#This Row],[Менеджер по продажам]],'Справочная информация'!B$2:C$6,2,0)</f>
        <v>0.15</v>
      </c>
      <c r="P58" s="5">
        <f>Таблица3[[#This Row],[Цена продажи с учетом персональной скидки, руб.]]*O58</f>
        <v>107.25</v>
      </c>
      <c r="Q58" s="61"/>
    </row>
    <row r="59" spans="1:17" x14ac:dyDescent="0.25">
      <c r="A59" s="10">
        <f t="shared" si="0"/>
        <v>58</v>
      </c>
      <c r="B59" s="5" t="s">
        <v>418</v>
      </c>
      <c r="C59" s="5">
        <f>IF(OR(B59="Гаврилов Н.А.",Таблица3[[#This Row],[Менеджер по продажам]]="Никифорова В.М."),1,IF(Таблица3[[#This Row],[Менеджер по продажам]]="Соколов Г.П.",3,2))</f>
        <v>1</v>
      </c>
      <c r="D59" s="5" t="s">
        <v>42</v>
      </c>
      <c r="E59" s="5" t="s">
        <v>11</v>
      </c>
      <c r="F59" s="4" t="s">
        <v>17</v>
      </c>
      <c r="G59" s="5" t="str">
        <f>VLOOKUP(Таблица3[[#This Row],[Наименование товара]],Склад!$A$3:$B$8,2,1)</f>
        <v>Porto</v>
      </c>
      <c r="H59" s="14">
        <v>44934</v>
      </c>
      <c r="I59" s="8">
        <f>INT((MONTH(Таблица3[[#This Row],[Дата продажи]])+2)/3)</f>
        <v>1</v>
      </c>
      <c r="J59" s="5">
        <f>INDEX(Склад!$A$3:$M$8, MATCH(Таблица3[[#This Row],[Наименование товара]], Склад!$A$3:$A$8, 0), 9)</f>
        <v>131.76999999999998</v>
      </c>
      <c r="K5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5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59" s="5">
        <v>0</v>
      </c>
      <c r="N59" s="5">
        <f>CEILING((Таблица3[[#This Row],[Цена за единицу (с учетом наценки продавца), руб.]] - Таблица3[[#This Row],[Цена за единицу (с учетом наценки продавца), руб.]]*M59),1)</f>
        <v>715</v>
      </c>
      <c r="O59" s="21">
        <f>VLOOKUP(Таблица3[[#This Row],[Менеджер по продажам]],'Справочная информация'!B$2:C$6,2,0)</f>
        <v>0.15</v>
      </c>
      <c r="P59" s="5">
        <f>Таблица3[[#This Row],[Цена продажи с учетом персональной скидки, руб.]]*O59</f>
        <v>107.25</v>
      </c>
      <c r="Q59" s="61"/>
    </row>
    <row r="60" spans="1:17" x14ac:dyDescent="0.25">
      <c r="A60" s="10">
        <f t="shared" si="0"/>
        <v>59</v>
      </c>
      <c r="B60" s="5" t="s">
        <v>418</v>
      </c>
      <c r="C60" s="5">
        <f>IF(OR(B60="Гаврилов Н.А.",Таблица3[[#This Row],[Менеджер по продажам]]="Никифорова В.М."),1,IF(Таблица3[[#This Row],[Менеджер по продажам]]="Соколов Г.П.",3,2))</f>
        <v>1</v>
      </c>
      <c r="D60" s="5" t="s">
        <v>148</v>
      </c>
      <c r="E60" s="5" t="s">
        <v>11</v>
      </c>
      <c r="F60" s="4" t="s">
        <v>17</v>
      </c>
      <c r="G60" s="5" t="str">
        <f>VLOOKUP(Таблица3[[#This Row],[Наименование товара]],Склад!$A$3:$B$8,2,1)</f>
        <v>Porto</v>
      </c>
      <c r="H60" s="14">
        <v>44957</v>
      </c>
      <c r="I60" s="8">
        <f>INT((MONTH(Таблица3[[#This Row],[Дата продажи]])+2)/3)</f>
        <v>1</v>
      </c>
      <c r="J60" s="5">
        <f>INDEX(Склад!$A$3:$M$8, MATCH(Таблица3[[#This Row],[Наименование товара]], Склад!$A$3:$A$8, 0), 9)</f>
        <v>131.76999999999998</v>
      </c>
      <c r="K6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6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60" s="5">
        <v>0</v>
      </c>
      <c r="N60" s="5">
        <f>CEILING((Таблица3[[#This Row],[Цена за единицу (с учетом наценки продавца), руб.]] - Таблица3[[#This Row],[Цена за единицу (с учетом наценки продавца), руб.]]*M60),1)</f>
        <v>715</v>
      </c>
      <c r="O60" s="21">
        <f>VLOOKUP(Таблица3[[#This Row],[Менеджер по продажам]],'Справочная информация'!B$2:C$6,2,0)</f>
        <v>0.15</v>
      </c>
      <c r="P60" s="5">
        <f>Таблица3[[#This Row],[Цена продажи с учетом персональной скидки, руб.]]*O60</f>
        <v>107.25</v>
      </c>
      <c r="Q60" s="61"/>
    </row>
    <row r="61" spans="1:17" x14ac:dyDescent="0.25">
      <c r="A61" s="10">
        <f t="shared" si="0"/>
        <v>60</v>
      </c>
      <c r="B61" s="5" t="s">
        <v>418</v>
      </c>
      <c r="C61" s="5">
        <f>IF(OR(B61="Гаврилов Н.А.",Таблица3[[#This Row],[Менеджер по продажам]]="Никифорова В.М."),1,IF(Таблица3[[#This Row],[Менеджер по продажам]]="Соколов Г.П.",3,2))</f>
        <v>1</v>
      </c>
      <c r="D61" s="5" t="s">
        <v>43</v>
      </c>
      <c r="E61" s="5" t="s">
        <v>11</v>
      </c>
      <c r="F61" s="4" t="s">
        <v>17</v>
      </c>
      <c r="G61" s="5" t="str">
        <f>VLOOKUP(Таблица3[[#This Row],[Наименование товара]],Склад!$A$3:$B$8,2,1)</f>
        <v>Porto</v>
      </c>
      <c r="H61" s="14">
        <v>44934</v>
      </c>
      <c r="I61" s="8">
        <f>INT((MONTH(Таблица3[[#This Row],[Дата продажи]])+2)/3)</f>
        <v>1</v>
      </c>
      <c r="J61" s="5">
        <f>INDEX(Склад!$A$3:$M$8, MATCH(Таблица3[[#This Row],[Наименование товара]], Склад!$A$3:$A$8, 0), 9)</f>
        <v>131.76999999999998</v>
      </c>
      <c r="K6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6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61" s="5">
        <v>0</v>
      </c>
      <c r="N61" s="5">
        <f>CEILING((Таблица3[[#This Row],[Цена за единицу (с учетом наценки продавца), руб.]] - Таблица3[[#This Row],[Цена за единицу (с учетом наценки продавца), руб.]]*M61),1)</f>
        <v>715</v>
      </c>
      <c r="O61" s="21">
        <f>VLOOKUP(Таблица3[[#This Row],[Менеджер по продажам]],'Справочная информация'!B$2:C$6,2,0)</f>
        <v>0.15</v>
      </c>
      <c r="P61" s="5">
        <f>Таблица3[[#This Row],[Цена продажи с учетом персональной скидки, руб.]]*O61</f>
        <v>107.25</v>
      </c>
      <c r="Q61" s="61"/>
    </row>
    <row r="62" spans="1:17" x14ac:dyDescent="0.25">
      <c r="A62" s="10">
        <f t="shared" si="0"/>
        <v>61</v>
      </c>
      <c r="B62" s="5" t="s">
        <v>418</v>
      </c>
      <c r="C62" s="5">
        <f>IF(OR(B62="Гаврилов Н.А.",Таблица3[[#This Row],[Менеджер по продажам]]="Никифорова В.М."),1,IF(Таблица3[[#This Row],[Менеджер по продажам]]="Соколов Г.П.",3,2))</f>
        <v>1</v>
      </c>
      <c r="D62" s="5" t="s">
        <v>108</v>
      </c>
      <c r="E62" s="5" t="s">
        <v>78</v>
      </c>
      <c r="F62" s="4" t="s">
        <v>17</v>
      </c>
      <c r="G62" s="5" t="str">
        <f>VLOOKUP(Таблица3[[#This Row],[Наименование товара]],Склад!$A$3:$B$8,2,1)</f>
        <v>Porto</v>
      </c>
      <c r="H62" s="14">
        <v>44948</v>
      </c>
      <c r="I62" s="8">
        <f>INT((MONTH(Таблица3[[#This Row],[Дата продажи]])+2)/3)</f>
        <v>1</v>
      </c>
      <c r="J62" s="5">
        <f>INDEX(Склад!$A$3:$M$8, MATCH(Таблица3[[#This Row],[Наименование товара]], Склад!$A$3:$A$8, 0), 9)</f>
        <v>131.76999999999998</v>
      </c>
      <c r="K6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6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62" s="5">
        <v>0</v>
      </c>
      <c r="N62" s="5">
        <f>CEILING((Таблица3[[#This Row],[Цена за единицу (с учетом наценки продавца), руб.]] - Таблица3[[#This Row],[Цена за единицу (с учетом наценки продавца), руб.]]*M62),1)</f>
        <v>715</v>
      </c>
      <c r="O62" s="21">
        <f>VLOOKUP(Таблица3[[#This Row],[Менеджер по продажам]],'Справочная информация'!B$2:C$6,2,0)</f>
        <v>0.15</v>
      </c>
      <c r="P62" s="5">
        <f>Таблица3[[#This Row],[Цена продажи с учетом персональной скидки, руб.]]*O62</f>
        <v>107.25</v>
      </c>
      <c r="Q62" s="61"/>
    </row>
    <row r="63" spans="1:17" x14ac:dyDescent="0.25">
      <c r="A63" s="10">
        <f t="shared" si="0"/>
        <v>62</v>
      </c>
      <c r="B63" s="5" t="s">
        <v>418</v>
      </c>
      <c r="C63" s="5">
        <f>IF(OR(B63="Гаврилов Н.А.",Таблица3[[#This Row],[Менеджер по продажам]]="Никифорова В.М."),1,IF(Таблица3[[#This Row],[Менеджер по продажам]]="Соколов Г.П.",3,2))</f>
        <v>1</v>
      </c>
      <c r="D63" s="5" t="s">
        <v>41</v>
      </c>
      <c r="E63" s="5" t="s">
        <v>31</v>
      </c>
      <c r="F63" s="4" t="s">
        <v>15</v>
      </c>
      <c r="G63" s="5" t="str">
        <f>VLOOKUP(Таблица3[[#This Row],[Наименование товара]],Склад!$A$3:$B$8,2,1)</f>
        <v>Gmt</v>
      </c>
      <c r="H63" s="14">
        <v>44934</v>
      </c>
      <c r="I63" s="8">
        <f>INT((MONTH(Таблица3[[#This Row],[Дата продажи]])+2)/3)</f>
        <v>1</v>
      </c>
      <c r="J63" s="5">
        <f>INDEX(Склад!$A$3:$M$8, MATCH(Таблица3[[#This Row],[Наименование товара]], Склад!$A$3:$A$8, 0), 9)</f>
        <v>314.15999999999997</v>
      </c>
      <c r="K6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6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63" s="5">
        <v>0</v>
      </c>
      <c r="N63" s="5">
        <f>CEILING((Таблица3[[#This Row],[Цена за единицу (с учетом наценки продавца), руб.]] - Таблица3[[#This Row],[Цена за единицу (с учетом наценки продавца), руб.]]*M63),1)</f>
        <v>1120</v>
      </c>
      <c r="O63" s="21">
        <f>VLOOKUP(Таблица3[[#This Row],[Менеджер по продажам]],'Справочная информация'!B$2:C$6,2,0)</f>
        <v>0.15</v>
      </c>
      <c r="P63" s="5">
        <f>Таблица3[[#This Row],[Цена продажи с учетом персональной скидки, руб.]]*O63</f>
        <v>168</v>
      </c>
      <c r="Q63" s="61"/>
    </row>
    <row r="64" spans="1:17" x14ac:dyDescent="0.25">
      <c r="A64" s="10">
        <f t="shared" si="0"/>
        <v>63</v>
      </c>
      <c r="B64" s="5" t="s">
        <v>418</v>
      </c>
      <c r="C64" s="5">
        <f>IF(OR(B64="Гаврилов Н.А.",Таблица3[[#This Row],[Менеджер по продажам]]="Никифорова В.М."),1,IF(Таблица3[[#This Row],[Менеджер по продажам]]="Соколов Г.П.",3,2))</f>
        <v>1</v>
      </c>
      <c r="D64" s="5" t="s">
        <v>87</v>
      </c>
      <c r="E64" s="5" t="s">
        <v>47</v>
      </c>
      <c r="F64" s="4" t="s">
        <v>15</v>
      </c>
      <c r="G64" s="5" t="str">
        <f>VLOOKUP(Таблица3[[#This Row],[Наименование товара]],Склад!$A$3:$B$8,2,1)</f>
        <v>Gmt</v>
      </c>
      <c r="H64" s="14">
        <v>44944</v>
      </c>
      <c r="I64" s="8">
        <f>INT((MONTH(Таблица3[[#This Row],[Дата продажи]])+2)/3)</f>
        <v>1</v>
      </c>
      <c r="J64" s="5">
        <f>INDEX(Склад!$A$3:$M$8, MATCH(Таблица3[[#This Row],[Наименование товара]], Склад!$A$3:$A$8, 0), 9)</f>
        <v>314.15999999999997</v>
      </c>
      <c r="K6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6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64" s="5">
        <v>0</v>
      </c>
      <c r="N64" s="5">
        <f>CEILING((Таблица3[[#This Row],[Цена за единицу (с учетом наценки продавца), руб.]] - Таблица3[[#This Row],[Цена за единицу (с учетом наценки продавца), руб.]]*M64),1)</f>
        <v>1120</v>
      </c>
      <c r="O64" s="21">
        <f>VLOOKUP(Таблица3[[#This Row],[Менеджер по продажам]],'Справочная информация'!B$2:C$6,2,0)</f>
        <v>0.15</v>
      </c>
      <c r="P64" s="5">
        <f>Таблица3[[#This Row],[Цена продажи с учетом персональной скидки, руб.]]*O64</f>
        <v>168</v>
      </c>
      <c r="Q64" s="61"/>
    </row>
    <row r="65" spans="1:17" x14ac:dyDescent="0.25">
      <c r="A65" s="10">
        <f t="shared" si="0"/>
        <v>64</v>
      </c>
      <c r="B65" s="5" t="s">
        <v>418</v>
      </c>
      <c r="C65" s="5">
        <f>IF(OR(B65="Гаврилов Н.А.",Таблица3[[#This Row],[Менеджер по продажам]]="Никифорова В.М."),1,IF(Таблица3[[#This Row],[Менеджер по продажам]]="Соколов Г.П.",3,2))</f>
        <v>1</v>
      </c>
      <c r="D65" s="5" t="s">
        <v>373</v>
      </c>
      <c r="E65" s="5" t="s">
        <v>94</v>
      </c>
      <c r="F65" s="4" t="s">
        <v>15</v>
      </c>
      <c r="G65" s="5" t="str">
        <f>VLOOKUP(Таблица3[[#This Row],[Наименование товара]],Склад!$A$3:$B$8,2,1)</f>
        <v>Gmt</v>
      </c>
      <c r="H65" s="14">
        <v>45008</v>
      </c>
      <c r="I65" s="8">
        <f>INT((MONTH(Таблица3[[#This Row],[Дата продажи]])+2)/3)</f>
        <v>1</v>
      </c>
      <c r="J65" s="5">
        <f>INDEX(Склад!$A$3:$M$8, MATCH(Таблица3[[#This Row],[Наименование товара]], Склад!$A$3:$A$8, 0), 9)</f>
        <v>314.15999999999997</v>
      </c>
      <c r="K65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6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65" s="5">
        <v>0</v>
      </c>
      <c r="N65" s="5">
        <f>CEILING((Таблица3[[#This Row],[Цена за единицу (с учетом наценки продавца), руб.]] - Таблица3[[#This Row],[Цена за единицу (с учетом наценки продавца), руб.]]*M65),1)</f>
        <v>1120</v>
      </c>
      <c r="O65" s="21">
        <f>VLOOKUP(Таблица3[[#This Row],[Менеджер по продажам]],'Справочная информация'!B$2:C$6,2,0)</f>
        <v>0.15</v>
      </c>
      <c r="P65" s="5">
        <f>Таблица3[[#This Row],[Цена продажи с учетом персональной скидки, руб.]]*O65</f>
        <v>168</v>
      </c>
      <c r="Q65" s="61"/>
    </row>
    <row r="66" spans="1:17" x14ac:dyDescent="0.25">
      <c r="A66" s="10">
        <f t="shared" si="0"/>
        <v>65</v>
      </c>
      <c r="B66" s="5" t="s">
        <v>418</v>
      </c>
      <c r="C66" s="5">
        <f>IF(OR(B66="Гаврилов Н.А.",Таблица3[[#This Row],[Менеджер по продажам]]="Никифорова В.М."),1,IF(Таблица3[[#This Row],[Менеджер по продажам]]="Соколов Г.П.",3,2))</f>
        <v>1</v>
      </c>
      <c r="D66" s="5" t="s">
        <v>241</v>
      </c>
      <c r="E66" s="5" t="s">
        <v>11</v>
      </c>
      <c r="F66" s="4" t="s">
        <v>15</v>
      </c>
      <c r="G66" s="5" t="str">
        <f>VLOOKUP(Таблица3[[#This Row],[Наименование товара]],Склад!$A$3:$B$8,2,1)</f>
        <v>Gmt</v>
      </c>
      <c r="H66" s="14">
        <v>44978</v>
      </c>
      <c r="I66" s="8">
        <f>INT((MONTH(Таблица3[[#This Row],[Дата продажи]])+2)/3)</f>
        <v>1</v>
      </c>
      <c r="J66" s="5">
        <f>INDEX(Склад!$A$3:$M$8, MATCH(Таблица3[[#This Row],[Наименование товара]], Склад!$A$3:$A$8, 0), 9)</f>
        <v>314.15999999999997</v>
      </c>
      <c r="K66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6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66" s="5">
        <v>0</v>
      </c>
      <c r="N66" s="5">
        <f>CEILING((Таблица3[[#This Row],[Цена за единицу (с учетом наценки продавца), руб.]] - Таблица3[[#This Row],[Цена за единицу (с учетом наценки продавца), руб.]]*M66),1)</f>
        <v>1120</v>
      </c>
      <c r="O66" s="21">
        <f>VLOOKUP(Таблица3[[#This Row],[Менеджер по продажам]],'Справочная информация'!B$2:C$6,2,0)</f>
        <v>0.15</v>
      </c>
      <c r="P66" s="5">
        <f>Таблица3[[#This Row],[Цена продажи с учетом персональной скидки, руб.]]*O66</f>
        <v>168</v>
      </c>
      <c r="Q66" s="61"/>
    </row>
    <row r="67" spans="1:17" x14ac:dyDescent="0.25">
      <c r="A67" s="10">
        <f t="shared" ref="A67:A130" si="1">ROW(A67)-1</f>
        <v>66</v>
      </c>
      <c r="B67" s="5" t="s">
        <v>418</v>
      </c>
      <c r="C67" s="5">
        <f>IF(OR(B67="Гаврилов Н.А.",Таблица3[[#This Row],[Менеджер по продажам]]="Никифорова В.М."),1,IF(Таблица3[[#This Row],[Менеджер по продажам]]="Соколов Г.П.",3,2))</f>
        <v>1</v>
      </c>
      <c r="D67" s="5" t="s">
        <v>141</v>
      </c>
      <c r="E67" s="5" t="s">
        <v>11</v>
      </c>
      <c r="F67" s="4" t="s">
        <v>15</v>
      </c>
      <c r="G67" s="5" t="str">
        <f>VLOOKUP(Таблица3[[#This Row],[Наименование товара]],Склад!$A$3:$B$8,2,1)</f>
        <v>Gmt</v>
      </c>
      <c r="H67" s="14">
        <v>44956</v>
      </c>
      <c r="I67" s="8">
        <f>INT((MONTH(Таблица3[[#This Row],[Дата продажи]])+2)/3)</f>
        <v>1</v>
      </c>
      <c r="J67" s="5">
        <f>INDEX(Склад!$A$3:$M$8, MATCH(Таблица3[[#This Row],[Наименование товара]], Склад!$A$3:$A$8, 0), 9)</f>
        <v>314.15999999999997</v>
      </c>
      <c r="K67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6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67" s="5">
        <v>0</v>
      </c>
      <c r="N67" s="5">
        <f>CEILING((Таблица3[[#This Row],[Цена за единицу (с учетом наценки продавца), руб.]] - Таблица3[[#This Row],[Цена за единицу (с учетом наценки продавца), руб.]]*M67),1)</f>
        <v>1120</v>
      </c>
      <c r="O67" s="21">
        <f>VLOOKUP(Таблица3[[#This Row],[Менеджер по продажам]],'Справочная информация'!B$2:C$6,2,0)</f>
        <v>0.15</v>
      </c>
      <c r="P67" s="5">
        <f>Таблица3[[#This Row],[Цена продажи с учетом персональной скидки, руб.]]*O67</f>
        <v>168</v>
      </c>
      <c r="Q67" s="61"/>
    </row>
    <row r="68" spans="1:17" x14ac:dyDescent="0.25">
      <c r="A68" s="10">
        <f t="shared" si="1"/>
        <v>67</v>
      </c>
      <c r="B68" s="5" t="s">
        <v>419</v>
      </c>
      <c r="C68" s="5">
        <f>IF(OR(B68="Гаврилов Н.А.",Таблица3[[#This Row],[Менеджер по продажам]]="Никифорова В.М."),1,IF(Таблица3[[#This Row],[Менеджер по продажам]]="Соколов Г.П.",3,2))</f>
        <v>2</v>
      </c>
      <c r="D68" s="5" t="s">
        <v>340</v>
      </c>
      <c r="E68" s="5" t="s">
        <v>34</v>
      </c>
      <c r="F68" s="4" t="s">
        <v>5</v>
      </c>
      <c r="G68" s="5" t="str">
        <f>VLOOKUP(Таблица3[[#This Row],[Наименование товара]],Склад!$A$3:$B$8,2,1)</f>
        <v>Person</v>
      </c>
      <c r="H68" s="14">
        <v>45001</v>
      </c>
      <c r="I68" s="8">
        <f>INT((MONTH(Таблица3[[#This Row],[Дата продажи]])+2)/3)</f>
        <v>1</v>
      </c>
      <c r="J68" s="5">
        <f>INDEX(Склад!$A$3:$M$8, MATCH(Таблица3[[#This Row],[Наименование товара]], Склад!$A$3:$A$8, 0), 9)</f>
        <v>163.13</v>
      </c>
      <c r="K6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6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68" s="5">
        <v>0</v>
      </c>
      <c r="N68" s="5">
        <f>CEILING((Таблица3[[#This Row],[Цена за единицу (с учетом наценки продавца), руб.]] - Таблица3[[#This Row],[Цена за единицу (с учетом наценки продавца), руб.]]*M68),1)</f>
        <v>762</v>
      </c>
      <c r="O68" s="21">
        <f>VLOOKUP(Таблица3[[#This Row],[Менеджер по продажам]],'Справочная информация'!B$2:C$6,2,0)</f>
        <v>0.15</v>
      </c>
      <c r="P68" s="5">
        <f>Таблица3[[#This Row],[Цена продажи с учетом персональной скидки, руб.]]*O68</f>
        <v>114.3</v>
      </c>
      <c r="Q68" s="61"/>
    </row>
    <row r="69" spans="1:17" x14ac:dyDescent="0.25">
      <c r="A69" s="10">
        <f t="shared" si="1"/>
        <v>68</v>
      </c>
      <c r="B69" s="5" t="s">
        <v>419</v>
      </c>
      <c r="C69" s="5">
        <f>IF(OR(B69="Гаврилов Н.А.",Таблица3[[#This Row],[Менеджер по продажам]]="Никифорова В.М."),1,IF(Таблица3[[#This Row],[Менеджер по продажам]]="Соколов Г.П.",3,2))</f>
        <v>2</v>
      </c>
      <c r="D69" s="5" t="s">
        <v>102</v>
      </c>
      <c r="E69" s="5" t="s">
        <v>18</v>
      </c>
      <c r="F69" s="4" t="s">
        <v>5</v>
      </c>
      <c r="G69" s="5" t="str">
        <f>VLOOKUP(Таблица3[[#This Row],[Наименование товара]],Склад!$A$3:$B$8,2,1)</f>
        <v>Person</v>
      </c>
      <c r="H69" s="14">
        <v>44947</v>
      </c>
      <c r="I69" s="8">
        <f>INT((MONTH(Таблица3[[#This Row],[Дата продажи]])+2)/3)</f>
        <v>1</v>
      </c>
      <c r="J69" s="5">
        <f>INDEX(Склад!$A$3:$M$8, MATCH(Таблица3[[#This Row],[Наименование товара]], Склад!$A$3:$A$8, 0), 9)</f>
        <v>163.13</v>
      </c>
      <c r="K6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6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69" s="5">
        <v>0</v>
      </c>
      <c r="N69" s="5">
        <f>CEILING((Таблица3[[#This Row],[Цена за единицу (с учетом наценки продавца), руб.]] - Таблица3[[#This Row],[Цена за единицу (с учетом наценки продавца), руб.]]*M69),1)</f>
        <v>762</v>
      </c>
      <c r="O69" s="21">
        <f>VLOOKUP(Таблица3[[#This Row],[Менеджер по продажам]],'Справочная информация'!B$2:C$6,2,0)</f>
        <v>0.15</v>
      </c>
      <c r="P69" s="5">
        <f>Таблица3[[#This Row],[Цена продажи с учетом персональной скидки, руб.]]*O69</f>
        <v>114.3</v>
      </c>
      <c r="Q69" s="61"/>
    </row>
    <row r="70" spans="1:17" x14ac:dyDescent="0.25">
      <c r="A70" s="10">
        <f t="shared" si="1"/>
        <v>69</v>
      </c>
      <c r="B70" s="5" t="s">
        <v>419</v>
      </c>
      <c r="C70" s="5">
        <f>IF(OR(B70="Гаврилов Н.А.",Таблица3[[#This Row],[Менеджер по продажам]]="Никифорова В.М."),1,IF(Таблица3[[#This Row],[Менеджер по продажам]]="Соколов Г.П.",3,2))</f>
        <v>2</v>
      </c>
      <c r="D70" s="5" t="s">
        <v>343</v>
      </c>
      <c r="E70" s="5" t="s">
        <v>9</v>
      </c>
      <c r="F70" s="4" t="s">
        <v>5</v>
      </c>
      <c r="G70" s="5" t="str">
        <f>VLOOKUP(Таблица3[[#This Row],[Наименование товара]],Склад!$A$3:$B$8,2,1)</f>
        <v>Person</v>
      </c>
      <c r="H70" s="14">
        <v>45001</v>
      </c>
      <c r="I70" s="8">
        <f>INT((MONTH(Таблица3[[#This Row],[Дата продажи]])+2)/3)</f>
        <v>1</v>
      </c>
      <c r="J70" s="5">
        <f>INDEX(Склад!$A$3:$M$8, MATCH(Таблица3[[#This Row],[Наименование товара]], Склад!$A$3:$A$8, 0), 9)</f>
        <v>163.13</v>
      </c>
      <c r="K7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0" s="5">
        <v>0</v>
      </c>
      <c r="N70" s="5">
        <f>CEILING((Таблица3[[#This Row],[Цена за единицу (с учетом наценки продавца), руб.]] - Таблица3[[#This Row],[Цена за единицу (с учетом наценки продавца), руб.]]*M70),1)</f>
        <v>762</v>
      </c>
      <c r="O70" s="21">
        <f>VLOOKUP(Таблица3[[#This Row],[Менеджер по продажам]],'Справочная информация'!B$2:C$6,2,0)</f>
        <v>0.15</v>
      </c>
      <c r="P70" s="5">
        <f>Таблица3[[#This Row],[Цена продажи с учетом персональной скидки, руб.]]*O70</f>
        <v>114.3</v>
      </c>
      <c r="Q70" s="61"/>
    </row>
    <row r="71" spans="1:17" x14ac:dyDescent="0.25">
      <c r="A71" s="10">
        <f t="shared" si="1"/>
        <v>70</v>
      </c>
      <c r="B71" s="5" t="s">
        <v>419</v>
      </c>
      <c r="C71" s="5">
        <f>IF(OR(B71="Гаврилов Н.А.",Таблица3[[#This Row],[Менеджер по продажам]]="Никифорова В.М."),1,IF(Таблица3[[#This Row],[Менеджер по продажам]]="Соколов Г.П.",3,2))</f>
        <v>2</v>
      </c>
      <c r="D71" s="5" t="s">
        <v>66</v>
      </c>
      <c r="E71" s="5" t="s">
        <v>9</v>
      </c>
      <c r="F71" s="4" t="s">
        <v>5</v>
      </c>
      <c r="G71" s="5" t="str">
        <f>VLOOKUP(Таблица3[[#This Row],[Наименование товара]],Склад!$A$3:$B$8,2,1)</f>
        <v>Person</v>
      </c>
      <c r="H71" s="14">
        <v>44938</v>
      </c>
      <c r="I71" s="8">
        <f>INT((MONTH(Таблица3[[#This Row],[Дата продажи]])+2)/3)</f>
        <v>1</v>
      </c>
      <c r="J71" s="5">
        <f>INDEX(Склад!$A$3:$M$8, MATCH(Таблица3[[#This Row],[Наименование товара]], Склад!$A$3:$A$8, 0), 9)</f>
        <v>163.13</v>
      </c>
      <c r="K7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1" s="5">
        <v>0</v>
      </c>
      <c r="N71" s="5">
        <f>CEILING((Таблица3[[#This Row],[Цена за единицу (с учетом наценки продавца), руб.]] - Таблица3[[#This Row],[Цена за единицу (с учетом наценки продавца), руб.]]*M71),1)</f>
        <v>762</v>
      </c>
      <c r="O71" s="21">
        <f>VLOOKUP(Таблица3[[#This Row],[Менеджер по продажам]],'Справочная информация'!B$2:C$6,2,0)</f>
        <v>0.15</v>
      </c>
      <c r="P71" s="5">
        <f>Таблица3[[#This Row],[Цена продажи с учетом персональной скидки, руб.]]*O71</f>
        <v>114.3</v>
      </c>
      <c r="Q71" s="61"/>
    </row>
    <row r="72" spans="1:17" x14ac:dyDescent="0.25">
      <c r="A72" s="10">
        <f t="shared" si="1"/>
        <v>71</v>
      </c>
      <c r="B72" s="5" t="s">
        <v>419</v>
      </c>
      <c r="C72" s="5">
        <f>IF(OR(B72="Гаврилов Н.А.",Таблица3[[#This Row],[Менеджер по продажам]]="Никифорова В.М."),1,IF(Таблица3[[#This Row],[Менеджер по продажам]]="Соколов Г.П.",3,2))</f>
        <v>2</v>
      </c>
      <c r="D72" s="5" t="s">
        <v>237</v>
      </c>
      <c r="E72" s="5" t="s">
        <v>34</v>
      </c>
      <c r="F72" s="4" t="s">
        <v>5</v>
      </c>
      <c r="G72" s="5" t="str">
        <f>VLOOKUP(Таблица3[[#This Row],[Наименование товара]],Склад!$A$3:$B$8,2,1)</f>
        <v>Person</v>
      </c>
      <c r="H72" s="14">
        <v>44977</v>
      </c>
      <c r="I72" s="8">
        <f>INT((MONTH(Таблица3[[#This Row],[Дата продажи]])+2)/3)</f>
        <v>1</v>
      </c>
      <c r="J72" s="5">
        <f>INDEX(Склад!$A$3:$M$8, MATCH(Таблица3[[#This Row],[Наименование товара]], Склад!$A$3:$A$8, 0), 9)</f>
        <v>163.13</v>
      </c>
      <c r="K7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2" s="5">
        <v>0</v>
      </c>
      <c r="N72" s="5">
        <f>CEILING((Таблица3[[#This Row],[Цена за единицу (с учетом наценки продавца), руб.]] - Таблица3[[#This Row],[Цена за единицу (с учетом наценки продавца), руб.]]*M72),1)</f>
        <v>762</v>
      </c>
      <c r="O72" s="21">
        <f>VLOOKUP(Таблица3[[#This Row],[Менеджер по продажам]],'Справочная информация'!B$2:C$6,2,0)</f>
        <v>0.15</v>
      </c>
      <c r="P72" s="5">
        <f>Таблица3[[#This Row],[Цена продажи с учетом персональной скидки, руб.]]*O72</f>
        <v>114.3</v>
      </c>
      <c r="Q72" s="61"/>
    </row>
    <row r="73" spans="1:17" x14ac:dyDescent="0.25">
      <c r="A73" s="10">
        <f t="shared" si="1"/>
        <v>72</v>
      </c>
      <c r="B73" s="5" t="s">
        <v>419</v>
      </c>
      <c r="C73" s="5">
        <f>IF(OR(B73="Гаврилов Н.А.",Таблица3[[#This Row],[Менеджер по продажам]]="Никифорова В.М."),1,IF(Таблица3[[#This Row],[Менеджер по продажам]]="Соколов Г.П.",3,2))</f>
        <v>2</v>
      </c>
      <c r="D73" s="5" t="s">
        <v>169</v>
      </c>
      <c r="E73" s="5" t="s">
        <v>20</v>
      </c>
      <c r="F73" s="4" t="s">
        <v>5</v>
      </c>
      <c r="G73" s="5" t="str">
        <f>VLOOKUP(Таблица3[[#This Row],[Наименование товара]],Склад!$A$3:$B$8,2,1)</f>
        <v>Person</v>
      </c>
      <c r="H73" s="14">
        <v>44961</v>
      </c>
      <c r="I73" s="8">
        <f>INT((MONTH(Таблица3[[#This Row],[Дата продажи]])+2)/3)</f>
        <v>1</v>
      </c>
      <c r="J73" s="5">
        <f>INDEX(Склад!$A$3:$M$8, MATCH(Таблица3[[#This Row],[Наименование товара]], Склад!$A$3:$A$8, 0), 9)</f>
        <v>163.13</v>
      </c>
      <c r="K7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3" s="5">
        <v>0</v>
      </c>
      <c r="N73" s="5">
        <f>CEILING((Таблица3[[#This Row],[Цена за единицу (с учетом наценки продавца), руб.]] - Таблица3[[#This Row],[Цена за единицу (с учетом наценки продавца), руб.]]*M73),1)</f>
        <v>762</v>
      </c>
      <c r="O73" s="21">
        <f>VLOOKUP(Таблица3[[#This Row],[Менеджер по продажам]],'Справочная информация'!B$2:C$6,2,0)</f>
        <v>0.15</v>
      </c>
      <c r="P73" s="5">
        <f>Таблица3[[#This Row],[Цена продажи с учетом персональной скидки, руб.]]*O73</f>
        <v>114.3</v>
      </c>
      <c r="Q73" s="61"/>
    </row>
    <row r="74" spans="1:17" x14ac:dyDescent="0.25">
      <c r="A74" s="10">
        <f t="shared" si="1"/>
        <v>73</v>
      </c>
      <c r="B74" s="5" t="s">
        <v>419</v>
      </c>
      <c r="C74" s="5">
        <f>IF(OR(B74="Гаврилов Н.А.",Таблица3[[#This Row],[Менеджер по продажам]]="Никифорова В.М."),1,IF(Таблица3[[#This Row],[Менеджер по продажам]]="Соколов Г.П.",3,2))</f>
        <v>2</v>
      </c>
      <c r="D74" s="5" t="s">
        <v>119</v>
      </c>
      <c r="E74" s="5" t="s">
        <v>18</v>
      </c>
      <c r="F74" s="4" t="s">
        <v>5</v>
      </c>
      <c r="G74" s="5" t="str">
        <f>VLOOKUP(Таблица3[[#This Row],[Наименование товара]],Склад!$A$3:$B$8,2,1)</f>
        <v>Person</v>
      </c>
      <c r="H74" s="14">
        <v>44950</v>
      </c>
      <c r="I74" s="8">
        <f>INT((MONTH(Таблица3[[#This Row],[Дата продажи]])+2)/3)</f>
        <v>1</v>
      </c>
      <c r="J74" s="5">
        <f>INDEX(Склад!$A$3:$M$8, MATCH(Таблица3[[#This Row],[Наименование товара]], Склад!$A$3:$A$8, 0), 9)</f>
        <v>163.13</v>
      </c>
      <c r="K7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4" s="5">
        <v>0</v>
      </c>
      <c r="N74" s="5">
        <f>CEILING((Таблица3[[#This Row],[Цена за единицу (с учетом наценки продавца), руб.]] - Таблица3[[#This Row],[Цена за единицу (с учетом наценки продавца), руб.]]*M74),1)</f>
        <v>762</v>
      </c>
      <c r="O74" s="21">
        <f>VLOOKUP(Таблица3[[#This Row],[Менеджер по продажам]],'Справочная информация'!B$2:C$6,2,0)</f>
        <v>0.15</v>
      </c>
      <c r="P74" s="5">
        <f>Таблица3[[#This Row],[Цена продажи с учетом персональной скидки, руб.]]*O74</f>
        <v>114.3</v>
      </c>
      <c r="Q74" s="61"/>
    </row>
    <row r="75" spans="1:17" x14ac:dyDescent="0.25">
      <c r="A75" s="10">
        <f t="shared" si="1"/>
        <v>74</v>
      </c>
      <c r="B75" s="5" t="s">
        <v>419</v>
      </c>
      <c r="C75" s="5">
        <f>IF(OR(B75="Гаврилов Н.А.",Таблица3[[#This Row],[Менеджер по продажам]]="Никифорова В.М."),1,IF(Таблица3[[#This Row],[Менеджер по продажам]]="Соколов Г.П.",3,2))</f>
        <v>2</v>
      </c>
      <c r="D75" s="5" t="s">
        <v>253</v>
      </c>
      <c r="E75" s="5" t="s">
        <v>20</v>
      </c>
      <c r="F75" s="4" t="s">
        <v>5</v>
      </c>
      <c r="G75" s="5" t="str">
        <f>VLOOKUP(Таблица3[[#This Row],[Наименование товара]],Склад!$A$3:$B$8,2,1)</f>
        <v>Person</v>
      </c>
      <c r="H75" s="14">
        <v>44981</v>
      </c>
      <c r="I75" s="8">
        <f>INT((MONTH(Таблица3[[#This Row],[Дата продажи]])+2)/3)</f>
        <v>1</v>
      </c>
      <c r="J75" s="5">
        <f>INDEX(Склад!$A$3:$M$8, MATCH(Таблица3[[#This Row],[Наименование товара]], Склад!$A$3:$A$8, 0), 9)</f>
        <v>163.13</v>
      </c>
      <c r="K7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5" s="5">
        <v>0</v>
      </c>
      <c r="N75" s="5">
        <f>CEILING((Таблица3[[#This Row],[Цена за единицу (с учетом наценки продавца), руб.]] - Таблица3[[#This Row],[Цена за единицу (с учетом наценки продавца), руб.]]*M75),1)</f>
        <v>762</v>
      </c>
      <c r="O75" s="21">
        <f>VLOOKUP(Таблица3[[#This Row],[Менеджер по продажам]],'Справочная информация'!B$2:C$6,2,0)</f>
        <v>0.15</v>
      </c>
      <c r="P75" s="5">
        <f>Таблица3[[#This Row],[Цена продажи с учетом персональной скидки, руб.]]*O75</f>
        <v>114.3</v>
      </c>
      <c r="Q75" s="61"/>
    </row>
    <row r="76" spans="1:17" x14ac:dyDescent="0.25">
      <c r="A76" s="10">
        <f t="shared" si="1"/>
        <v>75</v>
      </c>
      <c r="B76" s="5" t="s">
        <v>419</v>
      </c>
      <c r="C76" s="5">
        <f>IF(OR(B76="Гаврилов Н.А.",Таблица3[[#This Row],[Менеджер по продажам]]="Никифорова В.М."),1,IF(Таблица3[[#This Row],[Менеджер по продажам]]="Соколов Г.П.",3,2))</f>
        <v>2</v>
      </c>
      <c r="D76" s="5" t="s">
        <v>145</v>
      </c>
      <c r="E76" s="5" t="s">
        <v>113</v>
      </c>
      <c r="F76" s="4" t="s">
        <v>5</v>
      </c>
      <c r="G76" s="5" t="str">
        <f>VLOOKUP(Таблица3[[#This Row],[Наименование товара]],Склад!$A$3:$B$8,2,1)</f>
        <v>Person</v>
      </c>
      <c r="H76" s="14">
        <v>44956</v>
      </c>
      <c r="I76" s="8">
        <f>INT((MONTH(Таблица3[[#This Row],[Дата продажи]])+2)/3)</f>
        <v>1</v>
      </c>
      <c r="J76" s="5">
        <f>INDEX(Склад!$A$3:$M$8, MATCH(Таблица3[[#This Row],[Наименование товара]], Склад!$A$3:$A$8, 0), 9)</f>
        <v>163.13</v>
      </c>
      <c r="K7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7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76" s="5">
        <v>0</v>
      </c>
      <c r="N76" s="5">
        <f>CEILING((Таблица3[[#This Row],[Цена за единицу (с учетом наценки продавца), руб.]] - Таблица3[[#This Row],[Цена за единицу (с учетом наценки продавца), руб.]]*M76),1)</f>
        <v>762</v>
      </c>
      <c r="O76" s="21">
        <f>VLOOKUP(Таблица3[[#This Row],[Менеджер по продажам]],'Справочная информация'!B$2:C$6,2,0)</f>
        <v>0.15</v>
      </c>
      <c r="P76" s="5">
        <f>Таблица3[[#This Row],[Цена продажи с учетом персональной скидки, руб.]]*O76</f>
        <v>114.3</v>
      </c>
      <c r="Q76" s="61"/>
    </row>
    <row r="77" spans="1:17" x14ac:dyDescent="0.25">
      <c r="A77" s="10">
        <f t="shared" si="1"/>
        <v>76</v>
      </c>
      <c r="B77" s="5" t="s">
        <v>419</v>
      </c>
      <c r="C77" s="5">
        <f>IF(OR(B77="Гаврилов Н.А.",Таблица3[[#This Row],[Менеджер по продажам]]="Никифорова В.М."),1,IF(Таблица3[[#This Row],[Менеджер по продажам]]="Соколов Г.П.",3,2))</f>
        <v>2</v>
      </c>
      <c r="D77" s="5" t="s">
        <v>86</v>
      </c>
      <c r="E77" s="5" t="s">
        <v>34</v>
      </c>
      <c r="F77" s="4" t="s">
        <v>8</v>
      </c>
      <c r="G77" s="5" t="str">
        <f>VLOOKUP(Таблица3[[#This Row],[Наименование товара]],Склад!$A$3:$B$8,2,1)</f>
        <v>Colisto</v>
      </c>
      <c r="H77" s="14">
        <v>44944</v>
      </c>
      <c r="I77" s="8">
        <f>INT((MONTH(Таблица3[[#This Row],[Дата продажи]])+2)/3)</f>
        <v>1</v>
      </c>
      <c r="J77" s="5">
        <f>INDEX(Склад!$A$3:$M$8, MATCH(Таблица3[[#This Row],[Наименование товара]], Склад!$A$3:$A$8, 0), 9)</f>
        <v>97.2</v>
      </c>
      <c r="K7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7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77" s="5">
        <v>0</v>
      </c>
      <c r="N77" s="5">
        <f>CEILING((Таблица3[[#This Row],[Цена за единицу (с учетом наценки продавца), руб.]] - Таблица3[[#This Row],[Цена за единицу (с учетом наценки продавца), руб.]]*M77),1)</f>
        <v>619</v>
      </c>
      <c r="O77" s="21">
        <f>VLOOKUP(Таблица3[[#This Row],[Менеджер по продажам]],'Справочная информация'!B$2:C$6,2,0)</f>
        <v>0.15</v>
      </c>
      <c r="P77" s="5">
        <f>Таблица3[[#This Row],[Цена продажи с учетом персональной скидки, руб.]]*O77</f>
        <v>92.85</v>
      </c>
      <c r="Q77" s="61"/>
    </row>
    <row r="78" spans="1:17" x14ac:dyDescent="0.25">
      <c r="A78" s="10">
        <f t="shared" si="1"/>
        <v>77</v>
      </c>
      <c r="B78" s="5" t="s">
        <v>419</v>
      </c>
      <c r="C78" s="5">
        <f>IF(OR(B78="Гаврилов Н.А.",Таблица3[[#This Row],[Менеджер по продажам]]="Никифорова В.М."),1,IF(Таблица3[[#This Row],[Менеджер по продажам]]="Соколов Г.П.",3,2))</f>
        <v>2</v>
      </c>
      <c r="D78" s="5" t="s">
        <v>213</v>
      </c>
      <c r="E78" s="5" t="s">
        <v>9</v>
      </c>
      <c r="F78" s="4" t="s">
        <v>8</v>
      </c>
      <c r="G78" s="5" t="str">
        <f>VLOOKUP(Таблица3[[#This Row],[Наименование товара]],Склад!$A$3:$B$8,2,1)</f>
        <v>Colisto</v>
      </c>
      <c r="H78" s="14">
        <v>44971</v>
      </c>
      <c r="I78" s="8">
        <f>INT((MONTH(Таблица3[[#This Row],[Дата продажи]])+2)/3)</f>
        <v>1</v>
      </c>
      <c r="J78" s="5">
        <f>INDEX(Склад!$A$3:$M$8, MATCH(Таблица3[[#This Row],[Наименование товара]], Склад!$A$3:$A$8, 0), 9)</f>
        <v>97.2</v>
      </c>
      <c r="K7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7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78" s="5">
        <v>0</v>
      </c>
      <c r="N78" s="5">
        <f>CEILING((Таблица3[[#This Row],[Цена за единицу (с учетом наценки продавца), руб.]] - Таблица3[[#This Row],[Цена за единицу (с учетом наценки продавца), руб.]]*M78),1)</f>
        <v>619</v>
      </c>
      <c r="O78" s="21">
        <f>VLOOKUP(Таблица3[[#This Row],[Менеджер по продажам]],'Справочная информация'!B$2:C$6,2,0)</f>
        <v>0.15</v>
      </c>
      <c r="P78" s="5">
        <f>Таблица3[[#This Row],[Цена продажи с учетом персональной скидки, руб.]]*O78</f>
        <v>92.85</v>
      </c>
      <c r="Q78" s="61"/>
    </row>
    <row r="79" spans="1:17" x14ac:dyDescent="0.25">
      <c r="A79" s="10">
        <f t="shared" si="1"/>
        <v>78</v>
      </c>
      <c r="B79" s="5" t="s">
        <v>419</v>
      </c>
      <c r="C79" s="5">
        <f>IF(OR(B79="Гаврилов Н.А.",Таблица3[[#This Row],[Менеджер по продажам]]="Никифорова В.М."),1,IF(Таблица3[[#This Row],[Менеджер по продажам]]="Соколов Г.П.",3,2))</f>
        <v>2</v>
      </c>
      <c r="D79" s="5" t="s">
        <v>387</v>
      </c>
      <c r="E79" s="5" t="s">
        <v>356</v>
      </c>
      <c r="F79" s="4" t="s">
        <v>8</v>
      </c>
      <c r="G79" s="5" t="str">
        <f>VLOOKUP(Таблица3[[#This Row],[Наименование товара]],Склад!$A$3:$B$8,2,1)</f>
        <v>Colisto</v>
      </c>
      <c r="H79" s="14">
        <v>45010</v>
      </c>
      <c r="I79" s="8">
        <f>INT((MONTH(Таблица3[[#This Row],[Дата продажи]])+2)/3)</f>
        <v>1</v>
      </c>
      <c r="J79" s="5">
        <f>INDEX(Склад!$A$3:$M$8, MATCH(Таблица3[[#This Row],[Наименование товара]], Склад!$A$3:$A$8, 0), 9)</f>
        <v>97.2</v>
      </c>
      <c r="K7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7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79" s="5">
        <v>0</v>
      </c>
      <c r="N79" s="5">
        <f>CEILING((Таблица3[[#This Row],[Цена за единицу (с учетом наценки продавца), руб.]] - Таблица3[[#This Row],[Цена за единицу (с учетом наценки продавца), руб.]]*M79),1)</f>
        <v>619</v>
      </c>
      <c r="O79" s="21">
        <f>VLOOKUP(Таблица3[[#This Row],[Менеджер по продажам]],'Справочная информация'!B$2:C$6,2,0)</f>
        <v>0.15</v>
      </c>
      <c r="P79" s="5">
        <f>Таблица3[[#This Row],[Цена продажи с учетом персональной скидки, руб.]]*O79</f>
        <v>92.85</v>
      </c>
      <c r="Q79" s="61"/>
    </row>
    <row r="80" spans="1:17" x14ac:dyDescent="0.25">
      <c r="A80" s="10">
        <f t="shared" si="1"/>
        <v>79</v>
      </c>
      <c r="B80" s="5" t="s">
        <v>419</v>
      </c>
      <c r="C80" s="5">
        <f>IF(OR(B80="Гаврилов Н.А.",Таблица3[[#This Row],[Менеджер по продажам]]="Никифорова В.М."),1,IF(Таблица3[[#This Row],[Менеджер по продажам]]="Соколов Г.П.",3,2))</f>
        <v>2</v>
      </c>
      <c r="D80" s="5" t="s">
        <v>25</v>
      </c>
      <c r="E80" s="5" t="s">
        <v>9</v>
      </c>
      <c r="F80" s="4" t="s">
        <v>8</v>
      </c>
      <c r="G80" s="5" t="str">
        <f>VLOOKUP(Таблица3[[#This Row],[Наименование товара]],Склад!$A$3:$B$8,2,1)</f>
        <v>Colisto</v>
      </c>
      <c r="H80" s="14">
        <v>44929</v>
      </c>
      <c r="I80" s="8">
        <f>INT((MONTH(Таблица3[[#This Row],[Дата продажи]])+2)/3)</f>
        <v>1</v>
      </c>
      <c r="J80" s="5">
        <f>INDEX(Склад!$A$3:$M$8, MATCH(Таблица3[[#This Row],[Наименование товара]], Склад!$A$3:$A$8, 0), 9)</f>
        <v>97.2</v>
      </c>
      <c r="K8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0" s="5">
        <v>0</v>
      </c>
      <c r="N80" s="5">
        <f>CEILING((Таблица3[[#This Row],[Цена за единицу (с учетом наценки продавца), руб.]] - Таблица3[[#This Row],[Цена за единицу (с учетом наценки продавца), руб.]]*M80),1)</f>
        <v>619</v>
      </c>
      <c r="O80" s="21">
        <f>VLOOKUP(Таблица3[[#This Row],[Менеджер по продажам]],'Справочная информация'!B$2:C$6,2,0)</f>
        <v>0.15</v>
      </c>
      <c r="P80" s="5">
        <f>Таблица3[[#This Row],[Цена продажи с учетом персональной скидки, руб.]]*O80</f>
        <v>92.85</v>
      </c>
      <c r="Q80" s="61"/>
    </row>
    <row r="81" spans="1:17" x14ac:dyDescent="0.25">
      <c r="A81" s="10">
        <f t="shared" si="1"/>
        <v>80</v>
      </c>
      <c r="B81" s="5" t="s">
        <v>419</v>
      </c>
      <c r="C81" s="5">
        <f>IF(OR(B81="Гаврилов Н.А.",Таблица3[[#This Row],[Менеджер по продажам]]="Никифорова В.М."),1,IF(Таблица3[[#This Row],[Менеджер по продажам]]="Соколов Г.П.",3,2))</f>
        <v>2</v>
      </c>
      <c r="D81" s="5" t="s">
        <v>231</v>
      </c>
      <c r="E81" s="5" t="s">
        <v>20</v>
      </c>
      <c r="F81" s="4" t="s">
        <v>8</v>
      </c>
      <c r="G81" s="5" t="str">
        <f>VLOOKUP(Таблица3[[#This Row],[Наименование товара]],Склад!$A$3:$B$8,2,1)</f>
        <v>Colisto</v>
      </c>
      <c r="H81" s="14">
        <v>44977</v>
      </c>
      <c r="I81" s="8">
        <f>INT((MONTH(Таблица3[[#This Row],[Дата продажи]])+2)/3)</f>
        <v>1</v>
      </c>
      <c r="J81" s="5">
        <f>INDEX(Склад!$A$3:$M$8, MATCH(Таблица3[[#This Row],[Наименование товара]], Склад!$A$3:$A$8, 0), 9)</f>
        <v>97.2</v>
      </c>
      <c r="K8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1" s="5">
        <v>0.05</v>
      </c>
      <c r="N81" s="5">
        <f>CEILING((Таблица3[[#This Row],[Цена за единицу (с учетом наценки продавца), руб.]] - Таблица3[[#This Row],[Цена за единицу (с учетом наценки продавца), руб.]]*M81),1)</f>
        <v>589</v>
      </c>
      <c r="O81" s="21">
        <f>VLOOKUP(Таблица3[[#This Row],[Менеджер по продажам]],'Справочная информация'!B$2:C$6,2,0)</f>
        <v>0.15</v>
      </c>
      <c r="P81" s="5">
        <f>Таблица3[[#This Row],[Цена продажи с учетом персональной скидки, руб.]]*O81</f>
        <v>88.35</v>
      </c>
      <c r="Q81" s="61"/>
    </row>
    <row r="82" spans="1:17" x14ac:dyDescent="0.25">
      <c r="A82" s="10">
        <f t="shared" si="1"/>
        <v>81</v>
      </c>
      <c r="B82" s="5" t="s">
        <v>419</v>
      </c>
      <c r="C82" s="5">
        <f>IF(OR(B82="Гаврилов Н.А.",Таблица3[[#This Row],[Менеджер по продажам]]="Никифорова В.М."),1,IF(Таблица3[[#This Row],[Менеджер по продажам]]="Соколов Г.П.",3,2))</f>
        <v>2</v>
      </c>
      <c r="D82" s="5" t="s">
        <v>349</v>
      </c>
      <c r="E82" s="5" t="s">
        <v>34</v>
      </c>
      <c r="F82" s="4" t="s">
        <v>8</v>
      </c>
      <c r="G82" s="5" t="str">
        <f>VLOOKUP(Таблица3[[#This Row],[Наименование товара]],Склад!$A$3:$B$8,2,1)</f>
        <v>Colisto</v>
      </c>
      <c r="H82" s="14">
        <v>45003</v>
      </c>
      <c r="I82" s="8">
        <f>INT((MONTH(Таблица3[[#This Row],[Дата продажи]])+2)/3)</f>
        <v>1</v>
      </c>
      <c r="J82" s="5">
        <f>INDEX(Склад!$A$3:$M$8, MATCH(Таблица3[[#This Row],[Наименование товара]], Склад!$A$3:$A$8, 0), 9)</f>
        <v>97.2</v>
      </c>
      <c r="K8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2" s="5">
        <v>0</v>
      </c>
      <c r="N82" s="5">
        <f>CEILING((Таблица3[[#This Row],[Цена за единицу (с учетом наценки продавца), руб.]] - Таблица3[[#This Row],[Цена за единицу (с учетом наценки продавца), руб.]]*M82),1)</f>
        <v>619</v>
      </c>
      <c r="O82" s="21">
        <f>VLOOKUP(Таблица3[[#This Row],[Менеджер по продажам]],'Справочная информация'!B$2:C$6,2,0)</f>
        <v>0.15</v>
      </c>
      <c r="P82" s="5">
        <f>Таблица3[[#This Row],[Цена продажи с учетом персональной скидки, руб.]]*O82</f>
        <v>92.85</v>
      </c>
      <c r="Q82" s="61"/>
    </row>
    <row r="83" spans="1:17" x14ac:dyDescent="0.25">
      <c r="A83" s="10">
        <f t="shared" si="1"/>
        <v>82</v>
      </c>
      <c r="B83" s="5" t="s">
        <v>419</v>
      </c>
      <c r="C83" s="5">
        <f>IF(OR(B83="Гаврилов Н.А.",Таблица3[[#This Row],[Менеджер по продажам]]="Никифорова В.М."),1,IF(Таблица3[[#This Row],[Менеджер по продажам]]="Соколов Г.П.",3,2))</f>
        <v>2</v>
      </c>
      <c r="D83" s="5" t="s">
        <v>170</v>
      </c>
      <c r="E83" s="5" t="s">
        <v>9</v>
      </c>
      <c r="F83" s="4" t="s">
        <v>8</v>
      </c>
      <c r="G83" s="5" t="str">
        <f>VLOOKUP(Таблица3[[#This Row],[Наименование товара]],Склад!$A$3:$B$8,2,1)</f>
        <v>Colisto</v>
      </c>
      <c r="H83" s="14">
        <v>44962</v>
      </c>
      <c r="I83" s="8">
        <f>INT((MONTH(Таблица3[[#This Row],[Дата продажи]])+2)/3)</f>
        <v>1</v>
      </c>
      <c r="J83" s="5">
        <f>INDEX(Склад!$A$3:$M$8, MATCH(Таблица3[[#This Row],[Наименование товара]], Склад!$A$3:$A$8, 0), 9)</f>
        <v>97.2</v>
      </c>
      <c r="K8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3" s="5">
        <v>0</v>
      </c>
      <c r="N83" s="5">
        <f>CEILING((Таблица3[[#This Row],[Цена за единицу (с учетом наценки продавца), руб.]] - Таблица3[[#This Row],[Цена за единицу (с учетом наценки продавца), руб.]]*M83),1)</f>
        <v>619</v>
      </c>
      <c r="O83" s="21">
        <f>VLOOKUP(Таблица3[[#This Row],[Менеджер по продажам]],'Справочная информация'!B$2:C$6,2,0)</f>
        <v>0.15</v>
      </c>
      <c r="P83" s="5">
        <f>Таблица3[[#This Row],[Цена продажи с учетом персональной скидки, руб.]]*O83</f>
        <v>92.85</v>
      </c>
      <c r="Q83" s="61"/>
    </row>
    <row r="84" spans="1:17" x14ac:dyDescent="0.25">
      <c r="A84" s="10">
        <f t="shared" si="1"/>
        <v>83</v>
      </c>
      <c r="B84" s="5" t="s">
        <v>419</v>
      </c>
      <c r="C84" s="5">
        <f>IF(OR(B84="Гаврилов Н.А.",Таблица3[[#This Row],[Менеджер по продажам]]="Никифорова В.М."),1,IF(Таблица3[[#This Row],[Менеджер по продажам]]="Соколов Г.П.",3,2))</f>
        <v>2</v>
      </c>
      <c r="D84" s="5" t="s">
        <v>72</v>
      </c>
      <c r="E84" s="5" t="s">
        <v>9</v>
      </c>
      <c r="F84" s="4" t="s">
        <v>8</v>
      </c>
      <c r="G84" s="5" t="str">
        <f>VLOOKUP(Таблица3[[#This Row],[Наименование товара]],Склад!$A$3:$B$8,2,1)</f>
        <v>Colisto</v>
      </c>
      <c r="H84" s="14">
        <v>44940</v>
      </c>
      <c r="I84" s="8">
        <f>INT((MONTH(Таблица3[[#This Row],[Дата продажи]])+2)/3)</f>
        <v>1</v>
      </c>
      <c r="J84" s="5">
        <f>INDEX(Склад!$A$3:$M$8, MATCH(Таблица3[[#This Row],[Наименование товара]], Склад!$A$3:$A$8, 0), 9)</f>
        <v>97.2</v>
      </c>
      <c r="K8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4" s="5">
        <v>0</v>
      </c>
      <c r="N84" s="5">
        <f>CEILING((Таблица3[[#This Row],[Цена за единицу (с учетом наценки продавца), руб.]] - Таблица3[[#This Row],[Цена за единицу (с учетом наценки продавца), руб.]]*M84),1)</f>
        <v>619</v>
      </c>
      <c r="O84" s="21">
        <f>VLOOKUP(Таблица3[[#This Row],[Менеджер по продажам]],'Справочная информация'!B$2:C$6,2,0)</f>
        <v>0.15</v>
      </c>
      <c r="P84" s="5">
        <f>Таблица3[[#This Row],[Цена продажи с учетом персональной скидки, руб.]]*O84</f>
        <v>92.85</v>
      </c>
      <c r="Q84" s="61"/>
    </row>
    <row r="85" spans="1:17" x14ac:dyDescent="0.25">
      <c r="A85" s="10">
        <f t="shared" si="1"/>
        <v>84</v>
      </c>
      <c r="B85" s="5" t="s">
        <v>419</v>
      </c>
      <c r="C85" s="5">
        <f>IF(OR(B85="Гаврилов Н.А.",Таблица3[[#This Row],[Менеджер по продажам]]="Никифорова В.М."),1,IF(Таблица3[[#This Row],[Менеджер по продажам]]="Соколов Г.П.",3,2))</f>
        <v>2</v>
      </c>
      <c r="D85" s="5" t="s">
        <v>407</v>
      </c>
      <c r="E85" s="5" t="s">
        <v>356</v>
      </c>
      <c r="F85" s="4" t="s">
        <v>8</v>
      </c>
      <c r="G85" s="5" t="str">
        <f>VLOOKUP(Таблица3[[#This Row],[Наименование товара]],Склад!$A$3:$B$8,2,1)</f>
        <v>Colisto</v>
      </c>
      <c r="H85" s="14">
        <v>45015</v>
      </c>
      <c r="I85" s="8">
        <f>INT((MONTH(Таблица3[[#This Row],[Дата продажи]])+2)/3)</f>
        <v>1</v>
      </c>
      <c r="J85" s="5">
        <f>INDEX(Склад!$A$3:$M$8, MATCH(Таблица3[[#This Row],[Наименование товара]], Склад!$A$3:$A$8, 0), 9)</f>
        <v>97.2</v>
      </c>
      <c r="K8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5" s="5">
        <v>0</v>
      </c>
      <c r="N85" s="5">
        <f>CEILING((Таблица3[[#This Row],[Цена за единицу (с учетом наценки продавца), руб.]] - Таблица3[[#This Row],[Цена за единицу (с учетом наценки продавца), руб.]]*M85),1)</f>
        <v>619</v>
      </c>
      <c r="O85" s="21">
        <f>VLOOKUP(Таблица3[[#This Row],[Менеджер по продажам]],'Справочная информация'!B$2:C$6,2,0)</f>
        <v>0.15</v>
      </c>
      <c r="P85" s="5">
        <f>Таблица3[[#This Row],[Цена продажи с учетом персональной скидки, руб.]]*O85</f>
        <v>92.85</v>
      </c>
      <c r="Q85" s="61"/>
    </row>
    <row r="86" spans="1:17" x14ac:dyDescent="0.25">
      <c r="A86" s="10">
        <f t="shared" si="1"/>
        <v>85</v>
      </c>
      <c r="B86" s="5" t="s">
        <v>419</v>
      </c>
      <c r="C86" s="5">
        <f>IF(OR(B86="Гаврилов Н.А.",Таблица3[[#This Row],[Менеджер по продажам]]="Никифорова В.М."),1,IF(Таблица3[[#This Row],[Менеджер по продажам]]="Соколов Г.П.",3,2))</f>
        <v>2</v>
      </c>
      <c r="D86" s="5" t="s">
        <v>232</v>
      </c>
      <c r="E86" s="5" t="s">
        <v>34</v>
      </c>
      <c r="F86" s="4" t="s">
        <v>8</v>
      </c>
      <c r="G86" s="5" t="str">
        <f>VLOOKUP(Таблица3[[#This Row],[Наименование товара]],Склад!$A$3:$B$8,2,1)</f>
        <v>Colisto</v>
      </c>
      <c r="H86" s="14">
        <v>44977</v>
      </c>
      <c r="I86" s="8">
        <f>INT((MONTH(Таблица3[[#This Row],[Дата продажи]])+2)/3)</f>
        <v>1</v>
      </c>
      <c r="J86" s="5">
        <f>INDEX(Склад!$A$3:$M$8, MATCH(Таблица3[[#This Row],[Наименование товара]], Склад!$A$3:$A$8, 0), 9)</f>
        <v>97.2</v>
      </c>
      <c r="K8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6" s="5">
        <v>0</v>
      </c>
      <c r="N86" s="5">
        <f>CEILING((Таблица3[[#This Row],[Цена за единицу (с учетом наценки продавца), руб.]] - Таблица3[[#This Row],[Цена за единицу (с учетом наценки продавца), руб.]]*M86),1)</f>
        <v>619</v>
      </c>
      <c r="O86" s="21">
        <f>VLOOKUP(Таблица3[[#This Row],[Менеджер по продажам]],'Справочная информация'!B$2:C$6,2,0)</f>
        <v>0.15</v>
      </c>
      <c r="P86" s="5">
        <f>Таблица3[[#This Row],[Цена продажи с учетом персональной скидки, руб.]]*O86</f>
        <v>92.85</v>
      </c>
      <c r="Q86" s="61"/>
    </row>
    <row r="87" spans="1:17" x14ac:dyDescent="0.25">
      <c r="A87" s="10">
        <f t="shared" si="1"/>
        <v>86</v>
      </c>
      <c r="B87" s="5" t="s">
        <v>419</v>
      </c>
      <c r="C87" s="5">
        <f>IF(OR(B87="Гаврилов Н.А.",Таблица3[[#This Row],[Менеджер по продажам]]="Никифорова В.М."),1,IF(Таблица3[[#This Row],[Менеджер по продажам]]="Соколов Г.П.",3,2))</f>
        <v>2</v>
      </c>
      <c r="D87" s="5" t="s">
        <v>59</v>
      </c>
      <c r="E87" s="5" t="s">
        <v>20</v>
      </c>
      <c r="F87" s="4" t="s">
        <v>8</v>
      </c>
      <c r="G87" s="5" t="str">
        <f>VLOOKUP(Таблица3[[#This Row],[Наименование товара]],Склад!$A$3:$B$8,2,1)</f>
        <v>Colisto</v>
      </c>
      <c r="H87" s="14">
        <v>44938</v>
      </c>
      <c r="I87" s="8">
        <f>INT((MONTH(Таблица3[[#This Row],[Дата продажи]])+2)/3)</f>
        <v>1</v>
      </c>
      <c r="J87" s="5">
        <f>INDEX(Склад!$A$3:$M$8, MATCH(Таблица3[[#This Row],[Наименование товара]], Склад!$A$3:$A$8, 0), 9)</f>
        <v>97.2</v>
      </c>
      <c r="K8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7" s="5">
        <v>0</v>
      </c>
      <c r="N87" s="5">
        <f>CEILING((Таблица3[[#This Row],[Цена за единицу (с учетом наценки продавца), руб.]] - Таблица3[[#This Row],[Цена за единицу (с учетом наценки продавца), руб.]]*M87),1)</f>
        <v>619</v>
      </c>
      <c r="O87" s="21">
        <f>VLOOKUP(Таблица3[[#This Row],[Менеджер по продажам]],'Справочная информация'!B$2:C$6,2,0)</f>
        <v>0.15</v>
      </c>
      <c r="P87" s="5">
        <f>Таблица3[[#This Row],[Цена продажи с учетом персональной скидки, руб.]]*O87</f>
        <v>92.85</v>
      </c>
      <c r="Q87" s="61"/>
    </row>
    <row r="88" spans="1:17" x14ac:dyDescent="0.25">
      <c r="A88" s="10">
        <f t="shared" si="1"/>
        <v>87</v>
      </c>
      <c r="B88" s="5" t="s">
        <v>419</v>
      </c>
      <c r="C88" s="5">
        <f>IF(OR(B88="Гаврилов Н.А.",Таблица3[[#This Row],[Менеджер по продажам]]="Никифорова В.М."),1,IF(Таблица3[[#This Row],[Менеджер по продажам]]="Соколов Г.П.",3,2))</f>
        <v>2</v>
      </c>
      <c r="D88" s="5" t="s">
        <v>391</v>
      </c>
      <c r="E88" s="5" t="s">
        <v>356</v>
      </c>
      <c r="F88" s="4" t="s">
        <v>8</v>
      </c>
      <c r="G88" s="5" t="str">
        <f>VLOOKUP(Таблица3[[#This Row],[Наименование товара]],Склад!$A$3:$B$8,2,1)</f>
        <v>Colisto</v>
      </c>
      <c r="H88" s="14">
        <v>45010</v>
      </c>
      <c r="I88" s="8">
        <f>INT((MONTH(Таблица3[[#This Row],[Дата продажи]])+2)/3)</f>
        <v>1</v>
      </c>
      <c r="J88" s="5">
        <f>INDEX(Склад!$A$3:$M$8, MATCH(Таблица3[[#This Row],[Наименование товара]], Склад!$A$3:$A$8, 0), 9)</f>
        <v>97.2</v>
      </c>
      <c r="K8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8" s="5">
        <v>0</v>
      </c>
      <c r="N88" s="5">
        <f>CEILING((Таблица3[[#This Row],[Цена за единицу (с учетом наценки продавца), руб.]] - Таблица3[[#This Row],[Цена за единицу (с учетом наценки продавца), руб.]]*M88),1)</f>
        <v>619</v>
      </c>
      <c r="O88" s="21">
        <f>VLOOKUP(Таблица3[[#This Row],[Менеджер по продажам]],'Справочная информация'!B$2:C$6,2,0)</f>
        <v>0.15</v>
      </c>
      <c r="P88" s="5">
        <f>Таблица3[[#This Row],[Цена продажи с учетом персональной скидки, руб.]]*O88</f>
        <v>92.85</v>
      </c>
      <c r="Q88" s="61"/>
    </row>
    <row r="89" spans="1:17" x14ac:dyDescent="0.25">
      <c r="A89" s="10">
        <f t="shared" si="1"/>
        <v>88</v>
      </c>
      <c r="B89" s="5" t="s">
        <v>419</v>
      </c>
      <c r="C89" s="5">
        <f>IF(OR(B89="Гаврилов Н.А.",Таблица3[[#This Row],[Менеджер по продажам]]="Никифорова В.М."),1,IF(Таблица3[[#This Row],[Менеджер по продажам]]="Соколов Г.П.",3,2))</f>
        <v>2</v>
      </c>
      <c r="D89" s="5" t="s">
        <v>19</v>
      </c>
      <c r="E89" s="5" t="s">
        <v>20</v>
      </c>
      <c r="F89" s="4" t="s">
        <v>8</v>
      </c>
      <c r="G89" s="5" t="str">
        <f>VLOOKUP(Таблица3[[#This Row],[Наименование товара]],Склад!$A$3:$B$8,2,1)</f>
        <v>Colisto</v>
      </c>
      <c r="H89" s="14">
        <v>44928</v>
      </c>
      <c r="I89" s="8">
        <f>INT((MONTH(Таблица3[[#This Row],[Дата продажи]])+2)/3)</f>
        <v>1</v>
      </c>
      <c r="J89" s="5">
        <f>INDEX(Склад!$A$3:$M$8, MATCH(Таблица3[[#This Row],[Наименование товара]], Склад!$A$3:$A$8, 0), 9)</f>
        <v>97.2</v>
      </c>
      <c r="K8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8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89" s="5">
        <v>0</v>
      </c>
      <c r="N89" s="5">
        <f>CEILING((Таблица3[[#This Row],[Цена за единицу (с учетом наценки продавца), руб.]] - Таблица3[[#This Row],[Цена за единицу (с учетом наценки продавца), руб.]]*M89),1)</f>
        <v>619</v>
      </c>
      <c r="O89" s="21">
        <f>VLOOKUP(Таблица3[[#This Row],[Менеджер по продажам]],'Справочная информация'!B$2:C$6,2,0)</f>
        <v>0.15</v>
      </c>
      <c r="P89" s="5">
        <f>Таблица3[[#This Row],[Цена продажи с учетом персональной скидки, руб.]]*O89</f>
        <v>92.85</v>
      </c>
      <c r="Q89" s="61"/>
    </row>
    <row r="90" spans="1:17" x14ac:dyDescent="0.25">
      <c r="A90" s="10">
        <f t="shared" si="1"/>
        <v>89</v>
      </c>
      <c r="B90" s="5" t="s">
        <v>419</v>
      </c>
      <c r="C90" s="5">
        <f>IF(OR(B90="Гаврилов Н.А.",Таблица3[[#This Row],[Менеджер по продажам]]="Никифорова В.М."),1,IF(Таблица3[[#This Row],[Менеджер по продажам]]="Соколов Г.П.",3,2))</f>
        <v>2</v>
      </c>
      <c r="D90" s="5" t="s">
        <v>380</v>
      </c>
      <c r="E90" s="5" t="s">
        <v>356</v>
      </c>
      <c r="F90" s="4" t="s">
        <v>8</v>
      </c>
      <c r="G90" s="5" t="str">
        <f>VLOOKUP(Таблица3[[#This Row],[Наименование товара]],Склад!$A$3:$B$8,2,1)</f>
        <v>Colisto</v>
      </c>
      <c r="H90" s="14">
        <v>45009</v>
      </c>
      <c r="I90" s="8">
        <f>INT((MONTH(Таблица3[[#This Row],[Дата продажи]])+2)/3)</f>
        <v>1</v>
      </c>
      <c r="J90" s="5">
        <f>INDEX(Склад!$A$3:$M$8, MATCH(Таблица3[[#This Row],[Наименование товара]], Склад!$A$3:$A$8, 0), 9)</f>
        <v>97.2</v>
      </c>
      <c r="K9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0" s="5">
        <v>0</v>
      </c>
      <c r="N90" s="5">
        <f>CEILING((Таблица3[[#This Row],[Цена за единицу (с учетом наценки продавца), руб.]] - Таблица3[[#This Row],[Цена за единицу (с учетом наценки продавца), руб.]]*M90),1)</f>
        <v>619</v>
      </c>
      <c r="O90" s="21">
        <f>VLOOKUP(Таблица3[[#This Row],[Менеджер по продажам]],'Справочная информация'!B$2:C$6,2,0)</f>
        <v>0.15</v>
      </c>
      <c r="P90" s="5">
        <f>Таблица3[[#This Row],[Цена продажи с учетом персональной скидки, руб.]]*O90</f>
        <v>92.85</v>
      </c>
      <c r="Q90" s="61"/>
    </row>
    <row r="91" spans="1:17" x14ac:dyDescent="0.25">
      <c r="A91" s="10">
        <f t="shared" si="1"/>
        <v>90</v>
      </c>
      <c r="B91" s="5" t="s">
        <v>419</v>
      </c>
      <c r="C91" s="5">
        <f>IF(OR(B91="Гаврилов Н.А.",Таблица3[[#This Row],[Менеджер по продажам]]="Никифорова В.М."),1,IF(Таблица3[[#This Row],[Менеджер по продажам]]="Соколов Г.П.",3,2))</f>
        <v>2</v>
      </c>
      <c r="D91" s="5" t="s">
        <v>376</v>
      </c>
      <c r="E91" s="5" t="s">
        <v>356</v>
      </c>
      <c r="F91" s="4" t="s">
        <v>8</v>
      </c>
      <c r="G91" s="5" t="str">
        <f>VLOOKUP(Таблица3[[#This Row],[Наименование товара]],Склад!$A$3:$B$8,2,1)</f>
        <v>Colisto</v>
      </c>
      <c r="H91" s="14">
        <v>45008</v>
      </c>
      <c r="I91" s="8">
        <f>INT((MONTH(Таблица3[[#This Row],[Дата продажи]])+2)/3)</f>
        <v>1</v>
      </c>
      <c r="J91" s="5">
        <f>INDEX(Склад!$A$3:$M$8, MATCH(Таблица3[[#This Row],[Наименование товара]], Склад!$A$3:$A$8, 0), 9)</f>
        <v>97.2</v>
      </c>
      <c r="K9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1" s="5">
        <v>0</v>
      </c>
      <c r="N91" s="5">
        <f>CEILING((Таблица3[[#This Row],[Цена за единицу (с учетом наценки продавца), руб.]] - Таблица3[[#This Row],[Цена за единицу (с учетом наценки продавца), руб.]]*M91),1)</f>
        <v>619</v>
      </c>
      <c r="O91" s="21">
        <f>VLOOKUP(Таблица3[[#This Row],[Менеджер по продажам]],'Справочная информация'!B$2:C$6,2,0)</f>
        <v>0.15</v>
      </c>
      <c r="P91" s="5">
        <f>Таблица3[[#This Row],[Цена продажи с учетом персональной скидки, руб.]]*O91</f>
        <v>92.85</v>
      </c>
      <c r="Q91" s="61"/>
    </row>
    <row r="92" spans="1:17" x14ac:dyDescent="0.25">
      <c r="A92" s="10">
        <f t="shared" si="1"/>
        <v>91</v>
      </c>
      <c r="B92" s="5" t="s">
        <v>419</v>
      </c>
      <c r="C92" s="5">
        <f>IF(OR(B92="Гаврилов Н.А.",Таблица3[[#This Row],[Менеджер по продажам]]="Никифорова В.М."),1,IF(Таблица3[[#This Row],[Менеджер по продажам]]="Соколов Г.П.",3,2))</f>
        <v>2</v>
      </c>
      <c r="D92" s="5" t="s">
        <v>99</v>
      </c>
      <c r="E92" s="5" t="s">
        <v>9</v>
      </c>
      <c r="F92" s="4" t="s">
        <v>8</v>
      </c>
      <c r="G92" s="5" t="str">
        <f>VLOOKUP(Таблица3[[#This Row],[Наименование товара]],Склад!$A$3:$B$8,2,1)</f>
        <v>Colisto</v>
      </c>
      <c r="H92" s="14">
        <v>44946</v>
      </c>
      <c r="I92" s="8">
        <f>INT((MONTH(Таблица3[[#This Row],[Дата продажи]])+2)/3)</f>
        <v>1</v>
      </c>
      <c r="J92" s="5">
        <f>INDEX(Склад!$A$3:$M$8, MATCH(Таблица3[[#This Row],[Наименование товара]], Склад!$A$3:$A$8, 0), 9)</f>
        <v>97.2</v>
      </c>
      <c r="K9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2" s="5">
        <v>0</v>
      </c>
      <c r="N92" s="5">
        <f>CEILING((Таблица3[[#This Row],[Цена за единицу (с учетом наценки продавца), руб.]] - Таблица3[[#This Row],[Цена за единицу (с учетом наценки продавца), руб.]]*M92),1)</f>
        <v>619</v>
      </c>
      <c r="O92" s="21">
        <f>VLOOKUP(Таблица3[[#This Row],[Менеджер по продажам]],'Справочная информация'!B$2:C$6,2,0)</f>
        <v>0.15</v>
      </c>
      <c r="P92" s="5">
        <f>Таблица3[[#This Row],[Цена продажи с учетом персональной скидки, руб.]]*O92</f>
        <v>92.85</v>
      </c>
      <c r="Q92" s="61"/>
    </row>
    <row r="93" spans="1:17" x14ac:dyDescent="0.25">
      <c r="A93" s="10">
        <f t="shared" si="1"/>
        <v>92</v>
      </c>
      <c r="B93" s="5" t="s">
        <v>419</v>
      </c>
      <c r="C93" s="5">
        <f>IF(OR(B93="Гаврилов Н.А.",Таблица3[[#This Row],[Менеджер по продажам]]="Никифорова В.М."),1,IF(Таблица3[[#This Row],[Менеджер по продажам]]="Соколов Г.П.",3,2))</f>
        <v>2</v>
      </c>
      <c r="D93" s="5" t="s">
        <v>220</v>
      </c>
      <c r="E93" s="5" t="s">
        <v>113</v>
      </c>
      <c r="F93" s="4" t="s">
        <v>8</v>
      </c>
      <c r="G93" s="5" t="str">
        <f>VLOOKUP(Таблица3[[#This Row],[Наименование товара]],Склад!$A$3:$B$8,2,1)</f>
        <v>Colisto</v>
      </c>
      <c r="H93" s="14">
        <v>44972</v>
      </c>
      <c r="I93" s="8">
        <f>INT((MONTH(Таблица3[[#This Row],[Дата продажи]])+2)/3)</f>
        <v>1</v>
      </c>
      <c r="J93" s="5">
        <f>INDEX(Склад!$A$3:$M$8, MATCH(Таблица3[[#This Row],[Наименование товара]], Склад!$A$3:$A$8, 0), 9)</f>
        <v>97.2</v>
      </c>
      <c r="K9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3" s="5">
        <v>0</v>
      </c>
      <c r="N93" s="5">
        <f>CEILING((Таблица3[[#This Row],[Цена за единицу (с учетом наценки продавца), руб.]] - Таблица3[[#This Row],[Цена за единицу (с учетом наценки продавца), руб.]]*M93),1)</f>
        <v>619</v>
      </c>
      <c r="O93" s="21">
        <f>VLOOKUP(Таблица3[[#This Row],[Менеджер по продажам]],'Справочная информация'!B$2:C$6,2,0)</f>
        <v>0.15</v>
      </c>
      <c r="P93" s="5">
        <f>Таблица3[[#This Row],[Цена продажи с учетом персональной скидки, руб.]]*O93</f>
        <v>92.85</v>
      </c>
      <c r="Q93" s="61"/>
    </row>
    <row r="94" spans="1:17" x14ac:dyDescent="0.25">
      <c r="A94" s="10">
        <f t="shared" si="1"/>
        <v>93</v>
      </c>
      <c r="B94" s="5" t="s">
        <v>419</v>
      </c>
      <c r="C94" s="5">
        <f>IF(OR(B94="Гаврилов Н.А.",Таблица3[[#This Row],[Менеджер по продажам]]="Никифорова В.М."),1,IF(Таблица3[[#This Row],[Менеджер по продажам]]="Соколов Г.П.",3,2))</f>
        <v>2</v>
      </c>
      <c r="D94" s="5" t="s">
        <v>7</v>
      </c>
      <c r="E94" s="5" t="s">
        <v>9</v>
      </c>
      <c r="F94" s="4" t="s">
        <v>8</v>
      </c>
      <c r="G94" s="5" t="str">
        <f>VLOOKUP(Таблица3[[#This Row],[Наименование товара]],Склад!$A$3:$B$8,2,1)</f>
        <v>Colisto</v>
      </c>
      <c r="H94" s="14">
        <v>44927</v>
      </c>
      <c r="I94" s="8">
        <f>INT((MONTH(Таблица3[[#This Row],[Дата продажи]])+2)/3)</f>
        <v>1</v>
      </c>
      <c r="J94" s="5">
        <f>INDEX(Склад!$A$3:$M$8, MATCH(Таблица3[[#This Row],[Наименование товара]], Склад!$A$3:$A$8, 0), 9)</f>
        <v>97.2</v>
      </c>
      <c r="K9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4" s="5">
        <v>0</v>
      </c>
      <c r="N94" s="5">
        <f>CEILING((Таблица3[[#This Row],[Цена за единицу (с учетом наценки продавца), руб.]] - Таблица3[[#This Row],[Цена за единицу (с учетом наценки продавца), руб.]]*M94),1)</f>
        <v>619</v>
      </c>
      <c r="O94" s="21">
        <f>VLOOKUP(Таблица3[[#This Row],[Менеджер по продажам]],'Справочная информация'!B$2:C$6,2,0)</f>
        <v>0.15</v>
      </c>
      <c r="P94" s="5">
        <f>Таблица3[[#This Row],[Цена продажи с учетом персональной скидки, руб.]]*O94</f>
        <v>92.85</v>
      </c>
      <c r="Q94" s="61"/>
    </row>
    <row r="95" spans="1:17" x14ac:dyDescent="0.25">
      <c r="A95" s="10">
        <f t="shared" si="1"/>
        <v>94</v>
      </c>
      <c r="B95" s="5" t="s">
        <v>419</v>
      </c>
      <c r="C95" s="5">
        <f>IF(OR(B95="Гаврилов Н.А.",Таблица3[[#This Row],[Менеджер по продажам]]="Никифорова В.М."),1,IF(Таблица3[[#This Row],[Менеджер по продажам]]="Соколов Г.П.",3,2))</f>
        <v>2</v>
      </c>
      <c r="D95" s="5" t="s">
        <v>293</v>
      </c>
      <c r="E95" s="5" t="s">
        <v>9</v>
      </c>
      <c r="F95" s="4" t="s">
        <v>8</v>
      </c>
      <c r="G95" s="5" t="str">
        <f>VLOOKUP(Таблица3[[#This Row],[Наименование товара]],Склад!$A$3:$B$8,2,1)</f>
        <v>Colisto</v>
      </c>
      <c r="H95" s="14">
        <v>44991</v>
      </c>
      <c r="I95" s="8">
        <f>INT((MONTH(Таблица3[[#This Row],[Дата продажи]])+2)/3)</f>
        <v>1</v>
      </c>
      <c r="J95" s="5">
        <f>INDEX(Склад!$A$3:$M$8, MATCH(Таблица3[[#This Row],[Наименование товара]], Склад!$A$3:$A$8, 0), 9)</f>
        <v>97.2</v>
      </c>
      <c r="K9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5" s="5">
        <v>0</v>
      </c>
      <c r="N95" s="5">
        <f>CEILING((Таблица3[[#This Row],[Цена за единицу (с учетом наценки продавца), руб.]] - Таблица3[[#This Row],[Цена за единицу (с учетом наценки продавца), руб.]]*M95),1)</f>
        <v>619</v>
      </c>
      <c r="O95" s="21">
        <f>VLOOKUP(Таблица3[[#This Row],[Менеджер по продажам]],'Справочная информация'!B$2:C$6,2,0)</f>
        <v>0.15</v>
      </c>
      <c r="P95" s="5">
        <f>Таблица3[[#This Row],[Цена продажи с учетом персональной скидки, руб.]]*O95</f>
        <v>92.85</v>
      </c>
      <c r="Q95" s="61"/>
    </row>
    <row r="96" spans="1:17" x14ac:dyDescent="0.25">
      <c r="A96" s="10">
        <f t="shared" si="1"/>
        <v>95</v>
      </c>
      <c r="B96" s="5" t="s">
        <v>419</v>
      </c>
      <c r="C96" s="5">
        <f>IF(OR(B96="Гаврилов Н.А.",Таблица3[[#This Row],[Менеджер по продажам]]="Никифорова В.М."),1,IF(Таблица3[[#This Row],[Менеджер по продажам]]="Соколов Г.П.",3,2))</f>
        <v>2</v>
      </c>
      <c r="D96" s="5" t="s">
        <v>355</v>
      </c>
      <c r="E96" s="5" t="s">
        <v>356</v>
      </c>
      <c r="F96" s="4" t="s">
        <v>8</v>
      </c>
      <c r="G96" s="5" t="str">
        <f>VLOOKUP(Таблица3[[#This Row],[Наименование товара]],Склад!$A$3:$B$8,2,1)</f>
        <v>Colisto</v>
      </c>
      <c r="H96" s="14">
        <v>45004</v>
      </c>
      <c r="I96" s="8">
        <f>INT((MONTH(Таблица3[[#This Row],[Дата продажи]])+2)/3)</f>
        <v>1</v>
      </c>
      <c r="J96" s="5">
        <f>INDEX(Склад!$A$3:$M$8, MATCH(Таблица3[[#This Row],[Наименование товара]], Склад!$A$3:$A$8, 0), 9)</f>
        <v>97.2</v>
      </c>
      <c r="K9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6" s="5">
        <v>0</v>
      </c>
      <c r="N96" s="5">
        <f>CEILING((Таблица3[[#This Row],[Цена за единицу (с учетом наценки продавца), руб.]] - Таблица3[[#This Row],[Цена за единицу (с учетом наценки продавца), руб.]]*M96),1)</f>
        <v>619</v>
      </c>
      <c r="O96" s="21">
        <f>VLOOKUP(Таблица3[[#This Row],[Менеджер по продажам]],'Справочная информация'!B$2:C$6,2,0)</f>
        <v>0.15</v>
      </c>
      <c r="P96" s="5">
        <f>Таблица3[[#This Row],[Цена продажи с учетом персональной скидки, руб.]]*O96</f>
        <v>92.85</v>
      </c>
      <c r="Q96" s="61"/>
    </row>
    <row r="97" spans="1:17" x14ac:dyDescent="0.25">
      <c r="A97" s="10">
        <f t="shared" si="1"/>
        <v>96</v>
      </c>
      <c r="B97" s="5" t="s">
        <v>419</v>
      </c>
      <c r="C97" s="5">
        <f>IF(OR(B97="Гаврилов Н.А.",Таблица3[[#This Row],[Менеджер по продажам]]="Никифорова В.М."),1,IF(Таблица3[[#This Row],[Менеджер по продажам]]="Соколов Г.П.",3,2))</f>
        <v>2</v>
      </c>
      <c r="D97" s="5" t="s">
        <v>384</v>
      </c>
      <c r="E97" s="5" t="s">
        <v>356</v>
      </c>
      <c r="F97" s="4" t="s">
        <v>8</v>
      </c>
      <c r="G97" s="5" t="str">
        <f>VLOOKUP(Таблица3[[#This Row],[Наименование товара]],Склад!$A$3:$B$8,2,1)</f>
        <v>Colisto</v>
      </c>
      <c r="H97" s="14">
        <v>45009</v>
      </c>
      <c r="I97" s="8">
        <f>INT((MONTH(Таблица3[[#This Row],[Дата продажи]])+2)/3)</f>
        <v>1</v>
      </c>
      <c r="J97" s="5">
        <f>INDEX(Склад!$A$3:$M$8, MATCH(Таблица3[[#This Row],[Наименование товара]], Склад!$A$3:$A$8, 0), 9)</f>
        <v>97.2</v>
      </c>
      <c r="K9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7" s="5">
        <v>0</v>
      </c>
      <c r="N97" s="5">
        <f>CEILING((Таблица3[[#This Row],[Цена за единицу (с учетом наценки продавца), руб.]] - Таблица3[[#This Row],[Цена за единицу (с учетом наценки продавца), руб.]]*M97),1)</f>
        <v>619</v>
      </c>
      <c r="O97" s="21">
        <f>VLOOKUP(Таблица3[[#This Row],[Менеджер по продажам]],'Справочная информация'!B$2:C$6,2,0)</f>
        <v>0.15</v>
      </c>
      <c r="P97" s="5">
        <f>Таблица3[[#This Row],[Цена продажи с учетом персональной скидки, руб.]]*O97</f>
        <v>92.85</v>
      </c>
      <c r="Q97" s="61"/>
    </row>
    <row r="98" spans="1:17" x14ac:dyDescent="0.25">
      <c r="A98" s="10">
        <f t="shared" si="1"/>
        <v>97</v>
      </c>
      <c r="B98" s="5" t="s">
        <v>419</v>
      </c>
      <c r="C98" s="5">
        <f>IF(OR(B98="Гаврилов Н.А.",Таблица3[[#This Row],[Менеджер по продажам]]="Никифорова В.М."),1,IF(Таблица3[[#This Row],[Менеджер по продажам]]="Соколов Г.П.",3,2))</f>
        <v>2</v>
      </c>
      <c r="D98" s="5" t="s">
        <v>143</v>
      </c>
      <c r="E98" s="5" t="s">
        <v>113</v>
      </c>
      <c r="F98" s="4" t="s">
        <v>8</v>
      </c>
      <c r="G98" s="5" t="str">
        <f>VLOOKUP(Таблица3[[#This Row],[Наименование товара]],Склад!$A$3:$B$8,2,1)</f>
        <v>Colisto</v>
      </c>
      <c r="H98" s="14">
        <v>44956</v>
      </c>
      <c r="I98" s="8">
        <f>INT((MONTH(Таблица3[[#This Row],[Дата продажи]])+2)/3)</f>
        <v>1</v>
      </c>
      <c r="J98" s="5">
        <f>INDEX(Склад!$A$3:$M$8, MATCH(Таблица3[[#This Row],[Наименование товара]], Склад!$A$3:$A$8, 0), 9)</f>
        <v>97.2</v>
      </c>
      <c r="K9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8" s="5">
        <v>0</v>
      </c>
      <c r="N98" s="5">
        <f>CEILING((Таблица3[[#This Row],[Цена за единицу (с учетом наценки продавца), руб.]] - Таблица3[[#This Row],[Цена за единицу (с учетом наценки продавца), руб.]]*M98),1)</f>
        <v>619</v>
      </c>
      <c r="O98" s="21">
        <f>VLOOKUP(Таблица3[[#This Row],[Менеджер по продажам]],'Справочная информация'!B$2:C$6,2,0)</f>
        <v>0.15</v>
      </c>
      <c r="P98" s="5">
        <f>Таблица3[[#This Row],[Цена продажи с учетом персональной скидки, руб.]]*O98</f>
        <v>92.85</v>
      </c>
      <c r="Q98" s="61"/>
    </row>
    <row r="99" spans="1:17" x14ac:dyDescent="0.25">
      <c r="A99" s="10">
        <f t="shared" si="1"/>
        <v>98</v>
      </c>
      <c r="B99" s="5" t="s">
        <v>419</v>
      </c>
      <c r="C99" s="5">
        <f>IF(OR(B99="Гаврилов Н.А.",Таблица3[[#This Row],[Менеджер по продажам]]="Никифорова В.М."),1,IF(Таблица3[[#This Row],[Менеджер по продажам]]="Соколов Г.П.",3,2))</f>
        <v>2</v>
      </c>
      <c r="D99" s="5" t="s">
        <v>114</v>
      </c>
      <c r="E99" s="5" t="s">
        <v>20</v>
      </c>
      <c r="F99" s="4" t="s">
        <v>8</v>
      </c>
      <c r="G99" s="5" t="str">
        <f>VLOOKUP(Таблица3[[#This Row],[Наименование товара]],Склад!$A$3:$B$8,2,1)</f>
        <v>Colisto</v>
      </c>
      <c r="H99" s="14">
        <v>44949</v>
      </c>
      <c r="I99" s="8">
        <f>INT((MONTH(Таблица3[[#This Row],[Дата продажи]])+2)/3)</f>
        <v>1</v>
      </c>
      <c r="J99" s="5">
        <f>INDEX(Склад!$A$3:$M$8, MATCH(Таблица3[[#This Row],[Наименование товара]], Склад!$A$3:$A$8, 0), 9)</f>
        <v>97.2</v>
      </c>
      <c r="K9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9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99" s="5">
        <v>0</v>
      </c>
      <c r="N99" s="5">
        <f>CEILING((Таблица3[[#This Row],[Цена за единицу (с учетом наценки продавца), руб.]] - Таблица3[[#This Row],[Цена за единицу (с учетом наценки продавца), руб.]]*M99),1)</f>
        <v>619</v>
      </c>
      <c r="O99" s="21">
        <f>VLOOKUP(Таблица3[[#This Row],[Менеджер по продажам]],'Справочная информация'!B$2:C$6,2,0)</f>
        <v>0.15</v>
      </c>
      <c r="P99" s="5">
        <f>Таблица3[[#This Row],[Цена продажи с учетом персональной скидки, руб.]]*O99</f>
        <v>92.85</v>
      </c>
      <c r="Q99" s="61"/>
    </row>
    <row r="100" spans="1:17" x14ac:dyDescent="0.25">
      <c r="A100" s="10">
        <f t="shared" si="1"/>
        <v>99</v>
      </c>
      <c r="B100" s="5" t="s">
        <v>419</v>
      </c>
      <c r="C100" s="5">
        <f>IF(OR(B100="Гаврилов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0" s="5" t="s">
        <v>90</v>
      </c>
      <c r="E100" s="5" t="s">
        <v>34</v>
      </c>
      <c r="F100" s="4" t="s">
        <v>8</v>
      </c>
      <c r="G100" s="5" t="str">
        <f>VLOOKUP(Таблица3[[#This Row],[Наименование товара]],Склад!$A$3:$B$8,2,1)</f>
        <v>Colisto</v>
      </c>
      <c r="H100" s="14">
        <v>44944</v>
      </c>
      <c r="I100" s="8">
        <f>INT((MONTH(Таблица3[[#This Row],[Дата продажи]])+2)/3)</f>
        <v>1</v>
      </c>
      <c r="J100" s="5">
        <f>INDEX(Склад!$A$3:$M$8, MATCH(Таблица3[[#This Row],[Наименование товара]], Склад!$A$3:$A$8, 0), 9)</f>
        <v>97.2</v>
      </c>
      <c r="K10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0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00" s="5">
        <v>0</v>
      </c>
      <c r="N100" s="5">
        <f>CEILING((Таблица3[[#This Row],[Цена за единицу (с учетом наценки продавца), руб.]] - Таблица3[[#This Row],[Цена за единицу (с учетом наценки продавца), руб.]]*M100),1)</f>
        <v>619</v>
      </c>
      <c r="O100" s="21">
        <f>VLOOKUP(Таблица3[[#This Row],[Менеджер по продажам]],'Справочная информация'!B$2:C$6,2,0)</f>
        <v>0.15</v>
      </c>
      <c r="P100" s="5">
        <f>Таблица3[[#This Row],[Цена продажи с учетом персональной скидки, руб.]]*O100</f>
        <v>92.85</v>
      </c>
      <c r="Q100" s="61"/>
    </row>
    <row r="101" spans="1:17" x14ac:dyDescent="0.25">
      <c r="A101" s="10">
        <f t="shared" si="1"/>
        <v>100</v>
      </c>
      <c r="B101" s="5" t="s">
        <v>419</v>
      </c>
      <c r="C101" s="5">
        <f>IF(OR(B101="Гаврилов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1" s="5" t="s">
        <v>53</v>
      </c>
      <c r="E101" s="5" t="s">
        <v>18</v>
      </c>
      <c r="F101" s="4" t="s">
        <v>8</v>
      </c>
      <c r="G101" s="5" t="str">
        <f>VLOOKUP(Таблица3[[#This Row],[Наименование товара]],Склад!$A$3:$B$8,2,1)</f>
        <v>Colisto</v>
      </c>
      <c r="H101" s="14">
        <v>44936</v>
      </c>
      <c r="I101" s="8">
        <f>INT((MONTH(Таблица3[[#This Row],[Дата продажи]])+2)/3)</f>
        <v>1</v>
      </c>
      <c r="J101" s="5">
        <f>INDEX(Склад!$A$3:$M$8, MATCH(Таблица3[[#This Row],[Наименование товара]], Склад!$A$3:$A$8, 0), 9)</f>
        <v>97.2</v>
      </c>
      <c r="K10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0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01" s="5">
        <v>0</v>
      </c>
      <c r="N101" s="5">
        <f>CEILING((Таблица3[[#This Row],[Цена за единицу (с учетом наценки продавца), руб.]] - Таблица3[[#This Row],[Цена за единицу (с учетом наценки продавца), руб.]]*M101),1)</f>
        <v>619</v>
      </c>
      <c r="O101" s="21">
        <f>VLOOKUP(Таблица3[[#This Row],[Менеджер по продажам]],'Справочная информация'!B$2:C$6,2,0)</f>
        <v>0.15</v>
      </c>
      <c r="P101" s="5">
        <f>Таблица3[[#This Row],[Цена продажи с учетом персональной скидки, руб.]]*O101</f>
        <v>92.85</v>
      </c>
      <c r="Q101" s="61"/>
    </row>
    <row r="102" spans="1:17" x14ac:dyDescent="0.25">
      <c r="A102" s="10">
        <f t="shared" si="1"/>
        <v>101</v>
      </c>
      <c r="B102" s="5" t="s">
        <v>419</v>
      </c>
      <c r="C102" s="5">
        <f>IF(OR(B102="Гаврилов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2" s="5" t="s">
        <v>252</v>
      </c>
      <c r="E102" s="5" t="s">
        <v>20</v>
      </c>
      <c r="F102" s="4" t="s">
        <v>8</v>
      </c>
      <c r="G102" s="5" t="str">
        <f>VLOOKUP(Таблица3[[#This Row],[Наименование товара]],Склад!$A$3:$B$8,2,1)</f>
        <v>Colisto</v>
      </c>
      <c r="H102" s="14">
        <v>44981</v>
      </c>
      <c r="I102" s="8">
        <f>INT((MONTH(Таблица3[[#This Row],[Дата продажи]])+2)/3)</f>
        <v>1</v>
      </c>
      <c r="J102" s="5">
        <f>INDEX(Склад!$A$3:$M$8, MATCH(Таблица3[[#This Row],[Наименование товара]], Склад!$A$3:$A$8, 0), 9)</f>
        <v>97.2</v>
      </c>
      <c r="K10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0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02" s="5">
        <v>0</v>
      </c>
      <c r="N102" s="5">
        <f>CEILING((Таблица3[[#This Row],[Цена за единицу (с учетом наценки продавца), руб.]] - Таблица3[[#This Row],[Цена за единицу (с учетом наценки продавца), руб.]]*M102),1)</f>
        <v>619</v>
      </c>
      <c r="O102" s="21">
        <f>VLOOKUP(Таблица3[[#This Row],[Менеджер по продажам]],'Справочная информация'!B$2:C$6,2,0)</f>
        <v>0.15</v>
      </c>
      <c r="P102" s="5">
        <f>Таблица3[[#This Row],[Цена продажи с учетом персональной скидки, руб.]]*O102</f>
        <v>92.85</v>
      </c>
      <c r="Q102" s="61"/>
    </row>
    <row r="103" spans="1:17" x14ac:dyDescent="0.25">
      <c r="A103" s="10">
        <f t="shared" si="1"/>
        <v>102</v>
      </c>
      <c r="B103" s="5" t="s">
        <v>419</v>
      </c>
      <c r="C103" s="5">
        <f>IF(OR(B103="Гаврилов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3" s="5" t="s">
        <v>124</v>
      </c>
      <c r="E103" s="5" t="s">
        <v>9</v>
      </c>
      <c r="F103" s="4" t="s">
        <v>8</v>
      </c>
      <c r="G103" s="5" t="str">
        <f>VLOOKUP(Таблица3[[#This Row],[Наименование товара]],Склад!$A$3:$B$8,2,1)</f>
        <v>Colisto</v>
      </c>
      <c r="H103" s="14">
        <v>44952</v>
      </c>
      <c r="I103" s="8">
        <f>INT((MONTH(Таблица3[[#This Row],[Дата продажи]])+2)/3)</f>
        <v>1</v>
      </c>
      <c r="J103" s="5">
        <f>INDEX(Склад!$A$3:$M$8, MATCH(Таблица3[[#This Row],[Наименование товара]], Склад!$A$3:$A$8, 0), 9)</f>
        <v>97.2</v>
      </c>
      <c r="K10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0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03" s="5">
        <v>0</v>
      </c>
      <c r="N103" s="5">
        <f>CEILING((Таблица3[[#This Row],[Цена за единицу (с учетом наценки продавца), руб.]] - Таблица3[[#This Row],[Цена за единицу (с учетом наценки продавца), руб.]]*M103),1)</f>
        <v>619</v>
      </c>
      <c r="O103" s="21">
        <f>VLOOKUP(Таблица3[[#This Row],[Менеджер по продажам]],'Справочная информация'!B$2:C$6,2,0)</f>
        <v>0.15</v>
      </c>
      <c r="P103" s="5">
        <f>Таблица3[[#This Row],[Цена продажи с учетом персональной скидки, руб.]]*O103</f>
        <v>92.85</v>
      </c>
      <c r="Q103" s="61"/>
    </row>
    <row r="104" spans="1:17" x14ac:dyDescent="0.25">
      <c r="A104" s="10">
        <f t="shared" si="1"/>
        <v>103</v>
      </c>
      <c r="B104" s="5" t="s">
        <v>419</v>
      </c>
      <c r="C104" s="5">
        <f>IF(OR(B104="Гаврилов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4" s="5" t="s">
        <v>135</v>
      </c>
      <c r="E104" s="5" t="s">
        <v>18</v>
      </c>
      <c r="F104" s="4" t="s">
        <v>22</v>
      </c>
      <c r="G104" s="5" t="str">
        <f>VLOOKUP(Таблица3[[#This Row],[Наименование товара]],Склад!$A$3:$B$8,2,1)</f>
        <v>Porto</v>
      </c>
      <c r="H104" s="14">
        <v>44955</v>
      </c>
      <c r="I104" s="8">
        <f>INT((MONTH(Таблица3[[#This Row],[Дата продажи]])+2)/3)</f>
        <v>1</v>
      </c>
      <c r="J104" s="5">
        <f>INDEX(Склад!$A$3:$M$8, MATCH(Таблица3[[#This Row],[Наименование товара]], Склад!$A$3:$A$8, 0), 9)</f>
        <v>119.43</v>
      </c>
      <c r="K10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4" s="5">
        <v>0</v>
      </c>
      <c r="N104" s="5">
        <f>CEILING((Таблица3[[#This Row],[Цена за единицу (с учетом наценки продавца), руб.]] - Таблица3[[#This Row],[Цена за единицу (с учетом наценки продавца), руб.]]*M104),1)</f>
        <v>696</v>
      </c>
      <c r="O104" s="21">
        <f>VLOOKUP(Таблица3[[#This Row],[Менеджер по продажам]],'Справочная информация'!B$2:C$6,2,0)</f>
        <v>0.15</v>
      </c>
      <c r="P104" s="5">
        <f>Таблица3[[#This Row],[Цена продажи с учетом персональной скидки, руб.]]*O104</f>
        <v>104.39999999999999</v>
      </c>
      <c r="Q104" s="61"/>
    </row>
    <row r="105" spans="1:17" x14ac:dyDescent="0.25">
      <c r="A105" s="10">
        <f t="shared" si="1"/>
        <v>104</v>
      </c>
      <c r="B105" s="5" t="s">
        <v>419</v>
      </c>
      <c r="C105" s="5">
        <f>IF(OR(B105="Гаврилов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5" s="5" t="s">
        <v>406</v>
      </c>
      <c r="E105" s="5" t="s">
        <v>356</v>
      </c>
      <c r="F105" s="4" t="s">
        <v>22</v>
      </c>
      <c r="G105" s="5" t="str">
        <f>VLOOKUP(Таблица3[[#This Row],[Наименование товара]],Склад!$A$3:$B$8,2,1)</f>
        <v>Porto</v>
      </c>
      <c r="H105" s="14">
        <v>45015</v>
      </c>
      <c r="I105" s="8">
        <f>INT((MONTH(Таблица3[[#This Row],[Дата продажи]])+2)/3)</f>
        <v>1</v>
      </c>
      <c r="J105" s="5">
        <f>INDEX(Склад!$A$3:$M$8, MATCH(Таблица3[[#This Row],[Наименование товара]], Склад!$A$3:$A$8, 0), 9)</f>
        <v>119.43</v>
      </c>
      <c r="K105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5" s="5">
        <v>0</v>
      </c>
      <c r="N105" s="5">
        <f>CEILING((Таблица3[[#This Row],[Цена за единицу (с учетом наценки продавца), руб.]] - Таблица3[[#This Row],[Цена за единицу (с учетом наценки продавца), руб.]]*M105),1)</f>
        <v>696</v>
      </c>
      <c r="O105" s="21">
        <f>VLOOKUP(Таблица3[[#This Row],[Менеджер по продажам]],'Справочная информация'!B$2:C$6,2,0)</f>
        <v>0.15</v>
      </c>
      <c r="P105" s="5">
        <f>Таблица3[[#This Row],[Цена продажи с учетом персональной скидки, руб.]]*O105</f>
        <v>104.39999999999999</v>
      </c>
      <c r="Q105" s="61"/>
    </row>
    <row r="106" spans="1:17" x14ac:dyDescent="0.25">
      <c r="A106" s="10">
        <f t="shared" si="1"/>
        <v>105</v>
      </c>
      <c r="B106" s="5" t="s">
        <v>419</v>
      </c>
      <c r="C106" s="5">
        <f>IF(OR(B106="Гаврилов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6" s="5" t="s">
        <v>162</v>
      </c>
      <c r="E106" s="5" t="s">
        <v>113</v>
      </c>
      <c r="F106" s="4" t="s">
        <v>22</v>
      </c>
      <c r="G106" s="5" t="str">
        <f>VLOOKUP(Таблица3[[#This Row],[Наименование товара]],Склад!$A$3:$B$8,2,1)</f>
        <v>Porto</v>
      </c>
      <c r="H106" s="14">
        <v>44961</v>
      </c>
      <c r="I106" s="8">
        <f>INT((MONTH(Таблица3[[#This Row],[Дата продажи]])+2)/3)</f>
        <v>1</v>
      </c>
      <c r="J106" s="5">
        <f>INDEX(Склад!$A$3:$M$8, MATCH(Таблица3[[#This Row],[Наименование товара]], Склад!$A$3:$A$8, 0), 9)</f>
        <v>119.43</v>
      </c>
      <c r="K10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6" s="5">
        <v>0</v>
      </c>
      <c r="N106" s="5">
        <f>CEILING((Таблица3[[#This Row],[Цена за единицу (с учетом наценки продавца), руб.]] - Таблица3[[#This Row],[Цена за единицу (с учетом наценки продавца), руб.]]*M106),1)</f>
        <v>696</v>
      </c>
      <c r="O106" s="21">
        <f>VLOOKUP(Таблица3[[#This Row],[Менеджер по продажам]],'Справочная информация'!B$2:C$6,2,0)</f>
        <v>0.15</v>
      </c>
      <c r="P106" s="5">
        <f>Таблица3[[#This Row],[Цена продажи с учетом персональной скидки, руб.]]*O106</f>
        <v>104.39999999999999</v>
      </c>
      <c r="Q106" s="61"/>
    </row>
    <row r="107" spans="1:17" x14ac:dyDescent="0.25">
      <c r="A107" s="10">
        <f t="shared" si="1"/>
        <v>106</v>
      </c>
      <c r="B107" s="5" t="s">
        <v>419</v>
      </c>
      <c r="C107" s="5">
        <f>IF(OR(B107="Гаврилов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7" s="5" t="s">
        <v>35</v>
      </c>
      <c r="E107" s="5" t="s">
        <v>9</v>
      </c>
      <c r="F107" s="4" t="s">
        <v>22</v>
      </c>
      <c r="G107" s="5" t="str">
        <f>VLOOKUP(Таблица3[[#This Row],[Наименование товара]],Склад!$A$3:$B$8,2,1)</f>
        <v>Porto</v>
      </c>
      <c r="H107" s="14">
        <v>44933</v>
      </c>
      <c r="I107" s="8">
        <f>INT((MONTH(Таблица3[[#This Row],[Дата продажи]])+2)/3)</f>
        <v>1</v>
      </c>
      <c r="J107" s="5">
        <f>INDEX(Склад!$A$3:$M$8, MATCH(Таблица3[[#This Row],[Наименование товара]], Склад!$A$3:$A$8, 0), 9)</f>
        <v>119.43</v>
      </c>
      <c r="K107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7" s="5">
        <v>0</v>
      </c>
      <c r="N107" s="5">
        <f>CEILING((Таблица3[[#This Row],[Цена за единицу (с учетом наценки продавца), руб.]] - Таблица3[[#This Row],[Цена за единицу (с учетом наценки продавца), руб.]]*M107),1)</f>
        <v>696</v>
      </c>
      <c r="O107" s="21">
        <f>VLOOKUP(Таблица3[[#This Row],[Менеджер по продажам]],'Справочная информация'!B$2:C$6,2,0)</f>
        <v>0.15</v>
      </c>
      <c r="P107" s="5">
        <f>Таблица3[[#This Row],[Цена продажи с учетом персональной скидки, руб.]]*O107</f>
        <v>104.39999999999999</v>
      </c>
      <c r="Q107" s="61"/>
    </row>
    <row r="108" spans="1:17" x14ac:dyDescent="0.25">
      <c r="A108" s="10">
        <f t="shared" si="1"/>
        <v>107</v>
      </c>
      <c r="B108" s="5" t="s">
        <v>419</v>
      </c>
      <c r="C108" s="5">
        <f>IF(OR(B108="Гаврилов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8" s="5" t="s">
        <v>282</v>
      </c>
      <c r="E108" s="5" t="s">
        <v>9</v>
      </c>
      <c r="F108" s="4" t="s">
        <v>22</v>
      </c>
      <c r="G108" s="5" t="str">
        <f>VLOOKUP(Таблица3[[#This Row],[Наименование товара]],Склад!$A$3:$B$8,2,1)</f>
        <v>Porto</v>
      </c>
      <c r="H108" s="14">
        <v>44989</v>
      </c>
      <c r="I108" s="8">
        <f>INT((MONTH(Таблица3[[#This Row],[Дата продажи]])+2)/3)</f>
        <v>1</v>
      </c>
      <c r="J108" s="5">
        <f>INDEX(Склад!$A$3:$M$8, MATCH(Таблица3[[#This Row],[Наименование товара]], Склад!$A$3:$A$8, 0), 9)</f>
        <v>119.43</v>
      </c>
      <c r="K108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8" s="5">
        <v>0</v>
      </c>
      <c r="N108" s="5">
        <f>CEILING((Таблица3[[#This Row],[Цена за единицу (с учетом наценки продавца), руб.]] - Таблица3[[#This Row],[Цена за единицу (с учетом наценки продавца), руб.]]*M108),1)</f>
        <v>696</v>
      </c>
      <c r="O108" s="21">
        <f>VLOOKUP(Таблица3[[#This Row],[Менеджер по продажам]],'Справочная информация'!B$2:C$6,2,0)</f>
        <v>0.15</v>
      </c>
      <c r="P108" s="5">
        <f>Таблица3[[#This Row],[Цена продажи с учетом персональной скидки, руб.]]*O108</f>
        <v>104.39999999999999</v>
      </c>
      <c r="Q108" s="61"/>
    </row>
    <row r="109" spans="1:17" x14ac:dyDescent="0.25">
      <c r="A109" s="10">
        <f t="shared" si="1"/>
        <v>108</v>
      </c>
      <c r="B109" s="5" t="s">
        <v>419</v>
      </c>
      <c r="C109" s="5">
        <f>IF(OR(B109="Гаврилов Н.А.",Таблица3[[#This Row],[Менеджер по продажам]]="Никифорова В.М."),1,IF(Таблица3[[#This Row],[Менеджер по продажам]]="Соколов Г.П.",3,2))</f>
        <v>2</v>
      </c>
      <c r="D109" s="5" t="s">
        <v>283</v>
      </c>
      <c r="E109" s="5" t="s">
        <v>9</v>
      </c>
      <c r="F109" s="4" t="s">
        <v>22</v>
      </c>
      <c r="G109" s="5" t="str">
        <f>VLOOKUP(Таблица3[[#This Row],[Наименование товара]],Склад!$A$3:$B$8,2,1)</f>
        <v>Porto</v>
      </c>
      <c r="H109" s="14">
        <v>44989</v>
      </c>
      <c r="I109" s="8">
        <f>INT((MONTH(Таблица3[[#This Row],[Дата продажи]])+2)/3)</f>
        <v>1</v>
      </c>
      <c r="J109" s="5">
        <f>INDEX(Склад!$A$3:$M$8, MATCH(Таблица3[[#This Row],[Наименование товара]], Склад!$A$3:$A$8, 0), 9)</f>
        <v>119.43</v>
      </c>
      <c r="K109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0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09" s="5">
        <v>0</v>
      </c>
      <c r="N109" s="5">
        <f>CEILING((Таблица3[[#This Row],[Цена за единицу (с учетом наценки продавца), руб.]] - Таблица3[[#This Row],[Цена за единицу (с учетом наценки продавца), руб.]]*M109),1)</f>
        <v>696</v>
      </c>
      <c r="O109" s="21">
        <f>VLOOKUP(Таблица3[[#This Row],[Менеджер по продажам]],'Справочная информация'!B$2:C$6,2,0)</f>
        <v>0.15</v>
      </c>
      <c r="P109" s="5">
        <f>Таблица3[[#This Row],[Цена продажи с учетом персональной скидки, руб.]]*O109</f>
        <v>104.39999999999999</v>
      </c>
      <c r="Q109" s="61"/>
    </row>
    <row r="110" spans="1:17" x14ac:dyDescent="0.25">
      <c r="A110" s="10">
        <f t="shared" si="1"/>
        <v>109</v>
      </c>
      <c r="B110" s="5" t="s">
        <v>419</v>
      </c>
      <c r="C110" s="5">
        <f>IF(OR(B110="Гаврилов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0" s="5" t="s">
        <v>84</v>
      </c>
      <c r="E110" s="5" t="s">
        <v>9</v>
      </c>
      <c r="F110" s="4" t="s">
        <v>22</v>
      </c>
      <c r="G110" s="5" t="str">
        <f>VLOOKUP(Таблица3[[#This Row],[Наименование товара]],Склад!$A$3:$B$8,2,1)</f>
        <v>Porto</v>
      </c>
      <c r="H110" s="14">
        <v>44943</v>
      </c>
      <c r="I110" s="8">
        <f>INT((MONTH(Таблица3[[#This Row],[Дата продажи]])+2)/3)</f>
        <v>1</v>
      </c>
      <c r="J110" s="5">
        <f>INDEX(Склад!$A$3:$M$8, MATCH(Таблица3[[#This Row],[Наименование товара]], Склад!$A$3:$A$8, 0), 9)</f>
        <v>119.43</v>
      </c>
      <c r="K110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0" s="5">
        <v>0</v>
      </c>
      <c r="N110" s="5">
        <f>CEILING((Таблица3[[#This Row],[Цена за единицу (с учетом наценки продавца), руб.]] - Таблица3[[#This Row],[Цена за единицу (с учетом наценки продавца), руб.]]*M110),1)</f>
        <v>696</v>
      </c>
      <c r="O110" s="21">
        <f>VLOOKUP(Таблица3[[#This Row],[Менеджер по продажам]],'Справочная информация'!B$2:C$6,2,0)</f>
        <v>0.15</v>
      </c>
      <c r="P110" s="5">
        <f>Таблица3[[#This Row],[Цена продажи с учетом персональной скидки, руб.]]*O110</f>
        <v>104.39999999999999</v>
      </c>
      <c r="Q110" s="61"/>
    </row>
    <row r="111" spans="1:17" x14ac:dyDescent="0.25">
      <c r="A111" s="10">
        <f t="shared" si="1"/>
        <v>110</v>
      </c>
      <c r="B111" s="5" t="s">
        <v>419</v>
      </c>
      <c r="C111" s="5">
        <f>IF(OR(B111="Гаврилов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1" s="5" t="s">
        <v>138</v>
      </c>
      <c r="E111" s="5" t="s">
        <v>9</v>
      </c>
      <c r="F111" s="4" t="s">
        <v>22</v>
      </c>
      <c r="G111" s="5" t="str">
        <f>VLOOKUP(Таблица3[[#This Row],[Наименование товара]],Склад!$A$3:$B$8,2,1)</f>
        <v>Porto</v>
      </c>
      <c r="H111" s="14">
        <v>44955</v>
      </c>
      <c r="I111" s="8">
        <f>INT((MONTH(Таблица3[[#This Row],[Дата продажи]])+2)/3)</f>
        <v>1</v>
      </c>
      <c r="J111" s="5">
        <f>INDEX(Склад!$A$3:$M$8, MATCH(Таблица3[[#This Row],[Наименование товара]], Склад!$A$3:$A$8, 0), 9)</f>
        <v>119.43</v>
      </c>
      <c r="K111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1" s="5">
        <v>0.05</v>
      </c>
      <c r="N111" s="5">
        <f>CEILING((Таблица3[[#This Row],[Цена за единицу (с учетом наценки продавца), руб.]] - Таблица3[[#This Row],[Цена за единицу (с учетом наценки продавца), руб.]]*M111),1)</f>
        <v>662</v>
      </c>
      <c r="O111" s="21">
        <f>VLOOKUP(Таблица3[[#This Row],[Менеджер по продажам]],'Справочная информация'!B$2:C$6,2,0)</f>
        <v>0.15</v>
      </c>
      <c r="P111" s="5">
        <f>Таблица3[[#This Row],[Цена продажи с учетом персональной скидки, руб.]]*O111</f>
        <v>99.3</v>
      </c>
      <c r="Q111" s="61"/>
    </row>
    <row r="112" spans="1:17" x14ac:dyDescent="0.25">
      <c r="A112" s="10">
        <f t="shared" si="1"/>
        <v>111</v>
      </c>
      <c r="B112" s="5" t="s">
        <v>419</v>
      </c>
      <c r="C112" s="5">
        <f>IF(OR(B112="Гаврилов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2" s="5" t="s">
        <v>275</v>
      </c>
      <c r="E112" s="5" t="s">
        <v>20</v>
      </c>
      <c r="F112" s="4" t="s">
        <v>22</v>
      </c>
      <c r="G112" s="5" t="str">
        <f>VLOOKUP(Таблица3[[#This Row],[Наименование товара]],Склад!$A$3:$B$8,2,1)</f>
        <v>Porto</v>
      </c>
      <c r="H112" s="14">
        <v>44987</v>
      </c>
      <c r="I112" s="8">
        <f>INT((MONTH(Таблица3[[#This Row],[Дата продажи]])+2)/3)</f>
        <v>1</v>
      </c>
      <c r="J112" s="5">
        <f>INDEX(Склад!$A$3:$M$8, MATCH(Таблица3[[#This Row],[Наименование товара]], Склад!$A$3:$A$8, 0), 9)</f>
        <v>119.43</v>
      </c>
      <c r="K112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2" s="5">
        <v>0</v>
      </c>
      <c r="N112" s="5">
        <f>CEILING((Таблица3[[#This Row],[Цена за единицу (с учетом наценки продавца), руб.]] - Таблица3[[#This Row],[Цена за единицу (с учетом наценки продавца), руб.]]*M112),1)</f>
        <v>696</v>
      </c>
      <c r="O112" s="21">
        <f>VLOOKUP(Таблица3[[#This Row],[Менеджер по продажам]],'Справочная информация'!B$2:C$6,2,0)</f>
        <v>0.15</v>
      </c>
      <c r="P112" s="5">
        <f>Таблица3[[#This Row],[Цена продажи с учетом персональной скидки, руб.]]*O112</f>
        <v>104.39999999999999</v>
      </c>
      <c r="Q112" s="61"/>
    </row>
    <row r="113" spans="1:17" x14ac:dyDescent="0.25">
      <c r="A113" s="10">
        <f t="shared" si="1"/>
        <v>112</v>
      </c>
      <c r="B113" s="5" t="s">
        <v>419</v>
      </c>
      <c r="C113" s="5">
        <f>IF(OR(B113="Гаврилов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3" s="5" t="s">
        <v>26</v>
      </c>
      <c r="E113" s="5" t="s">
        <v>9</v>
      </c>
      <c r="F113" s="4" t="s">
        <v>22</v>
      </c>
      <c r="G113" s="5" t="str">
        <f>VLOOKUP(Таблица3[[#This Row],[Наименование товара]],Склад!$A$3:$B$8,2,1)</f>
        <v>Porto</v>
      </c>
      <c r="H113" s="14">
        <v>44929</v>
      </c>
      <c r="I113" s="8">
        <f>INT((MONTH(Таблица3[[#This Row],[Дата продажи]])+2)/3)</f>
        <v>1</v>
      </c>
      <c r="J113" s="5">
        <f>INDEX(Склад!$A$3:$M$8, MATCH(Таблица3[[#This Row],[Наименование товара]], Склад!$A$3:$A$8, 0), 9)</f>
        <v>119.43</v>
      </c>
      <c r="K113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3" s="5">
        <v>0</v>
      </c>
      <c r="N113" s="5">
        <f>CEILING((Таблица3[[#This Row],[Цена за единицу (с учетом наценки продавца), руб.]] - Таблица3[[#This Row],[Цена за единицу (с учетом наценки продавца), руб.]]*M113),1)</f>
        <v>696</v>
      </c>
      <c r="O113" s="21">
        <f>VLOOKUP(Таблица3[[#This Row],[Менеджер по продажам]],'Справочная информация'!B$2:C$6,2,0)</f>
        <v>0.15</v>
      </c>
      <c r="P113" s="5">
        <f>Таблица3[[#This Row],[Цена продажи с учетом персональной скидки, руб.]]*O113</f>
        <v>104.39999999999999</v>
      </c>
      <c r="Q113" s="61"/>
    </row>
    <row r="114" spans="1:17" x14ac:dyDescent="0.25">
      <c r="A114" s="10">
        <f t="shared" si="1"/>
        <v>113</v>
      </c>
      <c r="B114" s="5" t="s">
        <v>419</v>
      </c>
      <c r="C114" s="5">
        <f>IF(OR(B114="Гаврилов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4" s="5" t="s">
        <v>133</v>
      </c>
      <c r="E114" s="5" t="s">
        <v>113</v>
      </c>
      <c r="F114" s="4" t="s">
        <v>22</v>
      </c>
      <c r="G114" s="5" t="str">
        <f>VLOOKUP(Таблица3[[#This Row],[Наименование товара]],Склад!$A$3:$B$8,2,1)</f>
        <v>Porto</v>
      </c>
      <c r="H114" s="14">
        <v>44954</v>
      </c>
      <c r="I114" s="8">
        <f>INT((MONTH(Таблица3[[#This Row],[Дата продажи]])+2)/3)</f>
        <v>1</v>
      </c>
      <c r="J114" s="5">
        <f>INDEX(Склад!$A$3:$M$8, MATCH(Таблица3[[#This Row],[Наименование товара]], Склад!$A$3:$A$8, 0), 9)</f>
        <v>119.43</v>
      </c>
      <c r="K11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4" s="5">
        <v>0</v>
      </c>
      <c r="N114" s="5">
        <f>CEILING((Таблица3[[#This Row],[Цена за единицу (с учетом наценки продавца), руб.]] - Таблица3[[#This Row],[Цена за единицу (с учетом наценки продавца), руб.]]*M114),1)</f>
        <v>696</v>
      </c>
      <c r="O114" s="21">
        <f>VLOOKUP(Таблица3[[#This Row],[Менеджер по продажам]],'Справочная информация'!B$2:C$6,2,0)</f>
        <v>0.15</v>
      </c>
      <c r="P114" s="5">
        <f>Таблица3[[#This Row],[Цена продажи с учетом персональной скидки, руб.]]*O114</f>
        <v>104.39999999999999</v>
      </c>
      <c r="Q114" s="61"/>
    </row>
    <row r="115" spans="1:17" x14ac:dyDescent="0.25">
      <c r="A115" s="10">
        <f t="shared" si="1"/>
        <v>114</v>
      </c>
      <c r="B115" s="5" t="s">
        <v>419</v>
      </c>
      <c r="C115" s="5">
        <f>IF(OR(B115="Гаврилов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5" s="5" t="s">
        <v>245</v>
      </c>
      <c r="E115" s="5" t="s">
        <v>18</v>
      </c>
      <c r="F115" s="4" t="s">
        <v>22</v>
      </c>
      <c r="G115" s="5" t="str">
        <f>VLOOKUP(Таблица3[[#This Row],[Наименование товара]],Склад!$A$3:$B$8,2,1)</f>
        <v>Porto</v>
      </c>
      <c r="H115" s="14">
        <v>44979</v>
      </c>
      <c r="I115" s="8">
        <f>INT((MONTH(Таблица3[[#This Row],[Дата продажи]])+2)/3)</f>
        <v>1</v>
      </c>
      <c r="J115" s="5">
        <f>INDEX(Склад!$A$3:$M$8, MATCH(Таблица3[[#This Row],[Наименование товара]], Склад!$A$3:$A$8, 0), 9)</f>
        <v>119.43</v>
      </c>
      <c r="K115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5" s="5">
        <v>0</v>
      </c>
      <c r="N115" s="5">
        <f>CEILING((Таблица3[[#This Row],[Цена за единицу (с учетом наценки продавца), руб.]] - Таблица3[[#This Row],[Цена за единицу (с учетом наценки продавца), руб.]]*M115),1)</f>
        <v>696</v>
      </c>
      <c r="O115" s="21">
        <f>VLOOKUP(Таблица3[[#This Row],[Менеджер по продажам]],'Справочная информация'!B$2:C$6,2,0)</f>
        <v>0.15</v>
      </c>
      <c r="P115" s="5">
        <f>Таблица3[[#This Row],[Цена продажи с учетом персональной скидки, руб.]]*O115</f>
        <v>104.39999999999999</v>
      </c>
      <c r="Q115" s="61"/>
    </row>
    <row r="116" spans="1:17" x14ac:dyDescent="0.25">
      <c r="A116" s="10">
        <f t="shared" si="1"/>
        <v>115</v>
      </c>
      <c r="B116" s="5" t="s">
        <v>419</v>
      </c>
      <c r="C116" s="5">
        <f>IF(OR(B116="Гаврилов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6" s="5" t="s">
        <v>157</v>
      </c>
      <c r="E116" s="5" t="s">
        <v>9</v>
      </c>
      <c r="F116" s="4" t="s">
        <v>22</v>
      </c>
      <c r="G116" s="5" t="str">
        <f>VLOOKUP(Таблица3[[#This Row],[Наименование товара]],Склад!$A$3:$B$8,2,1)</f>
        <v>Porto</v>
      </c>
      <c r="H116" s="14">
        <v>44959</v>
      </c>
      <c r="I116" s="8">
        <f>INT((MONTH(Таблица3[[#This Row],[Дата продажи]])+2)/3)</f>
        <v>1</v>
      </c>
      <c r="J116" s="5">
        <f>INDEX(Склад!$A$3:$M$8, MATCH(Таблица3[[#This Row],[Наименование товара]], Склад!$A$3:$A$8, 0), 9)</f>
        <v>119.43</v>
      </c>
      <c r="K11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1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16" s="5">
        <v>0</v>
      </c>
      <c r="N116" s="5">
        <f>CEILING((Таблица3[[#This Row],[Цена за единицу (с учетом наценки продавца), руб.]] - Таблица3[[#This Row],[Цена за единицу (с учетом наценки продавца), руб.]]*M116),1)</f>
        <v>696</v>
      </c>
      <c r="O116" s="21">
        <f>VLOOKUP(Таблица3[[#This Row],[Менеджер по продажам]],'Справочная информация'!B$2:C$6,2,0)</f>
        <v>0.15</v>
      </c>
      <c r="P116" s="5">
        <f>Таблица3[[#This Row],[Цена продажи с учетом персональной скидки, руб.]]*O116</f>
        <v>104.39999999999999</v>
      </c>
      <c r="Q116" s="61"/>
    </row>
    <row r="117" spans="1:17" x14ac:dyDescent="0.25">
      <c r="A117" s="10">
        <f t="shared" si="1"/>
        <v>116</v>
      </c>
      <c r="B117" s="5" t="s">
        <v>419</v>
      </c>
      <c r="C117" s="5">
        <f>IF(OR(B117="Гаврилов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7" s="5" t="s">
        <v>36</v>
      </c>
      <c r="E117" s="5" t="s">
        <v>20</v>
      </c>
      <c r="F117" s="4" t="s">
        <v>37</v>
      </c>
      <c r="G117" s="5" t="str">
        <f>VLOOKUP(Таблица3[[#This Row],[Наименование товара]],Склад!$A$3:$B$8,2,1)</f>
        <v>Porto</v>
      </c>
      <c r="H117" s="14">
        <v>44933</v>
      </c>
      <c r="I117" s="8">
        <f>INT((MONTH(Таблица3[[#This Row],[Дата продажи]])+2)/3)</f>
        <v>1</v>
      </c>
      <c r="J117" s="5">
        <f>INDEX(Склад!$A$3:$M$8, MATCH(Таблица3[[#This Row],[Наименование товара]], Склад!$A$3:$A$8, 0), 9)</f>
        <v>109.24000000000001</v>
      </c>
      <c r="K117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1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17" s="5">
        <v>0</v>
      </c>
      <c r="N117" s="5">
        <f>CEILING((Таблица3[[#This Row],[Цена за единицу (с учетом наценки продавца), руб.]] - Таблица3[[#This Row],[Цена за единицу (с учетом наценки продавца), руб.]]*M117),1)</f>
        <v>681</v>
      </c>
      <c r="O117" s="21">
        <f>VLOOKUP(Таблица3[[#This Row],[Менеджер по продажам]],'Справочная информация'!B$2:C$6,2,0)</f>
        <v>0.15</v>
      </c>
      <c r="P117" s="5">
        <f>Таблица3[[#This Row],[Цена продажи с учетом персональной скидки, руб.]]*O117</f>
        <v>102.14999999999999</v>
      </c>
      <c r="Q117" s="61"/>
    </row>
    <row r="118" spans="1:17" x14ac:dyDescent="0.25">
      <c r="A118" s="10">
        <f t="shared" si="1"/>
        <v>117</v>
      </c>
      <c r="B118" s="5" t="s">
        <v>419</v>
      </c>
      <c r="C118" s="5">
        <f>IF(OR(B118="Гаврилов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8" s="5" t="s">
        <v>191</v>
      </c>
      <c r="E118" s="5" t="s">
        <v>9</v>
      </c>
      <c r="F118" s="4" t="s">
        <v>37</v>
      </c>
      <c r="G118" s="5" t="str">
        <f>VLOOKUP(Таблица3[[#This Row],[Наименование товара]],Склад!$A$3:$B$8,2,1)</f>
        <v>Porto</v>
      </c>
      <c r="H118" s="14">
        <v>44965</v>
      </c>
      <c r="I118" s="8">
        <f>INT((MONTH(Таблица3[[#This Row],[Дата продажи]])+2)/3)</f>
        <v>1</v>
      </c>
      <c r="J118" s="5">
        <f>INDEX(Склад!$A$3:$M$8, MATCH(Таблица3[[#This Row],[Наименование товара]], Склад!$A$3:$A$8, 0), 9)</f>
        <v>109.24000000000001</v>
      </c>
      <c r="K118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1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18" s="5">
        <v>0</v>
      </c>
      <c r="N118" s="5">
        <f>CEILING((Таблица3[[#This Row],[Цена за единицу (с учетом наценки продавца), руб.]] - Таблица3[[#This Row],[Цена за единицу (с учетом наценки продавца), руб.]]*M118),1)</f>
        <v>681</v>
      </c>
      <c r="O118" s="21">
        <f>VLOOKUP(Таблица3[[#This Row],[Менеджер по продажам]],'Справочная информация'!B$2:C$6,2,0)</f>
        <v>0.15</v>
      </c>
      <c r="P118" s="5">
        <f>Таблица3[[#This Row],[Цена продажи с учетом персональной скидки, руб.]]*O118</f>
        <v>102.14999999999999</v>
      </c>
      <c r="Q118" s="61"/>
    </row>
    <row r="119" spans="1:17" x14ac:dyDescent="0.25">
      <c r="A119" s="10">
        <f t="shared" si="1"/>
        <v>118</v>
      </c>
      <c r="B119" s="5" t="s">
        <v>419</v>
      </c>
      <c r="C119" s="5">
        <f>IF(OR(B119="Гаврилов Н.А.",Таблица3[[#This Row],[Менеджер по продажам]]="Никифорова В.М."),1,IF(Таблица3[[#This Row],[Менеджер по продажам]]="Соколов Г.П.",3,2))</f>
        <v>2</v>
      </c>
      <c r="D119" s="5" t="s">
        <v>62</v>
      </c>
      <c r="E119" s="5" t="s">
        <v>18</v>
      </c>
      <c r="F119" s="4" t="s">
        <v>37</v>
      </c>
      <c r="G119" s="5" t="str">
        <f>VLOOKUP(Таблица3[[#This Row],[Наименование товара]],Склад!$A$3:$B$8,2,1)</f>
        <v>Porto</v>
      </c>
      <c r="H119" s="14">
        <v>44938</v>
      </c>
      <c r="I119" s="8">
        <f>INT((MONTH(Таблица3[[#This Row],[Дата продажи]])+2)/3)</f>
        <v>1</v>
      </c>
      <c r="J119" s="5">
        <f>INDEX(Склад!$A$3:$M$8, MATCH(Таблица3[[#This Row],[Наименование товара]], Склад!$A$3:$A$8, 0), 9)</f>
        <v>109.24000000000001</v>
      </c>
      <c r="K119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1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19" s="5">
        <v>0</v>
      </c>
      <c r="N119" s="5">
        <f>CEILING((Таблица3[[#This Row],[Цена за единицу (с учетом наценки продавца), руб.]] - Таблица3[[#This Row],[Цена за единицу (с учетом наценки продавца), руб.]]*M119),1)</f>
        <v>681</v>
      </c>
      <c r="O119" s="21">
        <f>VLOOKUP(Таблица3[[#This Row],[Менеджер по продажам]],'Справочная информация'!B$2:C$6,2,0)</f>
        <v>0.15</v>
      </c>
      <c r="P119" s="5">
        <f>Таблица3[[#This Row],[Цена продажи с учетом персональной скидки, руб.]]*O119</f>
        <v>102.14999999999999</v>
      </c>
      <c r="Q119" s="61"/>
    </row>
    <row r="120" spans="1:17" x14ac:dyDescent="0.25">
      <c r="A120" s="10">
        <f t="shared" si="1"/>
        <v>119</v>
      </c>
      <c r="B120" s="5" t="s">
        <v>419</v>
      </c>
      <c r="C120" s="5">
        <f>IF(OR(B120="Гаврилов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0" s="5" t="s">
        <v>142</v>
      </c>
      <c r="E120" s="5" t="s">
        <v>9</v>
      </c>
      <c r="F120" s="4" t="s">
        <v>37</v>
      </c>
      <c r="G120" s="5" t="str">
        <f>VLOOKUP(Таблица3[[#This Row],[Наименование товара]],Склад!$A$3:$B$8,2,1)</f>
        <v>Porto</v>
      </c>
      <c r="H120" s="14">
        <v>44956</v>
      </c>
      <c r="I120" s="8">
        <f>INT((MONTH(Таблица3[[#This Row],[Дата продажи]])+2)/3)</f>
        <v>1</v>
      </c>
      <c r="J120" s="5">
        <f>INDEX(Склад!$A$3:$M$8, MATCH(Таблица3[[#This Row],[Наименование товара]], Склад!$A$3:$A$8, 0), 9)</f>
        <v>109.24000000000001</v>
      </c>
      <c r="K120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2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20" s="5">
        <v>0</v>
      </c>
      <c r="N120" s="5">
        <f>CEILING((Таблица3[[#This Row],[Цена за единицу (с учетом наценки продавца), руб.]] - Таблица3[[#This Row],[Цена за единицу (с учетом наценки продавца), руб.]]*M120),1)</f>
        <v>681</v>
      </c>
      <c r="O120" s="21">
        <f>VLOOKUP(Таблица3[[#This Row],[Менеджер по продажам]],'Справочная информация'!B$2:C$6,2,0)</f>
        <v>0.15</v>
      </c>
      <c r="P120" s="5">
        <f>Таблица3[[#This Row],[Цена продажи с учетом персональной скидки, руб.]]*O120</f>
        <v>102.14999999999999</v>
      </c>
      <c r="Q120" s="61"/>
    </row>
    <row r="121" spans="1:17" x14ac:dyDescent="0.25">
      <c r="A121" s="10">
        <f t="shared" si="1"/>
        <v>120</v>
      </c>
      <c r="B121" s="5" t="s">
        <v>419</v>
      </c>
      <c r="C121" s="5">
        <f>IF(OR(B121="Гаврилов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1" s="5" t="s">
        <v>202</v>
      </c>
      <c r="E121" s="5" t="s">
        <v>9</v>
      </c>
      <c r="F121" s="4" t="s">
        <v>37</v>
      </c>
      <c r="G121" s="5" t="str">
        <f>VLOOKUP(Таблица3[[#This Row],[Наименование товара]],Склад!$A$3:$B$8,2,1)</f>
        <v>Porto</v>
      </c>
      <c r="H121" s="14">
        <v>44967</v>
      </c>
      <c r="I121" s="8">
        <f>INT((MONTH(Таблица3[[#This Row],[Дата продажи]])+2)/3)</f>
        <v>1</v>
      </c>
      <c r="J121" s="5">
        <f>INDEX(Склад!$A$3:$M$8, MATCH(Таблица3[[#This Row],[Наименование товара]], Склад!$A$3:$A$8, 0), 9)</f>
        <v>109.24000000000001</v>
      </c>
      <c r="K121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2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21" s="5">
        <v>0</v>
      </c>
      <c r="N121" s="5">
        <f>CEILING((Таблица3[[#This Row],[Цена за единицу (с учетом наценки продавца), руб.]] - Таблица3[[#This Row],[Цена за единицу (с учетом наценки продавца), руб.]]*M121),1)</f>
        <v>681</v>
      </c>
      <c r="O121" s="21">
        <f>VLOOKUP(Таблица3[[#This Row],[Менеджер по продажам]],'Справочная информация'!B$2:C$6,2,0)</f>
        <v>0.15</v>
      </c>
      <c r="P121" s="5">
        <f>Таблица3[[#This Row],[Цена продажи с учетом персональной скидки, руб.]]*O121</f>
        <v>102.14999999999999</v>
      </c>
      <c r="Q121" s="61"/>
    </row>
    <row r="122" spans="1:17" x14ac:dyDescent="0.25">
      <c r="A122" s="10">
        <f t="shared" si="1"/>
        <v>121</v>
      </c>
      <c r="B122" s="5" t="s">
        <v>419</v>
      </c>
      <c r="C122" s="5">
        <f>IF(OR(B122="Гаврилов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2" s="5" t="s">
        <v>106</v>
      </c>
      <c r="E122" s="5" t="s">
        <v>20</v>
      </c>
      <c r="F122" s="4" t="s">
        <v>37</v>
      </c>
      <c r="G122" s="5" t="str">
        <f>VLOOKUP(Таблица3[[#This Row],[Наименование товара]],Склад!$A$3:$B$8,2,1)</f>
        <v>Porto</v>
      </c>
      <c r="H122" s="14">
        <v>44948</v>
      </c>
      <c r="I122" s="8">
        <f>INT((MONTH(Таблица3[[#This Row],[Дата продажи]])+2)/3)</f>
        <v>1</v>
      </c>
      <c r="J122" s="5">
        <f>INDEX(Склад!$A$3:$M$8, MATCH(Таблица3[[#This Row],[Наименование товара]], Склад!$A$3:$A$8, 0), 9)</f>
        <v>109.24000000000001</v>
      </c>
      <c r="K122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2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22" s="5">
        <v>0</v>
      </c>
      <c r="N122" s="5">
        <f>CEILING((Таблица3[[#This Row],[Цена за единицу (с учетом наценки продавца), руб.]] - Таблица3[[#This Row],[Цена за единицу (с учетом наценки продавца), руб.]]*M122),1)</f>
        <v>681</v>
      </c>
      <c r="O122" s="21">
        <f>VLOOKUP(Таблица3[[#This Row],[Менеджер по продажам]],'Справочная информация'!B$2:C$6,2,0)</f>
        <v>0.15</v>
      </c>
      <c r="P122" s="5">
        <f>Таблица3[[#This Row],[Цена продажи с учетом персональной скидки, руб.]]*O122</f>
        <v>102.14999999999999</v>
      </c>
      <c r="Q122" s="61"/>
    </row>
    <row r="123" spans="1:17" x14ac:dyDescent="0.25">
      <c r="A123" s="10">
        <f t="shared" si="1"/>
        <v>122</v>
      </c>
      <c r="B123" s="5" t="s">
        <v>419</v>
      </c>
      <c r="C123" s="5">
        <f>IF(OR(B123="Гаврилов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3" s="5" t="s">
        <v>348</v>
      </c>
      <c r="E123" s="5" t="s">
        <v>20</v>
      </c>
      <c r="F123" s="4" t="s">
        <v>37</v>
      </c>
      <c r="G123" s="5" t="str">
        <f>VLOOKUP(Таблица3[[#This Row],[Наименование товара]],Склад!$A$3:$B$8,2,1)</f>
        <v>Porto</v>
      </c>
      <c r="H123" s="14">
        <v>45002</v>
      </c>
      <c r="I123" s="8">
        <f>INT((MONTH(Таблица3[[#This Row],[Дата продажи]])+2)/3)</f>
        <v>1</v>
      </c>
      <c r="J123" s="5">
        <f>INDEX(Склад!$A$3:$M$8, MATCH(Таблица3[[#This Row],[Наименование товара]], Склад!$A$3:$A$8, 0), 9)</f>
        <v>109.24000000000001</v>
      </c>
      <c r="K123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2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23" s="5">
        <v>0</v>
      </c>
      <c r="N123" s="5">
        <f>CEILING((Таблица3[[#This Row],[Цена за единицу (с учетом наценки продавца), руб.]] - Таблица3[[#This Row],[Цена за единицу (с учетом наценки продавца), руб.]]*M123),1)</f>
        <v>681</v>
      </c>
      <c r="O123" s="21">
        <f>VLOOKUP(Таблица3[[#This Row],[Менеджер по продажам]],'Справочная информация'!B$2:C$6,2,0)</f>
        <v>0.15</v>
      </c>
      <c r="P123" s="5">
        <f>Таблица3[[#This Row],[Цена продажи с учетом персональной скидки, руб.]]*O123</f>
        <v>102.14999999999999</v>
      </c>
      <c r="Q123" s="61"/>
    </row>
    <row r="124" spans="1:17" x14ac:dyDescent="0.25">
      <c r="A124" s="10">
        <f t="shared" si="1"/>
        <v>123</v>
      </c>
      <c r="B124" s="5" t="s">
        <v>419</v>
      </c>
      <c r="C124" s="5">
        <f>IF(OR(B124="Гаврилов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4" s="5" t="s">
        <v>44</v>
      </c>
      <c r="E124" s="5" t="s">
        <v>20</v>
      </c>
      <c r="F124" s="4" t="s">
        <v>37</v>
      </c>
      <c r="G124" s="5" t="str">
        <f>VLOOKUP(Таблица3[[#This Row],[Наименование товара]],Склад!$A$3:$B$8,2,1)</f>
        <v>Porto</v>
      </c>
      <c r="H124" s="14">
        <v>44934</v>
      </c>
      <c r="I124" s="8">
        <f>INT((MONTH(Таблица3[[#This Row],[Дата продажи]])+2)/3)</f>
        <v>1</v>
      </c>
      <c r="J124" s="5">
        <f>INDEX(Склад!$A$3:$M$8, MATCH(Таблица3[[#This Row],[Наименование товара]], Склад!$A$3:$A$8, 0), 9)</f>
        <v>109.24000000000001</v>
      </c>
      <c r="K124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12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124" s="5">
        <v>0</v>
      </c>
      <c r="N124" s="5">
        <f>CEILING((Таблица3[[#This Row],[Цена за единицу (с учетом наценки продавца), руб.]] - Таблица3[[#This Row],[Цена за единицу (с учетом наценки продавца), руб.]]*M124),1)</f>
        <v>681</v>
      </c>
      <c r="O124" s="21">
        <f>VLOOKUP(Таблица3[[#This Row],[Менеджер по продажам]],'Справочная информация'!B$2:C$6,2,0)</f>
        <v>0.15</v>
      </c>
      <c r="P124" s="5">
        <f>Таблица3[[#This Row],[Цена продажи с учетом персональной скидки, руб.]]*O124</f>
        <v>102.14999999999999</v>
      </c>
      <c r="Q124" s="61"/>
    </row>
    <row r="125" spans="1:17" x14ac:dyDescent="0.25">
      <c r="A125" s="10">
        <f t="shared" si="1"/>
        <v>124</v>
      </c>
      <c r="B125" s="5" t="s">
        <v>419</v>
      </c>
      <c r="C125" s="5">
        <f>IF(OR(B125="Гаврилов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5" s="5" t="s">
        <v>177</v>
      </c>
      <c r="E125" s="5" t="s">
        <v>18</v>
      </c>
      <c r="F125" s="4" t="s">
        <v>17</v>
      </c>
      <c r="G125" s="5" t="str">
        <f>VLOOKUP(Таблица3[[#This Row],[Наименование товара]],Склад!$A$3:$B$8,2,1)</f>
        <v>Porto</v>
      </c>
      <c r="H125" s="14">
        <v>44963</v>
      </c>
      <c r="I125" s="8">
        <f>INT((MONTH(Таблица3[[#This Row],[Дата продажи]])+2)/3)</f>
        <v>1</v>
      </c>
      <c r="J125" s="5">
        <f>INDEX(Склад!$A$3:$M$8, MATCH(Таблица3[[#This Row],[Наименование товара]], Склад!$A$3:$A$8, 0), 9)</f>
        <v>131.76999999999998</v>
      </c>
      <c r="K12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2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25" s="5">
        <v>0</v>
      </c>
      <c r="N125" s="5">
        <f>CEILING((Таблица3[[#This Row],[Цена за единицу (с учетом наценки продавца), руб.]] - Таблица3[[#This Row],[Цена за единицу (с учетом наценки продавца), руб.]]*M125),1)</f>
        <v>715</v>
      </c>
      <c r="O125" s="21">
        <f>VLOOKUP(Таблица3[[#This Row],[Менеджер по продажам]],'Справочная информация'!B$2:C$6,2,0)</f>
        <v>0.15</v>
      </c>
      <c r="P125" s="5">
        <f>Таблица3[[#This Row],[Цена продажи с учетом персональной скидки, руб.]]*O125</f>
        <v>107.25</v>
      </c>
      <c r="Q125" s="61"/>
    </row>
    <row r="126" spans="1:17" x14ac:dyDescent="0.25">
      <c r="A126" s="10">
        <f t="shared" si="1"/>
        <v>125</v>
      </c>
      <c r="B126" s="5" t="s">
        <v>419</v>
      </c>
      <c r="C126" s="5">
        <f>IF(OR(B126="Гаврилов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6" s="5" t="s">
        <v>390</v>
      </c>
      <c r="E126" s="5" t="s">
        <v>356</v>
      </c>
      <c r="F126" s="4" t="s">
        <v>17</v>
      </c>
      <c r="G126" s="5" t="str">
        <f>VLOOKUP(Таблица3[[#This Row],[Наименование товара]],Склад!$A$3:$B$8,2,1)</f>
        <v>Porto</v>
      </c>
      <c r="H126" s="14">
        <v>45010</v>
      </c>
      <c r="I126" s="8">
        <f>INT((MONTH(Таблица3[[#This Row],[Дата продажи]])+2)/3)</f>
        <v>1</v>
      </c>
      <c r="J126" s="5">
        <f>INDEX(Склад!$A$3:$M$8, MATCH(Таблица3[[#This Row],[Наименование товара]], Склад!$A$3:$A$8, 0), 9)</f>
        <v>131.76999999999998</v>
      </c>
      <c r="K12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2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26" s="5">
        <v>0</v>
      </c>
      <c r="N126" s="5">
        <f>CEILING((Таблица3[[#This Row],[Цена за единицу (с учетом наценки продавца), руб.]] - Таблица3[[#This Row],[Цена за единицу (с учетом наценки продавца), руб.]]*M126),1)</f>
        <v>715</v>
      </c>
      <c r="O126" s="21">
        <f>VLOOKUP(Таблица3[[#This Row],[Менеджер по продажам]],'Справочная информация'!B$2:C$6,2,0)</f>
        <v>0.15</v>
      </c>
      <c r="P126" s="5">
        <f>Таблица3[[#This Row],[Цена продажи с учетом персональной скидки, руб.]]*O126</f>
        <v>107.25</v>
      </c>
      <c r="Q126" s="61"/>
    </row>
    <row r="127" spans="1:17" x14ac:dyDescent="0.25">
      <c r="A127" s="10">
        <f t="shared" si="1"/>
        <v>126</v>
      </c>
      <c r="B127" s="5" t="s">
        <v>419</v>
      </c>
      <c r="C127" s="5">
        <f>IF(OR(B127="Гаврилов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7" s="5" t="s">
        <v>188</v>
      </c>
      <c r="E127" s="5" t="s">
        <v>9</v>
      </c>
      <c r="F127" s="4" t="s">
        <v>17</v>
      </c>
      <c r="G127" s="5" t="str">
        <f>VLOOKUP(Таблица3[[#This Row],[Наименование товара]],Склад!$A$3:$B$8,2,1)</f>
        <v>Porto</v>
      </c>
      <c r="H127" s="14">
        <v>44965</v>
      </c>
      <c r="I127" s="8">
        <f>INT((MONTH(Таблица3[[#This Row],[Дата продажи]])+2)/3)</f>
        <v>1</v>
      </c>
      <c r="J127" s="5">
        <f>INDEX(Склад!$A$3:$M$8, MATCH(Таблица3[[#This Row],[Наименование товара]], Склад!$A$3:$A$8, 0), 9)</f>
        <v>131.76999999999998</v>
      </c>
      <c r="K12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2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27" s="5">
        <v>0</v>
      </c>
      <c r="N127" s="5">
        <f>CEILING((Таблица3[[#This Row],[Цена за единицу (с учетом наценки продавца), руб.]] - Таблица3[[#This Row],[Цена за единицу (с учетом наценки продавца), руб.]]*M127),1)</f>
        <v>715</v>
      </c>
      <c r="O127" s="21">
        <f>VLOOKUP(Таблица3[[#This Row],[Менеджер по продажам]],'Справочная информация'!B$2:C$6,2,0)</f>
        <v>0.15</v>
      </c>
      <c r="P127" s="5">
        <f>Таблица3[[#This Row],[Цена продажи с учетом персональной скидки, руб.]]*O127</f>
        <v>107.25</v>
      </c>
      <c r="Q127" s="61"/>
    </row>
    <row r="128" spans="1:17" x14ac:dyDescent="0.25">
      <c r="A128" s="10">
        <f t="shared" si="1"/>
        <v>127</v>
      </c>
      <c r="B128" s="5" t="s">
        <v>419</v>
      </c>
      <c r="C128" s="5">
        <f>IF(OR(B128="Гаврилов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8" s="5" t="s">
        <v>401</v>
      </c>
      <c r="E128" s="5" t="s">
        <v>356</v>
      </c>
      <c r="F128" s="4" t="s">
        <v>17</v>
      </c>
      <c r="G128" s="5" t="str">
        <f>VLOOKUP(Таблица3[[#This Row],[Наименование товара]],Склад!$A$3:$B$8,2,1)</f>
        <v>Porto</v>
      </c>
      <c r="H128" s="14">
        <v>45012</v>
      </c>
      <c r="I128" s="8">
        <f>INT((MONTH(Таблица3[[#This Row],[Дата продажи]])+2)/3)</f>
        <v>1</v>
      </c>
      <c r="J128" s="5">
        <f>INDEX(Склад!$A$3:$M$8, MATCH(Таблица3[[#This Row],[Наименование товара]], Склад!$A$3:$A$8, 0), 9)</f>
        <v>131.76999999999998</v>
      </c>
      <c r="K12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2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28" s="5">
        <v>0</v>
      </c>
      <c r="N128" s="5">
        <f>CEILING((Таблица3[[#This Row],[Цена за единицу (с учетом наценки продавца), руб.]] - Таблица3[[#This Row],[Цена за единицу (с учетом наценки продавца), руб.]]*M128),1)</f>
        <v>715</v>
      </c>
      <c r="O128" s="21">
        <f>VLOOKUP(Таблица3[[#This Row],[Менеджер по продажам]],'Справочная информация'!B$2:C$6,2,0)</f>
        <v>0.15</v>
      </c>
      <c r="P128" s="5">
        <f>Таблица3[[#This Row],[Цена продажи с учетом персональной скидки, руб.]]*O128</f>
        <v>107.25</v>
      </c>
      <c r="Q128" s="61"/>
    </row>
    <row r="129" spans="1:17" x14ac:dyDescent="0.25">
      <c r="A129" s="10">
        <f t="shared" si="1"/>
        <v>128</v>
      </c>
      <c r="B129" s="5" t="s">
        <v>419</v>
      </c>
      <c r="C129" s="5">
        <f>IF(OR(B129="Гаврилов Н.А.",Таблица3[[#This Row],[Менеджер по продажам]]="Никифорова В.М."),1,IF(Таблица3[[#This Row],[Менеджер по продажам]]="Соколов Г.П.",3,2))</f>
        <v>2</v>
      </c>
      <c r="D129" s="5" t="s">
        <v>326</v>
      </c>
      <c r="E129" s="5" t="s">
        <v>113</v>
      </c>
      <c r="F129" s="4" t="s">
        <v>17</v>
      </c>
      <c r="G129" s="5" t="str">
        <f>VLOOKUP(Таблица3[[#This Row],[Наименование товара]],Склад!$A$3:$B$8,2,1)</f>
        <v>Porto</v>
      </c>
      <c r="H129" s="14">
        <v>44998</v>
      </c>
      <c r="I129" s="8">
        <f>INT((MONTH(Таблица3[[#This Row],[Дата продажи]])+2)/3)</f>
        <v>1</v>
      </c>
      <c r="J129" s="5">
        <f>INDEX(Склад!$A$3:$M$8, MATCH(Таблица3[[#This Row],[Наименование товара]], Склад!$A$3:$A$8, 0), 9)</f>
        <v>131.76999999999998</v>
      </c>
      <c r="K12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2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29" s="5">
        <v>0</v>
      </c>
      <c r="N129" s="5">
        <f>CEILING((Таблица3[[#This Row],[Цена за единицу (с учетом наценки продавца), руб.]] - Таблица3[[#This Row],[Цена за единицу (с учетом наценки продавца), руб.]]*M129),1)</f>
        <v>715</v>
      </c>
      <c r="O129" s="21">
        <f>VLOOKUP(Таблица3[[#This Row],[Менеджер по продажам]],'Справочная информация'!B$2:C$6,2,0)</f>
        <v>0.15</v>
      </c>
      <c r="P129" s="5">
        <f>Таблица3[[#This Row],[Цена продажи с учетом персональной скидки, руб.]]*O129</f>
        <v>107.25</v>
      </c>
      <c r="Q129" s="61"/>
    </row>
    <row r="130" spans="1:17" x14ac:dyDescent="0.25">
      <c r="A130" s="10">
        <f t="shared" si="1"/>
        <v>129</v>
      </c>
      <c r="B130" s="5" t="s">
        <v>419</v>
      </c>
      <c r="C130" s="5">
        <f>IF(OR(B130="Гаврилов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0" s="5" t="s">
        <v>190</v>
      </c>
      <c r="E130" s="5" t="s">
        <v>9</v>
      </c>
      <c r="F130" s="4" t="s">
        <v>17</v>
      </c>
      <c r="G130" s="5" t="str">
        <f>VLOOKUP(Таблица3[[#This Row],[Наименование товара]],Склад!$A$3:$B$8,2,1)</f>
        <v>Porto</v>
      </c>
      <c r="H130" s="14">
        <v>44965</v>
      </c>
      <c r="I130" s="8">
        <f>INT((MONTH(Таблица3[[#This Row],[Дата продажи]])+2)/3)</f>
        <v>1</v>
      </c>
      <c r="J130" s="5">
        <f>INDEX(Склад!$A$3:$M$8, MATCH(Таблица3[[#This Row],[Наименование товара]], Склад!$A$3:$A$8, 0), 9)</f>
        <v>131.76999999999998</v>
      </c>
      <c r="K13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0" s="5">
        <v>0</v>
      </c>
      <c r="N130" s="5">
        <f>CEILING((Таблица3[[#This Row],[Цена за единицу (с учетом наценки продавца), руб.]] - Таблица3[[#This Row],[Цена за единицу (с учетом наценки продавца), руб.]]*M130),1)</f>
        <v>715</v>
      </c>
      <c r="O130" s="21">
        <f>VLOOKUP(Таблица3[[#This Row],[Менеджер по продажам]],'Справочная информация'!B$2:C$6,2,0)</f>
        <v>0.15</v>
      </c>
      <c r="P130" s="5">
        <f>Таблица3[[#This Row],[Цена продажи с учетом персональной скидки, руб.]]*O130</f>
        <v>107.25</v>
      </c>
      <c r="Q130" s="61"/>
    </row>
    <row r="131" spans="1:17" x14ac:dyDescent="0.25">
      <c r="A131" s="10">
        <f t="shared" ref="A131:A194" si="2">ROW(A131)-1</f>
        <v>130</v>
      </c>
      <c r="B131" s="5" t="s">
        <v>419</v>
      </c>
      <c r="C131" s="5">
        <f>IF(OR(B131="Гаврилов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1" s="5" t="s">
        <v>372</v>
      </c>
      <c r="E131" s="5" t="s">
        <v>356</v>
      </c>
      <c r="F131" s="4" t="s">
        <v>17</v>
      </c>
      <c r="G131" s="5" t="str">
        <f>VLOOKUP(Таблица3[[#This Row],[Наименование товара]],Склад!$A$3:$B$8,2,1)</f>
        <v>Porto</v>
      </c>
      <c r="H131" s="14">
        <v>45007</v>
      </c>
      <c r="I131" s="8">
        <f>INT((MONTH(Таблица3[[#This Row],[Дата продажи]])+2)/3)</f>
        <v>1</v>
      </c>
      <c r="J131" s="5">
        <f>INDEX(Склад!$A$3:$M$8, MATCH(Таблица3[[#This Row],[Наименование товара]], Склад!$A$3:$A$8, 0), 9)</f>
        <v>131.76999999999998</v>
      </c>
      <c r="K13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1" s="5">
        <v>0</v>
      </c>
      <c r="N131" s="5">
        <f>CEILING((Таблица3[[#This Row],[Цена за единицу (с учетом наценки продавца), руб.]] - Таблица3[[#This Row],[Цена за единицу (с учетом наценки продавца), руб.]]*M131),1)</f>
        <v>715</v>
      </c>
      <c r="O131" s="21">
        <f>VLOOKUP(Таблица3[[#This Row],[Менеджер по продажам]],'Справочная информация'!B$2:C$6,2,0)</f>
        <v>0.15</v>
      </c>
      <c r="P131" s="5">
        <f>Таблица3[[#This Row],[Цена продажи с учетом персональной скидки, руб.]]*O131</f>
        <v>107.25</v>
      </c>
      <c r="Q131" s="61"/>
    </row>
    <row r="132" spans="1:17" x14ac:dyDescent="0.25">
      <c r="A132" s="10">
        <f t="shared" si="2"/>
        <v>131</v>
      </c>
      <c r="B132" s="5" t="s">
        <v>419</v>
      </c>
      <c r="C132" s="5">
        <f>IF(OR(B132="Гаврилов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2" s="5" t="s">
        <v>123</v>
      </c>
      <c r="E132" s="5" t="s">
        <v>113</v>
      </c>
      <c r="F132" s="4" t="s">
        <v>17</v>
      </c>
      <c r="G132" s="5" t="str">
        <f>VLOOKUP(Таблица3[[#This Row],[Наименование товара]],Склад!$A$3:$B$8,2,1)</f>
        <v>Porto</v>
      </c>
      <c r="H132" s="14">
        <v>44952</v>
      </c>
      <c r="I132" s="8">
        <f>INT((MONTH(Таблица3[[#This Row],[Дата продажи]])+2)/3)</f>
        <v>1</v>
      </c>
      <c r="J132" s="5">
        <f>INDEX(Склад!$A$3:$M$8, MATCH(Таблица3[[#This Row],[Наименование товара]], Склад!$A$3:$A$8, 0), 9)</f>
        <v>131.76999999999998</v>
      </c>
      <c r="K13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2" s="5">
        <v>0</v>
      </c>
      <c r="N132" s="5">
        <f>CEILING((Таблица3[[#This Row],[Цена за единицу (с учетом наценки продавца), руб.]] - Таблица3[[#This Row],[Цена за единицу (с учетом наценки продавца), руб.]]*M132),1)</f>
        <v>715</v>
      </c>
      <c r="O132" s="21">
        <f>VLOOKUP(Таблица3[[#This Row],[Менеджер по продажам]],'Справочная информация'!B$2:C$6,2,0)</f>
        <v>0.15</v>
      </c>
      <c r="P132" s="5">
        <f>Таблица3[[#This Row],[Цена продажи с учетом персональной скидки, руб.]]*O132</f>
        <v>107.25</v>
      </c>
      <c r="Q132" s="61"/>
    </row>
    <row r="133" spans="1:17" x14ac:dyDescent="0.25">
      <c r="A133" s="10">
        <f t="shared" si="2"/>
        <v>132</v>
      </c>
      <c r="B133" s="5" t="s">
        <v>419</v>
      </c>
      <c r="C133" s="5">
        <f>IF(OR(B133="Гаврилов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3" s="5" t="s">
        <v>315</v>
      </c>
      <c r="E133" s="5" t="s">
        <v>9</v>
      </c>
      <c r="F133" s="4" t="s">
        <v>17</v>
      </c>
      <c r="G133" s="5" t="str">
        <f>VLOOKUP(Таблица3[[#This Row],[Наименование товара]],Склад!$A$3:$B$8,2,1)</f>
        <v>Porto</v>
      </c>
      <c r="H133" s="14">
        <v>44996</v>
      </c>
      <c r="I133" s="8">
        <f>INT((MONTH(Таблица3[[#This Row],[Дата продажи]])+2)/3)</f>
        <v>1</v>
      </c>
      <c r="J133" s="5">
        <f>INDEX(Склад!$A$3:$M$8, MATCH(Таблица3[[#This Row],[Наименование товара]], Склад!$A$3:$A$8, 0), 9)</f>
        <v>131.76999999999998</v>
      </c>
      <c r="K13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3" s="5">
        <v>0</v>
      </c>
      <c r="N133" s="5">
        <f>CEILING((Таблица3[[#This Row],[Цена за единицу (с учетом наценки продавца), руб.]] - Таблица3[[#This Row],[Цена за единицу (с учетом наценки продавца), руб.]]*M133),1)</f>
        <v>715</v>
      </c>
      <c r="O133" s="21">
        <f>VLOOKUP(Таблица3[[#This Row],[Менеджер по продажам]],'Справочная информация'!B$2:C$6,2,0)</f>
        <v>0.15</v>
      </c>
      <c r="P133" s="5">
        <f>Таблица3[[#This Row],[Цена продажи с учетом персональной скидки, руб.]]*O133</f>
        <v>107.25</v>
      </c>
      <c r="Q133" s="61"/>
    </row>
    <row r="134" spans="1:17" x14ac:dyDescent="0.25">
      <c r="A134" s="10">
        <f t="shared" si="2"/>
        <v>133</v>
      </c>
      <c r="B134" s="5" t="s">
        <v>419</v>
      </c>
      <c r="C134" s="5">
        <f>IF(OR(B134="Гаврилов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4" s="5" t="s">
        <v>301</v>
      </c>
      <c r="E134" s="5" t="s">
        <v>9</v>
      </c>
      <c r="F134" s="4" t="s">
        <v>17</v>
      </c>
      <c r="G134" s="5" t="str">
        <f>VLOOKUP(Таблица3[[#This Row],[Наименование товара]],Склад!$A$3:$B$8,2,1)</f>
        <v>Porto</v>
      </c>
      <c r="H134" s="14">
        <v>44992</v>
      </c>
      <c r="I134" s="8">
        <f>INT((MONTH(Таблица3[[#This Row],[Дата продажи]])+2)/3)</f>
        <v>1</v>
      </c>
      <c r="J134" s="5">
        <f>INDEX(Склад!$A$3:$M$8, MATCH(Таблица3[[#This Row],[Наименование товара]], Склад!$A$3:$A$8, 0), 9)</f>
        <v>131.76999999999998</v>
      </c>
      <c r="K13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4" s="5">
        <v>0</v>
      </c>
      <c r="N134" s="5">
        <f>CEILING((Таблица3[[#This Row],[Цена за единицу (с учетом наценки продавца), руб.]] - Таблица3[[#This Row],[Цена за единицу (с учетом наценки продавца), руб.]]*M134),1)</f>
        <v>715</v>
      </c>
      <c r="O134" s="21">
        <f>VLOOKUP(Таблица3[[#This Row],[Менеджер по продажам]],'Справочная информация'!B$2:C$6,2,0)</f>
        <v>0.15</v>
      </c>
      <c r="P134" s="5">
        <f>Таблица3[[#This Row],[Цена продажи с учетом персональной скидки, руб.]]*O134</f>
        <v>107.25</v>
      </c>
      <c r="Q134" s="61"/>
    </row>
    <row r="135" spans="1:17" x14ac:dyDescent="0.25">
      <c r="A135" s="10">
        <f t="shared" si="2"/>
        <v>134</v>
      </c>
      <c r="B135" s="5" t="s">
        <v>419</v>
      </c>
      <c r="C135" s="5">
        <f>IF(OR(B135="Гаврилов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5" s="5" t="s">
        <v>236</v>
      </c>
      <c r="E135" s="5" t="s">
        <v>34</v>
      </c>
      <c r="F135" s="4" t="s">
        <v>17</v>
      </c>
      <c r="G135" s="5" t="str">
        <f>VLOOKUP(Таблица3[[#This Row],[Наименование товара]],Склад!$A$3:$B$8,2,1)</f>
        <v>Porto</v>
      </c>
      <c r="H135" s="14">
        <v>44977</v>
      </c>
      <c r="I135" s="8">
        <f>INT((MONTH(Таблица3[[#This Row],[Дата продажи]])+2)/3)</f>
        <v>1</v>
      </c>
      <c r="J135" s="5">
        <f>INDEX(Склад!$A$3:$M$8, MATCH(Таблица3[[#This Row],[Наименование товара]], Склад!$A$3:$A$8, 0), 9)</f>
        <v>131.76999999999998</v>
      </c>
      <c r="K13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5" s="5">
        <v>0</v>
      </c>
      <c r="N135" s="5">
        <f>CEILING((Таблица3[[#This Row],[Цена за единицу (с учетом наценки продавца), руб.]] - Таблица3[[#This Row],[Цена за единицу (с учетом наценки продавца), руб.]]*M135),1)</f>
        <v>715</v>
      </c>
      <c r="O135" s="21">
        <f>VLOOKUP(Таблица3[[#This Row],[Менеджер по продажам]],'Справочная информация'!B$2:C$6,2,0)</f>
        <v>0.15</v>
      </c>
      <c r="P135" s="5">
        <f>Таблица3[[#This Row],[Цена продажи с учетом персональной скидки, руб.]]*O135</f>
        <v>107.25</v>
      </c>
      <c r="Q135" s="61"/>
    </row>
    <row r="136" spans="1:17" x14ac:dyDescent="0.25">
      <c r="A136" s="10">
        <f t="shared" si="2"/>
        <v>135</v>
      </c>
      <c r="B136" s="5" t="s">
        <v>419</v>
      </c>
      <c r="C136" s="5">
        <f>IF(OR(B136="Гаврилов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6" s="5" t="s">
        <v>38</v>
      </c>
      <c r="E136" s="5" t="s">
        <v>9</v>
      </c>
      <c r="F136" s="4" t="s">
        <v>17</v>
      </c>
      <c r="G136" s="5" t="str">
        <f>VLOOKUP(Таблица3[[#This Row],[Наименование товара]],Склад!$A$3:$B$8,2,1)</f>
        <v>Porto</v>
      </c>
      <c r="H136" s="14">
        <v>44933</v>
      </c>
      <c r="I136" s="8">
        <f>INT((MONTH(Таблица3[[#This Row],[Дата продажи]])+2)/3)</f>
        <v>1</v>
      </c>
      <c r="J136" s="5">
        <f>INDEX(Склад!$A$3:$M$8, MATCH(Таблица3[[#This Row],[Наименование товара]], Склад!$A$3:$A$8, 0), 9)</f>
        <v>131.76999999999998</v>
      </c>
      <c r="K13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6" s="5">
        <v>0</v>
      </c>
      <c r="N136" s="5">
        <f>CEILING((Таблица3[[#This Row],[Цена за единицу (с учетом наценки продавца), руб.]] - Таблица3[[#This Row],[Цена за единицу (с учетом наценки продавца), руб.]]*M136),1)</f>
        <v>715</v>
      </c>
      <c r="O136" s="21">
        <f>VLOOKUP(Таблица3[[#This Row],[Менеджер по продажам]],'Справочная информация'!B$2:C$6,2,0)</f>
        <v>0.15</v>
      </c>
      <c r="P136" s="5">
        <f>Таблица3[[#This Row],[Цена продажи с учетом персональной скидки, руб.]]*O136</f>
        <v>107.25</v>
      </c>
      <c r="Q136" s="61"/>
    </row>
    <row r="137" spans="1:17" x14ac:dyDescent="0.25">
      <c r="A137" s="10">
        <f t="shared" si="2"/>
        <v>136</v>
      </c>
      <c r="B137" s="5" t="s">
        <v>419</v>
      </c>
      <c r="C137" s="5">
        <f>IF(OR(B137="Гаврилов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7" s="5" t="s">
        <v>357</v>
      </c>
      <c r="E137" s="5" t="s">
        <v>356</v>
      </c>
      <c r="F137" s="4" t="s">
        <v>17</v>
      </c>
      <c r="G137" s="5" t="str">
        <f>VLOOKUP(Таблица3[[#This Row],[Наименование товара]],Склад!$A$3:$B$8,2,1)</f>
        <v>Porto</v>
      </c>
      <c r="H137" s="14">
        <v>45004</v>
      </c>
      <c r="I137" s="8">
        <f>INT((MONTH(Таблица3[[#This Row],[Дата продажи]])+2)/3)</f>
        <v>1</v>
      </c>
      <c r="J137" s="5">
        <f>INDEX(Склад!$A$3:$M$8, MATCH(Таблица3[[#This Row],[Наименование товара]], Склад!$A$3:$A$8, 0), 9)</f>
        <v>131.76999999999998</v>
      </c>
      <c r="K13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7" s="5">
        <v>0</v>
      </c>
      <c r="N137" s="5">
        <f>CEILING((Таблица3[[#This Row],[Цена за единицу (с учетом наценки продавца), руб.]] - Таблица3[[#This Row],[Цена за единицу (с учетом наценки продавца), руб.]]*M137),1)</f>
        <v>715</v>
      </c>
      <c r="O137" s="21">
        <f>VLOOKUP(Таблица3[[#This Row],[Менеджер по продажам]],'Справочная информация'!B$2:C$6,2,0)</f>
        <v>0.15</v>
      </c>
      <c r="P137" s="5">
        <f>Таблица3[[#This Row],[Цена продажи с учетом персональной скидки, руб.]]*O137</f>
        <v>107.25</v>
      </c>
      <c r="Q137" s="61"/>
    </row>
    <row r="138" spans="1:17" x14ac:dyDescent="0.25">
      <c r="A138" s="10">
        <f t="shared" si="2"/>
        <v>137</v>
      </c>
      <c r="B138" s="5" t="s">
        <v>419</v>
      </c>
      <c r="C138" s="5">
        <f>IF(OR(B138="Гаврилов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8" s="5" t="s">
        <v>383</v>
      </c>
      <c r="E138" s="5" t="s">
        <v>356</v>
      </c>
      <c r="F138" s="4" t="s">
        <v>17</v>
      </c>
      <c r="G138" s="5" t="str">
        <f>VLOOKUP(Таблица3[[#This Row],[Наименование товара]],Склад!$A$3:$B$8,2,1)</f>
        <v>Porto</v>
      </c>
      <c r="H138" s="14">
        <v>45009</v>
      </c>
      <c r="I138" s="8">
        <f>INT((MONTH(Таблица3[[#This Row],[Дата продажи]])+2)/3)</f>
        <v>1</v>
      </c>
      <c r="J138" s="5">
        <f>INDEX(Склад!$A$3:$M$8, MATCH(Таблица3[[#This Row],[Наименование товара]], Склад!$A$3:$A$8, 0), 9)</f>
        <v>131.76999999999998</v>
      </c>
      <c r="K13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8" s="5">
        <v>0</v>
      </c>
      <c r="N138" s="5">
        <f>CEILING((Таблица3[[#This Row],[Цена за единицу (с учетом наценки продавца), руб.]] - Таблица3[[#This Row],[Цена за единицу (с учетом наценки продавца), руб.]]*M138),1)</f>
        <v>715</v>
      </c>
      <c r="O138" s="21">
        <f>VLOOKUP(Таблица3[[#This Row],[Менеджер по продажам]],'Справочная информация'!B$2:C$6,2,0)</f>
        <v>0.15</v>
      </c>
      <c r="P138" s="5">
        <f>Таблица3[[#This Row],[Цена продажи с учетом персональной скидки, руб.]]*O138</f>
        <v>107.25</v>
      </c>
      <c r="Q138" s="61"/>
    </row>
    <row r="139" spans="1:17" x14ac:dyDescent="0.25">
      <c r="A139" s="10">
        <f t="shared" si="2"/>
        <v>138</v>
      </c>
      <c r="B139" s="5" t="s">
        <v>419</v>
      </c>
      <c r="C139" s="5">
        <f>IF(OR(B139="Гаврилов Н.А.",Таблица3[[#This Row],[Менеджер по продажам]]="Никифорова В.М."),1,IF(Таблица3[[#This Row],[Менеджер по продажам]]="Соколов Г.П.",3,2))</f>
        <v>2</v>
      </c>
      <c r="D139" s="5" t="s">
        <v>32</v>
      </c>
      <c r="E139" s="5" t="s">
        <v>20</v>
      </c>
      <c r="F139" s="4" t="s">
        <v>17</v>
      </c>
      <c r="G139" s="5" t="str">
        <f>VLOOKUP(Таблица3[[#This Row],[Наименование товара]],Склад!$A$3:$B$8,2,1)</f>
        <v>Porto</v>
      </c>
      <c r="H139" s="14">
        <v>44931</v>
      </c>
      <c r="I139" s="8">
        <f>INT((MONTH(Таблица3[[#This Row],[Дата продажи]])+2)/3)</f>
        <v>1</v>
      </c>
      <c r="J139" s="5">
        <f>INDEX(Склад!$A$3:$M$8, MATCH(Таблица3[[#This Row],[Наименование товара]], Склад!$A$3:$A$8, 0), 9)</f>
        <v>131.76999999999998</v>
      </c>
      <c r="K13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3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39" s="5">
        <v>0</v>
      </c>
      <c r="N139" s="5">
        <f>CEILING((Таблица3[[#This Row],[Цена за единицу (с учетом наценки продавца), руб.]] - Таблица3[[#This Row],[Цена за единицу (с учетом наценки продавца), руб.]]*M139),1)</f>
        <v>715</v>
      </c>
      <c r="O139" s="21">
        <f>VLOOKUP(Таблица3[[#This Row],[Менеджер по продажам]],'Справочная информация'!B$2:C$6,2,0)</f>
        <v>0.15</v>
      </c>
      <c r="P139" s="5">
        <f>Таблица3[[#This Row],[Цена продажи с учетом персональной скидки, руб.]]*O139</f>
        <v>107.25</v>
      </c>
      <c r="Q139" s="61"/>
    </row>
    <row r="140" spans="1:17" x14ac:dyDescent="0.25">
      <c r="A140" s="10">
        <f t="shared" si="2"/>
        <v>139</v>
      </c>
      <c r="B140" s="5" t="s">
        <v>419</v>
      </c>
      <c r="C140" s="5">
        <f>IF(OR(B140="Гаврилов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0" s="5" t="s">
        <v>184</v>
      </c>
      <c r="E140" s="5" t="s">
        <v>20</v>
      </c>
      <c r="F140" s="4" t="s">
        <v>17</v>
      </c>
      <c r="G140" s="5" t="str">
        <f>VLOOKUP(Таблица3[[#This Row],[Наименование товара]],Склад!$A$3:$B$8,2,1)</f>
        <v>Porto</v>
      </c>
      <c r="H140" s="14">
        <v>44964</v>
      </c>
      <c r="I140" s="8">
        <f>INT((MONTH(Таблица3[[#This Row],[Дата продажи]])+2)/3)</f>
        <v>1</v>
      </c>
      <c r="J140" s="5">
        <f>INDEX(Склад!$A$3:$M$8, MATCH(Таблица3[[#This Row],[Наименование товара]], Склад!$A$3:$A$8, 0), 9)</f>
        <v>131.76999999999998</v>
      </c>
      <c r="K14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14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140" s="5">
        <v>0</v>
      </c>
      <c r="N140" s="5">
        <f>CEILING((Таблица3[[#This Row],[Цена за единицу (с учетом наценки продавца), руб.]] - Таблица3[[#This Row],[Цена за единицу (с учетом наценки продавца), руб.]]*M140),1)</f>
        <v>715</v>
      </c>
      <c r="O140" s="21">
        <f>VLOOKUP(Таблица3[[#This Row],[Менеджер по продажам]],'Справочная информация'!B$2:C$6,2,0)</f>
        <v>0.15</v>
      </c>
      <c r="P140" s="5">
        <f>Таблица3[[#This Row],[Цена продажи с учетом персональной скидки, руб.]]*O140</f>
        <v>107.25</v>
      </c>
      <c r="Q140" s="61"/>
    </row>
    <row r="141" spans="1:17" x14ac:dyDescent="0.25">
      <c r="A141" s="10">
        <f t="shared" si="2"/>
        <v>140</v>
      </c>
      <c r="B141" s="5" t="s">
        <v>419</v>
      </c>
      <c r="C141" s="5">
        <f>IF(OR(B141="Гаврилов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1" s="5" t="s">
        <v>52</v>
      </c>
      <c r="E141" s="5" t="s">
        <v>18</v>
      </c>
      <c r="F141" s="4" t="s">
        <v>15</v>
      </c>
      <c r="G141" s="5" t="str">
        <f>VLOOKUP(Таблица3[[#This Row],[Наименование товара]],Склад!$A$3:$B$8,2,1)</f>
        <v>Gmt</v>
      </c>
      <c r="H141" s="14">
        <v>44936</v>
      </c>
      <c r="I141" s="8">
        <f>INT((MONTH(Таблица3[[#This Row],[Дата продажи]])+2)/3)</f>
        <v>1</v>
      </c>
      <c r="J141" s="5">
        <f>INDEX(Склад!$A$3:$M$8, MATCH(Таблица3[[#This Row],[Наименование товара]], Склад!$A$3:$A$8, 0), 9)</f>
        <v>314.15999999999997</v>
      </c>
      <c r="K141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1" s="5">
        <v>0</v>
      </c>
      <c r="N141" s="5">
        <f>CEILING((Таблица3[[#This Row],[Цена за единицу (с учетом наценки продавца), руб.]] - Таблица3[[#This Row],[Цена за единицу (с учетом наценки продавца), руб.]]*M141),1)</f>
        <v>1120</v>
      </c>
      <c r="O141" s="21">
        <f>VLOOKUP(Таблица3[[#This Row],[Менеджер по продажам]],'Справочная информация'!B$2:C$6,2,0)</f>
        <v>0.15</v>
      </c>
      <c r="P141" s="5">
        <f>Таблица3[[#This Row],[Цена продажи с учетом персональной скидки, руб.]]*O141</f>
        <v>168</v>
      </c>
      <c r="Q141" s="61"/>
    </row>
    <row r="142" spans="1:17" x14ac:dyDescent="0.25">
      <c r="A142" s="10">
        <f t="shared" si="2"/>
        <v>141</v>
      </c>
      <c r="B142" s="5" t="s">
        <v>419</v>
      </c>
      <c r="C142" s="5">
        <f>IF(OR(B142="Гаврилов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2" s="5" t="s">
        <v>316</v>
      </c>
      <c r="E142" s="5" t="s">
        <v>18</v>
      </c>
      <c r="F142" s="4" t="s">
        <v>15</v>
      </c>
      <c r="G142" s="5" t="str">
        <f>VLOOKUP(Таблица3[[#This Row],[Наименование товара]],Склад!$A$3:$B$8,2,1)</f>
        <v>Gmt</v>
      </c>
      <c r="H142" s="14">
        <v>44997</v>
      </c>
      <c r="I142" s="8">
        <f>INT((MONTH(Таблица3[[#This Row],[Дата продажи]])+2)/3)</f>
        <v>1</v>
      </c>
      <c r="J142" s="5">
        <f>INDEX(Склад!$A$3:$M$8, MATCH(Таблица3[[#This Row],[Наименование товара]], Склад!$A$3:$A$8, 0), 9)</f>
        <v>314.15999999999997</v>
      </c>
      <c r="K142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2" s="5">
        <v>0</v>
      </c>
      <c r="N142" s="5">
        <f>CEILING((Таблица3[[#This Row],[Цена за единицу (с учетом наценки продавца), руб.]] - Таблица3[[#This Row],[Цена за единицу (с учетом наценки продавца), руб.]]*M142),1)</f>
        <v>1120</v>
      </c>
      <c r="O142" s="21">
        <f>VLOOKUP(Таблица3[[#This Row],[Менеджер по продажам]],'Справочная информация'!B$2:C$6,2,0)</f>
        <v>0.15</v>
      </c>
      <c r="P142" s="5">
        <f>Таблица3[[#This Row],[Цена продажи с учетом персональной скидки, руб.]]*O142</f>
        <v>168</v>
      </c>
      <c r="Q142" s="61"/>
    </row>
    <row r="143" spans="1:17" x14ac:dyDescent="0.25">
      <c r="A143" s="10">
        <f t="shared" si="2"/>
        <v>142</v>
      </c>
      <c r="B143" s="5" t="s">
        <v>419</v>
      </c>
      <c r="C143" s="5">
        <f>IF(OR(B143="Гаврилов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3" s="5" t="s">
        <v>33</v>
      </c>
      <c r="E143" s="5" t="s">
        <v>34</v>
      </c>
      <c r="F143" s="4" t="s">
        <v>15</v>
      </c>
      <c r="G143" s="5" t="str">
        <f>VLOOKUP(Таблица3[[#This Row],[Наименование товара]],Склад!$A$3:$B$8,2,1)</f>
        <v>Gmt</v>
      </c>
      <c r="H143" s="14">
        <v>44933</v>
      </c>
      <c r="I143" s="8">
        <f>INT((MONTH(Таблица3[[#This Row],[Дата продажи]])+2)/3)</f>
        <v>1</v>
      </c>
      <c r="J143" s="5">
        <f>INDEX(Склад!$A$3:$M$8, MATCH(Таблица3[[#This Row],[Наименование товара]], Склад!$A$3:$A$8, 0), 9)</f>
        <v>314.15999999999997</v>
      </c>
      <c r="K14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3" s="5">
        <v>0</v>
      </c>
      <c r="N143" s="5">
        <f>CEILING((Таблица3[[#This Row],[Цена за единицу (с учетом наценки продавца), руб.]] - Таблица3[[#This Row],[Цена за единицу (с учетом наценки продавца), руб.]]*M143),1)</f>
        <v>1120</v>
      </c>
      <c r="O143" s="21">
        <f>VLOOKUP(Таблица3[[#This Row],[Менеджер по продажам]],'Справочная информация'!B$2:C$6,2,0)</f>
        <v>0.15</v>
      </c>
      <c r="P143" s="5">
        <f>Таблица3[[#This Row],[Цена продажи с учетом персональной скидки, руб.]]*O143</f>
        <v>168</v>
      </c>
      <c r="Q143" s="61"/>
    </row>
    <row r="144" spans="1:17" x14ac:dyDescent="0.25">
      <c r="A144" s="10">
        <f t="shared" si="2"/>
        <v>143</v>
      </c>
      <c r="B144" s="5" t="s">
        <v>419</v>
      </c>
      <c r="C144" s="5">
        <f>IF(OR(B144="Гаврилов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4" s="5" t="s">
        <v>130</v>
      </c>
      <c r="E144" s="5" t="s">
        <v>20</v>
      </c>
      <c r="F144" s="4" t="s">
        <v>15</v>
      </c>
      <c r="G144" s="5" t="str">
        <f>VLOOKUP(Таблица3[[#This Row],[Наименование товара]],Склад!$A$3:$B$8,2,1)</f>
        <v>Gmt</v>
      </c>
      <c r="H144" s="14">
        <v>44954</v>
      </c>
      <c r="I144" s="8">
        <f>INT((MONTH(Таблица3[[#This Row],[Дата продажи]])+2)/3)</f>
        <v>1</v>
      </c>
      <c r="J144" s="5">
        <f>INDEX(Склад!$A$3:$M$8, MATCH(Таблица3[[#This Row],[Наименование товара]], Склад!$A$3:$A$8, 0), 9)</f>
        <v>314.15999999999997</v>
      </c>
      <c r="K14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4" s="5">
        <v>0</v>
      </c>
      <c r="N144" s="5">
        <f>CEILING((Таблица3[[#This Row],[Цена за единицу (с учетом наценки продавца), руб.]] - Таблица3[[#This Row],[Цена за единицу (с учетом наценки продавца), руб.]]*M144),1)</f>
        <v>1120</v>
      </c>
      <c r="O144" s="21">
        <f>VLOOKUP(Таблица3[[#This Row],[Менеджер по продажам]],'Справочная информация'!B$2:C$6,2,0)</f>
        <v>0.15</v>
      </c>
      <c r="P144" s="5">
        <f>Таблица3[[#This Row],[Цена продажи с учетом персональной скидки, руб.]]*O144</f>
        <v>168</v>
      </c>
      <c r="Q144" s="61"/>
    </row>
    <row r="145" spans="1:17" x14ac:dyDescent="0.25">
      <c r="A145" s="10">
        <f t="shared" si="2"/>
        <v>144</v>
      </c>
      <c r="B145" s="5" t="s">
        <v>419</v>
      </c>
      <c r="C145" s="5">
        <f>IF(OR(B145="Гаврилов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5" s="5" t="s">
        <v>231</v>
      </c>
      <c r="E145" s="5" t="s">
        <v>20</v>
      </c>
      <c r="F145" s="4" t="s">
        <v>15</v>
      </c>
      <c r="G145" s="5" t="str">
        <f>VLOOKUP(Таблица3[[#This Row],[Наименование товара]],Склад!$A$3:$B$8,2,1)</f>
        <v>Gmt</v>
      </c>
      <c r="H145" s="14">
        <v>44977</v>
      </c>
      <c r="I145" s="8">
        <f>INT((MONTH(Таблица3[[#This Row],[Дата продажи]])+2)/3)</f>
        <v>1</v>
      </c>
      <c r="J145" s="5">
        <f>INDEX(Склад!$A$3:$M$8, MATCH(Таблица3[[#This Row],[Наименование товара]], Склад!$A$3:$A$8, 0), 9)</f>
        <v>314.15999999999997</v>
      </c>
      <c r="K145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5" s="5">
        <v>0</v>
      </c>
      <c r="N145" s="5">
        <f>CEILING((Таблица3[[#This Row],[Цена за единицу (с учетом наценки продавца), руб.]] - Таблица3[[#This Row],[Цена за единицу (с учетом наценки продавца), руб.]]*M145),1)</f>
        <v>1120</v>
      </c>
      <c r="O145" s="21">
        <f>VLOOKUP(Таблица3[[#This Row],[Менеджер по продажам]],'Справочная информация'!B$2:C$6,2,0)</f>
        <v>0.15</v>
      </c>
      <c r="P145" s="5">
        <f>Таблица3[[#This Row],[Цена продажи с учетом персональной скидки, руб.]]*O145</f>
        <v>168</v>
      </c>
      <c r="Q145" s="61"/>
    </row>
    <row r="146" spans="1:17" x14ac:dyDescent="0.25">
      <c r="A146" s="10">
        <f t="shared" si="2"/>
        <v>145</v>
      </c>
      <c r="B146" s="5" t="s">
        <v>419</v>
      </c>
      <c r="C146" s="5">
        <f>IF(OR(B146="Гаврилов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6" s="5" t="s">
        <v>388</v>
      </c>
      <c r="E146" s="5" t="s">
        <v>356</v>
      </c>
      <c r="F146" s="4" t="s">
        <v>15</v>
      </c>
      <c r="G146" s="5" t="str">
        <f>VLOOKUP(Таблица3[[#This Row],[Наименование товара]],Склад!$A$3:$B$8,2,1)</f>
        <v>Gmt</v>
      </c>
      <c r="H146" s="14">
        <v>45010</v>
      </c>
      <c r="I146" s="8">
        <f>INT((MONTH(Таблица3[[#This Row],[Дата продажи]])+2)/3)</f>
        <v>1</v>
      </c>
      <c r="J146" s="5">
        <f>INDEX(Склад!$A$3:$M$8, MATCH(Таблица3[[#This Row],[Наименование товара]], Склад!$A$3:$A$8, 0), 9)</f>
        <v>314.15999999999997</v>
      </c>
      <c r="K146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6" s="5">
        <v>0</v>
      </c>
      <c r="N146" s="5">
        <f>CEILING((Таблица3[[#This Row],[Цена за единицу (с учетом наценки продавца), руб.]] - Таблица3[[#This Row],[Цена за единицу (с учетом наценки продавца), руб.]]*M146),1)</f>
        <v>1120</v>
      </c>
      <c r="O146" s="21">
        <f>VLOOKUP(Таблица3[[#This Row],[Менеджер по продажам]],'Справочная информация'!B$2:C$6,2,0)</f>
        <v>0.15</v>
      </c>
      <c r="P146" s="5">
        <f>Таблица3[[#This Row],[Цена продажи с учетом персональной скидки, руб.]]*O146</f>
        <v>168</v>
      </c>
      <c r="Q146" s="61"/>
    </row>
    <row r="147" spans="1:17" x14ac:dyDescent="0.25">
      <c r="A147" s="10">
        <f t="shared" si="2"/>
        <v>146</v>
      </c>
      <c r="B147" s="5" t="s">
        <v>419</v>
      </c>
      <c r="C147" s="5">
        <f>IF(OR(B147="Гаврилов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7" s="5" t="s">
        <v>219</v>
      </c>
      <c r="E147" s="5" t="s">
        <v>113</v>
      </c>
      <c r="F147" s="4" t="s">
        <v>15</v>
      </c>
      <c r="G147" s="5" t="str">
        <f>VLOOKUP(Таблица3[[#This Row],[Наименование товара]],Склад!$A$3:$B$8,2,1)</f>
        <v>Gmt</v>
      </c>
      <c r="H147" s="14">
        <v>44972</v>
      </c>
      <c r="I147" s="8">
        <f>INT((MONTH(Таблица3[[#This Row],[Дата продажи]])+2)/3)</f>
        <v>1</v>
      </c>
      <c r="J147" s="5">
        <f>INDEX(Склад!$A$3:$M$8, MATCH(Таблица3[[#This Row],[Наименование товара]], Склад!$A$3:$A$8, 0), 9)</f>
        <v>314.15999999999997</v>
      </c>
      <c r="K147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7" s="5">
        <v>0</v>
      </c>
      <c r="N147" s="5">
        <f>CEILING((Таблица3[[#This Row],[Цена за единицу (с учетом наценки продавца), руб.]] - Таблица3[[#This Row],[Цена за единицу (с учетом наценки продавца), руб.]]*M147),1)</f>
        <v>1120</v>
      </c>
      <c r="O147" s="21">
        <f>VLOOKUP(Таблица3[[#This Row],[Менеджер по продажам]],'Справочная информация'!B$2:C$6,2,0)</f>
        <v>0.15</v>
      </c>
      <c r="P147" s="5">
        <f>Таблица3[[#This Row],[Цена продажи с учетом персональной скидки, руб.]]*O147</f>
        <v>168</v>
      </c>
      <c r="Q147" s="61"/>
    </row>
    <row r="148" spans="1:17" x14ac:dyDescent="0.25">
      <c r="A148" s="10">
        <f t="shared" si="2"/>
        <v>147</v>
      </c>
      <c r="B148" s="5" t="s">
        <v>419</v>
      </c>
      <c r="C148" s="5">
        <f>IF(OR(B148="Гаврилов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8" s="5" t="s">
        <v>287</v>
      </c>
      <c r="E148" s="5" t="s">
        <v>9</v>
      </c>
      <c r="F148" s="4" t="s">
        <v>15</v>
      </c>
      <c r="G148" s="5" t="str">
        <f>VLOOKUP(Таблица3[[#This Row],[Наименование товара]],Склад!$A$3:$B$8,2,1)</f>
        <v>Gmt</v>
      </c>
      <c r="H148" s="14">
        <v>44990</v>
      </c>
      <c r="I148" s="8">
        <f>INT((MONTH(Таблица3[[#This Row],[Дата продажи]])+2)/3)</f>
        <v>1</v>
      </c>
      <c r="J148" s="5">
        <f>INDEX(Склад!$A$3:$M$8, MATCH(Таблица3[[#This Row],[Наименование товара]], Склад!$A$3:$A$8, 0), 9)</f>
        <v>314.15999999999997</v>
      </c>
      <c r="K148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8" s="5">
        <v>0</v>
      </c>
      <c r="N148" s="5">
        <f>CEILING((Таблица3[[#This Row],[Цена за единицу (с учетом наценки продавца), руб.]] - Таблица3[[#This Row],[Цена за единицу (с учетом наценки продавца), руб.]]*M148),1)</f>
        <v>1120</v>
      </c>
      <c r="O148" s="21">
        <f>VLOOKUP(Таблица3[[#This Row],[Менеджер по продажам]],'Справочная информация'!B$2:C$6,2,0)</f>
        <v>0.15</v>
      </c>
      <c r="P148" s="5">
        <f>Таблица3[[#This Row],[Цена продажи с учетом персональной скидки, руб.]]*O148</f>
        <v>168</v>
      </c>
      <c r="Q148" s="61"/>
    </row>
    <row r="149" spans="1:17" x14ac:dyDescent="0.25">
      <c r="A149" s="10">
        <f t="shared" si="2"/>
        <v>148</v>
      </c>
      <c r="B149" s="5" t="s">
        <v>419</v>
      </c>
      <c r="C149" s="5">
        <f>IF(OR(B149="Гаврилов Н.А.",Таблица3[[#This Row],[Менеджер по продажам]]="Никифорова В.М."),1,IF(Таблица3[[#This Row],[Менеджер по продажам]]="Соколов Г.П.",3,2))</f>
        <v>2</v>
      </c>
      <c r="D149" s="5" t="s">
        <v>200</v>
      </c>
      <c r="E149" s="5" t="s">
        <v>9</v>
      </c>
      <c r="F149" s="4" t="s">
        <v>15</v>
      </c>
      <c r="G149" s="5" t="str">
        <f>VLOOKUP(Таблица3[[#This Row],[Наименование товара]],Склад!$A$3:$B$8,2,1)</f>
        <v>Gmt</v>
      </c>
      <c r="H149" s="14">
        <v>44967</v>
      </c>
      <c r="I149" s="8">
        <f>INT((MONTH(Таблица3[[#This Row],[Дата продажи]])+2)/3)</f>
        <v>1</v>
      </c>
      <c r="J149" s="5">
        <f>INDEX(Склад!$A$3:$M$8, MATCH(Таблица3[[#This Row],[Наименование товара]], Склад!$A$3:$A$8, 0), 9)</f>
        <v>314.15999999999997</v>
      </c>
      <c r="K149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4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49" s="5">
        <v>0</v>
      </c>
      <c r="N149" s="5">
        <f>CEILING((Таблица3[[#This Row],[Цена за единицу (с учетом наценки продавца), руб.]] - Таблица3[[#This Row],[Цена за единицу (с учетом наценки продавца), руб.]]*M149),1)</f>
        <v>1120</v>
      </c>
      <c r="O149" s="21">
        <f>VLOOKUP(Таблица3[[#This Row],[Менеджер по продажам]],'Справочная информация'!B$2:C$6,2,0)</f>
        <v>0.15</v>
      </c>
      <c r="P149" s="5">
        <f>Таблица3[[#This Row],[Цена продажи с учетом персональной скидки, руб.]]*O149</f>
        <v>168</v>
      </c>
      <c r="Q149" s="61"/>
    </row>
    <row r="150" spans="1:17" x14ac:dyDescent="0.25">
      <c r="A150" s="10">
        <f t="shared" si="2"/>
        <v>149</v>
      </c>
      <c r="B150" s="5" t="s">
        <v>419</v>
      </c>
      <c r="C150" s="5">
        <f>IF(OR(B150="Гаврилов Н.А.",Таблица3[[#This Row],[Менеджер по продажам]]="Никифорова В.М."),1,IF(Таблица3[[#This Row],[Менеджер по продажам]]="Соколов Г.П.",3,2))</f>
        <v>2</v>
      </c>
      <c r="D150" s="5" t="s">
        <v>309</v>
      </c>
      <c r="E150" s="5" t="s">
        <v>9</v>
      </c>
      <c r="F150" s="4" t="s">
        <v>15</v>
      </c>
      <c r="G150" s="5" t="str">
        <f>VLOOKUP(Таблица3[[#This Row],[Наименование товара]],Склад!$A$3:$B$8,2,1)</f>
        <v>Gmt</v>
      </c>
      <c r="H150" s="14">
        <v>44995</v>
      </c>
      <c r="I150" s="8">
        <f>INT((MONTH(Таблица3[[#This Row],[Дата продажи]])+2)/3)</f>
        <v>1</v>
      </c>
      <c r="J150" s="5">
        <f>INDEX(Склад!$A$3:$M$8, MATCH(Таблица3[[#This Row],[Наименование товара]], Склад!$A$3:$A$8, 0), 9)</f>
        <v>314.15999999999997</v>
      </c>
      <c r="K150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5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50" s="5">
        <v>0</v>
      </c>
      <c r="N150" s="5">
        <f>CEILING((Таблица3[[#This Row],[Цена за единицу (с учетом наценки продавца), руб.]] - Таблица3[[#This Row],[Цена за единицу (с учетом наценки продавца), руб.]]*M150),1)</f>
        <v>1120</v>
      </c>
      <c r="O150" s="21">
        <f>VLOOKUP(Таблица3[[#This Row],[Менеджер по продажам]],'Справочная информация'!B$2:C$6,2,0)</f>
        <v>0.15</v>
      </c>
      <c r="P150" s="5">
        <f>Таблица3[[#This Row],[Цена продажи с учетом персональной скидки, руб.]]*O150</f>
        <v>168</v>
      </c>
      <c r="Q150" s="61"/>
    </row>
    <row r="151" spans="1:17" x14ac:dyDescent="0.25">
      <c r="A151" s="10">
        <f t="shared" si="2"/>
        <v>150</v>
      </c>
      <c r="B151" s="5" t="s">
        <v>419</v>
      </c>
      <c r="C151" s="5">
        <f>IF(OR(B151="Гаврилов Н.А.",Таблица3[[#This Row],[Менеджер по продажам]]="Никифорова В.М."),1,IF(Таблица3[[#This Row],[Менеджер по продажам]]="Соколов Г.П.",3,2))</f>
        <v>2</v>
      </c>
      <c r="D151" s="5" t="s">
        <v>27</v>
      </c>
      <c r="E151" s="5" t="s">
        <v>9</v>
      </c>
      <c r="F151" s="4" t="s">
        <v>15</v>
      </c>
      <c r="G151" s="5" t="str">
        <f>VLOOKUP(Таблица3[[#This Row],[Наименование товара]],Склад!$A$3:$B$8,2,1)</f>
        <v>Gmt</v>
      </c>
      <c r="H151" s="14">
        <v>44930</v>
      </c>
      <c r="I151" s="8">
        <f>INT((MONTH(Таблица3[[#This Row],[Дата продажи]])+2)/3)</f>
        <v>1</v>
      </c>
      <c r="J151" s="5">
        <f>INDEX(Склад!$A$3:$M$8, MATCH(Таблица3[[#This Row],[Наименование товара]], Склад!$A$3:$A$8, 0), 9)</f>
        <v>314.15999999999997</v>
      </c>
      <c r="K151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5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51" s="5">
        <v>0</v>
      </c>
      <c r="N151" s="5">
        <f>CEILING((Таблица3[[#This Row],[Цена за единицу (с учетом наценки продавца), руб.]] - Таблица3[[#This Row],[Цена за единицу (с учетом наценки продавца), руб.]]*M151),1)</f>
        <v>1120</v>
      </c>
      <c r="O151" s="21">
        <f>VLOOKUP(Таблица3[[#This Row],[Менеджер по продажам]],'Справочная информация'!B$2:C$6,2,0)</f>
        <v>0.15</v>
      </c>
      <c r="P151" s="5">
        <f>Таблица3[[#This Row],[Цена продажи с учетом персональной скидки, руб.]]*O151</f>
        <v>168</v>
      </c>
      <c r="Q151" s="61"/>
    </row>
    <row r="152" spans="1:17" x14ac:dyDescent="0.25">
      <c r="A152" s="10">
        <f t="shared" si="2"/>
        <v>151</v>
      </c>
      <c r="B152" s="5" t="s">
        <v>419</v>
      </c>
      <c r="C152" s="5">
        <f>IF(OR(B152="Гаврилов Н.А.",Таблица3[[#This Row],[Менеджер по продажам]]="Никифорова В.М."),1,IF(Таблица3[[#This Row],[Менеджер по продажам]]="Соколов Г.П.",3,2))</f>
        <v>2</v>
      </c>
      <c r="D152" s="5" t="s">
        <v>117</v>
      </c>
      <c r="E152" s="5" t="s">
        <v>113</v>
      </c>
      <c r="F152" s="4" t="s">
        <v>15</v>
      </c>
      <c r="G152" s="5" t="str">
        <f>VLOOKUP(Таблица3[[#This Row],[Наименование товара]],Склад!$A$3:$B$8,2,1)</f>
        <v>Gmt</v>
      </c>
      <c r="H152" s="14">
        <v>44950</v>
      </c>
      <c r="I152" s="8">
        <f>INT((MONTH(Таблица3[[#This Row],[Дата продажи]])+2)/3)</f>
        <v>1</v>
      </c>
      <c r="J152" s="5">
        <f>INDEX(Склад!$A$3:$M$8, MATCH(Таблица3[[#This Row],[Наименование товара]], Склад!$A$3:$A$8, 0), 9)</f>
        <v>314.15999999999997</v>
      </c>
      <c r="K152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5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52" s="5">
        <v>0</v>
      </c>
      <c r="N152" s="5">
        <f>CEILING((Таблица3[[#This Row],[Цена за единицу (с учетом наценки продавца), руб.]] - Таблица3[[#This Row],[Цена за единицу (с учетом наценки продавца), руб.]]*M152),1)</f>
        <v>1120</v>
      </c>
      <c r="O152" s="21">
        <f>VLOOKUP(Таблица3[[#This Row],[Менеджер по продажам]],'Справочная информация'!B$2:C$6,2,0)</f>
        <v>0.15</v>
      </c>
      <c r="P152" s="5">
        <f>Таблица3[[#This Row],[Цена продажи с учетом персональной скидки, руб.]]*O152</f>
        <v>168</v>
      </c>
      <c r="Q152" s="61"/>
    </row>
    <row r="153" spans="1:17" x14ac:dyDescent="0.25">
      <c r="A153" s="10">
        <f t="shared" si="2"/>
        <v>152</v>
      </c>
      <c r="B153" s="5" t="s">
        <v>419</v>
      </c>
      <c r="C153" s="5">
        <f>IF(OR(B153="Гаврилов Н.А.",Таблица3[[#This Row],[Менеджер по продажам]]="Никифорова В.М."),1,IF(Таблица3[[#This Row],[Менеджер по продажам]]="Соколов Г.П.",3,2))</f>
        <v>2</v>
      </c>
      <c r="D153" s="5" t="s">
        <v>138</v>
      </c>
      <c r="E153" s="5" t="s">
        <v>9</v>
      </c>
      <c r="F153" s="4" t="s">
        <v>15</v>
      </c>
      <c r="G153" s="5" t="str">
        <f>VLOOKUP(Таблица3[[#This Row],[Наименование товара]],Склад!$A$3:$B$8,2,1)</f>
        <v>Gmt</v>
      </c>
      <c r="H153" s="14">
        <v>44955</v>
      </c>
      <c r="I153" s="8">
        <f>INT((MONTH(Таблица3[[#This Row],[Дата продажи]])+2)/3)</f>
        <v>1</v>
      </c>
      <c r="J153" s="5">
        <f>INDEX(Склад!$A$3:$M$8, MATCH(Таблица3[[#This Row],[Наименование товара]], Склад!$A$3:$A$8, 0), 9)</f>
        <v>314.15999999999997</v>
      </c>
      <c r="K15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5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53" s="5">
        <v>0</v>
      </c>
      <c r="N153" s="5">
        <f>CEILING((Таблица3[[#This Row],[Цена за единицу (с учетом наценки продавца), руб.]] - Таблица3[[#This Row],[Цена за единицу (с учетом наценки продавца), руб.]]*M153),1)</f>
        <v>1120</v>
      </c>
      <c r="O153" s="21">
        <f>VLOOKUP(Таблица3[[#This Row],[Менеджер по продажам]],'Справочная информация'!B$2:C$6,2,0)</f>
        <v>0.15</v>
      </c>
      <c r="P153" s="5">
        <f>Таблица3[[#This Row],[Цена продажи с учетом персональной скидки, руб.]]*O153</f>
        <v>168</v>
      </c>
      <c r="Q153" s="61"/>
    </row>
    <row r="154" spans="1:17" x14ac:dyDescent="0.25">
      <c r="A154" s="10">
        <f t="shared" si="2"/>
        <v>153</v>
      </c>
      <c r="B154" s="5" t="s">
        <v>419</v>
      </c>
      <c r="C154" s="5">
        <f>IF(OR(B154="Гаврилов Н.А.",Таблица3[[#This Row],[Менеджер по продажам]]="Никифорова В.М."),1,IF(Таблица3[[#This Row],[Менеджер по продажам]]="Соколов Г.П.",3,2))</f>
        <v>2</v>
      </c>
      <c r="D154" s="5" t="s">
        <v>127</v>
      </c>
      <c r="E154" s="5" t="s">
        <v>113</v>
      </c>
      <c r="F154" s="4" t="s">
        <v>15</v>
      </c>
      <c r="G154" s="5" t="str">
        <f>VLOOKUP(Таблица3[[#This Row],[Наименование товара]],Склад!$A$3:$B$8,2,1)</f>
        <v>Gmt</v>
      </c>
      <c r="H154" s="14">
        <v>44953</v>
      </c>
      <c r="I154" s="8">
        <f>INT((MONTH(Таблица3[[#This Row],[Дата продажи]])+2)/3)</f>
        <v>1</v>
      </c>
      <c r="J154" s="5">
        <f>INDEX(Склад!$A$3:$M$8, MATCH(Таблица3[[#This Row],[Наименование товара]], Склад!$A$3:$A$8, 0), 9)</f>
        <v>314.15999999999997</v>
      </c>
      <c r="K15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15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154" s="5">
        <v>0</v>
      </c>
      <c r="N154" s="5">
        <f>CEILING((Таблица3[[#This Row],[Цена за единицу (с учетом наценки продавца), руб.]] - Таблица3[[#This Row],[Цена за единицу (с учетом наценки продавца), руб.]]*M154),1)</f>
        <v>1120</v>
      </c>
      <c r="O154" s="21">
        <f>VLOOKUP(Таблица3[[#This Row],[Менеджер по продажам]],'Справочная информация'!B$2:C$6,2,0)</f>
        <v>0.15</v>
      </c>
      <c r="P154" s="5">
        <f>Таблица3[[#This Row],[Цена продажи с учетом персональной скидки, руб.]]*O154</f>
        <v>168</v>
      </c>
      <c r="Q154" s="61"/>
    </row>
    <row r="155" spans="1:17" x14ac:dyDescent="0.25">
      <c r="A155" s="10">
        <f t="shared" si="2"/>
        <v>154</v>
      </c>
      <c r="B155" s="5" t="s">
        <v>420</v>
      </c>
      <c r="C155" s="5">
        <f>IF(OR(B155="Гаврилов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5" s="5" t="s">
        <v>396</v>
      </c>
      <c r="E155" s="5" t="s">
        <v>78</v>
      </c>
      <c r="F155" s="4" t="s">
        <v>5</v>
      </c>
      <c r="G155" s="5" t="str">
        <f>VLOOKUP(Таблица3[[#This Row],[Наименование товара]],Склад!$A$3:$B$8,2,1)</f>
        <v>Person</v>
      </c>
      <c r="H155" s="14">
        <v>45011</v>
      </c>
      <c r="I155" s="8">
        <f>INT((MONTH(Таблица3[[#This Row],[Дата продажи]])+2)/3)</f>
        <v>1</v>
      </c>
      <c r="J155" s="5">
        <f>INDEX(Склад!$A$3:$M$8, MATCH(Таблица3[[#This Row],[Наименование товара]], Склад!$A$3:$A$8, 0), 9)</f>
        <v>163.13</v>
      </c>
      <c r="K15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5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55" s="5">
        <v>0</v>
      </c>
      <c r="N155" s="5">
        <f>CEILING((Таблица3[[#This Row],[Цена за единицу (с учетом наценки продавца), руб.]] - Таблица3[[#This Row],[Цена за единицу (с учетом наценки продавца), руб.]]*M155),1)</f>
        <v>762</v>
      </c>
      <c r="O155" s="21">
        <f>VLOOKUP(Таблица3[[#This Row],[Менеджер по продажам]],'Справочная информация'!B$2:C$6,2,0)</f>
        <v>0.15</v>
      </c>
      <c r="P155" s="5">
        <f>Таблица3[[#This Row],[Цена продажи с учетом персональной скидки, руб.]]*O155</f>
        <v>114.3</v>
      </c>
      <c r="Q155" s="61"/>
    </row>
    <row r="156" spans="1:17" x14ac:dyDescent="0.25">
      <c r="A156" s="10">
        <f t="shared" si="2"/>
        <v>155</v>
      </c>
      <c r="B156" s="5" t="s">
        <v>420</v>
      </c>
      <c r="C156" s="5">
        <f>IF(OR(B156="Гаврилов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6" s="5" t="s">
        <v>286</v>
      </c>
      <c r="E156" s="5" t="s">
        <v>212</v>
      </c>
      <c r="F156" s="4" t="s">
        <v>5</v>
      </c>
      <c r="G156" s="5" t="str">
        <f>VLOOKUP(Таблица3[[#This Row],[Наименование товара]],Склад!$A$3:$B$8,2,1)</f>
        <v>Person</v>
      </c>
      <c r="H156" s="14">
        <v>44990</v>
      </c>
      <c r="I156" s="8">
        <f>INT((MONTH(Таблица3[[#This Row],[Дата продажи]])+2)/3)</f>
        <v>1</v>
      </c>
      <c r="J156" s="5">
        <f>INDEX(Склад!$A$3:$M$8, MATCH(Таблица3[[#This Row],[Наименование товара]], Склад!$A$3:$A$8, 0), 9)</f>
        <v>163.13</v>
      </c>
      <c r="K15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5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56" s="5">
        <v>0</v>
      </c>
      <c r="N156" s="5">
        <f>CEILING((Таблица3[[#This Row],[Цена за единицу (с учетом наценки продавца), руб.]] - Таблица3[[#This Row],[Цена за единицу (с учетом наценки продавца), руб.]]*M156),1)</f>
        <v>762</v>
      </c>
      <c r="O156" s="21">
        <f>VLOOKUP(Таблица3[[#This Row],[Менеджер по продажам]],'Справочная информация'!B$2:C$6,2,0)</f>
        <v>0.15</v>
      </c>
      <c r="P156" s="5">
        <f>Таблица3[[#This Row],[Цена продажи с учетом персональной скидки, руб.]]*O156</f>
        <v>114.3</v>
      </c>
      <c r="Q156" s="61"/>
    </row>
    <row r="157" spans="1:17" x14ac:dyDescent="0.25">
      <c r="A157" s="10">
        <f t="shared" si="2"/>
        <v>156</v>
      </c>
      <c r="B157" s="5" t="s">
        <v>420</v>
      </c>
      <c r="C157" s="5">
        <f>IF(OR(B157="Гаврилов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7" s="5" t="s">
        <v>400</v>
      </c>
      <c r="E157" s="5" t="s">
        <v>31</v>
      </c>
      <c r="F157" s="4" t="s">
        <v>5</v>
      </c>
      <c r="G157" s="5" t="str">
        <f>VLOOKUP(Таблица3[[#This Row],[Наименование товара]],Склад!$A$3:$B$8,2,1)</f>
        <v>Person</v>
      </c>
      <c r="H157" s="14">
        <v>45012</v>
      </c>
      <c r="I157" s="8">
        <f>INT((MONTH(Таблица3[[#This Row],[Дата продажи]])+2)/3)</f>
        <v>1</v>
      </c>
      <c r="J157" s="5">
        <f>INDEX(Склад!$A$3:$M$8, MATCH(Таблица3[[#This Row],[Наименование товара]], Склад!$A$3:$A$8, 0), 9)</f>
        <v>163.13</v>
      </c>
      <c r="K15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5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57" s="5">
        <v>0</v>
      </c>
      <c r="N157" s="5">
        <f>CEILING((Таблица3[[#This Row],[Цена за единицу (с учетом наценки продавца), руб.]] - Таблица3[[#This Row],[Цена за единицу (с учетом наценки продавца), руб.]]*M157),1)</f>
        <v>762</v>
      </c>
      <c r="O157" s="21">
        <f>VLOOKUP(Таблица3[[#This Row],[Менеджер по продажам]],'Справочная информация'!B$2:C$6,2,0)</f>
        <v>0.15</v>
      </c>
      <c r="P157" s="5">
        <f>Таблица3[[#This Row],[Цена продажи с учетом персональной скидки, руб.]]*O157</f>
        <v>114.3</v>
      </c>
      <c r="Q157" s="61"/>
    </row>
    <row r="158" spans="1:17" x14ac:dyDescent="0.25">
      <c r="A158" s="10">
        <f t="shared" si="2"/>
        <v>157</v>
      </c>
      <c r="B158" s="5" t="s">
        <v>420</v>
      </c>
      <c r="C158" s="5">
        <f>IF(OR(B158="Гаврилов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8" s="5" t="s">
        <v>371</v>
      </c>
      <c r="E158" s="5" t="s">
        <v>212</v>
      </c>
      <c r="F158" s="4" t="s">
        <v>5</v>
      </c>
      <c r="G158" s="5" t="str">
        <f>VLOOKUP(Таблица3[[#This Row],[Наименование товара]],Склад!$A$3:$B$8,2,1)</f>
        <v>Person</v>
      </c>
      <c r="H158" s="14">
        <v>45007</v>
      </c>
      <c r="I158" s="8">
        <f>INT((MONTH(Таблица3[[#This Row],[Дата продажи]])+2)/3)</f>
        <v>1</v>
      </c>
      <c r="J158" s="5">
        <f>INDEX(Склад!$A$3:$M$8, MATCH(Таблица3[[#This Row],[Наименование товара]], Склад!$A$3:$A$8, 0), 9)</f>
        <v>163.13</v>
      </c>
      <c r="K15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5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58" s="5">
        <v>0</v>
      </c>
      <c r="N158" s="5">
        <f>CEILING((Таблица3[[#This Row],[Цена за единицу (с учетом наценки продавца), руб.]] - Таблица3[[#This Row],[Цена за единицу (с учетом наценки продавца), руб.]]*M158),1)</f>
        <v>762</v>
      </c>
      <c r="O158" s="21">
        <f>VLOOKUP(Таблица3[[#This Row],[Менеджер по продажам]],'Справочная информация'!B$2:C$6,2,0)</f>
        <v>0.15</v>
      </c>
      <c r="P158" s="5">
        <f>Таблица3[[#This Row],[Цена продажи с учетом персональной скидки, руб.]]*O158</f>
        <v>114.3</v>
      </c>
      <c r="Q158" s="61"/>
    </row>
    <row r="159" spans="1:17" x14ac:dyDescent="0.25">
      <c r="A159" s="10">
        <f t="shared" si="2"/>
        <v>158</v>
      </c>
      <c r="B159" s="5" t="s">
        <v>420</v>
      </c>
      <c r="C159" s="5">
        <f>IF(OR(B159="Гаврилов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59" s="5" t="s">
        <v>56</v>
      </c>
      <c r="E159" s="5" t="s">
        <v>47</v>
      </c>
      <c r="F159" s="4" t="s">
        <v>5</v>
      </c>
      <c r="G159" s="5" t="str">
        <f>VLOOKUP(Таблица3[[#This Row],[Наименование товара]],Склад!$A$3:$B$8,2,1)</f>
        <v>Person</v>
      </c>
      <c r="H159" s="14">
        <v>44937</v>
      </c>
      <c r="I159" s="8">
        <f>INT((MONTH(Таблица3[[#This Row],[Дата продажи]])+2)/3)</f>
        <v>1</v>
      </c>
      <c r="J159" s="5">
        <f>INDEX(Склад!$A$3:$M$8, MATCH(Таблица3[[#This Row],[Наименование товара]], Склад!$A$3:$A$8, 0), 9)</f>
        <v>163.13</v>
      </c>
      <c r="K15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5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59" s="5">
        <v>0</v>
      </c>
      <c r="N159" s="5">
        <f>CEILING((Таблица3[[#This Row],[Цена за единицу (с учетом наценки продавца), руб.]] - Таблица3[[#This Row],[Цена за единицу (с учетом наценки продавца), руб.]]*M159),1)</f>
        <v>762</v>
      </c>
      <c r="O159" s="21">
        <f>VLOOKUP(Таблица3[[#This Row],[Менеджер по продажам]],'Справочная информация'!B$2:C$6,2,0)</f>
        <v>0.15</v>
      </c>
      <c r="P159" s="5">
        <f>Таблица3[[#This Row],[Цена продажи с учетом персональной скидки, руб.]]*O159</f>
        <v>114.3</v>
      </c>
      <c r="Q159" s="61"/>
    </row>
    <row r="160" spans="1:17" x14ac:dyDescent="0.25">
      <c r="A160" s="10">
        <f t="shared" si="2"/>
        <v>159</v>
      </c>
      <c r="B160" s="5" t="s">
        <v>420</v>
      </c>
      <c r="C160" s="5">
        <f>IF(OR(B160="Гаврилов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0" s="5" t="s">
        <v>126</v>
      </c>
      <c r="E160" s="5" t="s">
        <v>11</v>
      </c>
      <c r="F160" s="4" t="s">
        <v>5</v>
      </c>
      <c r="G160" s="5" t="str">
        <f>VLOOKUP(Таблица3[[#This Row],[Наименование товара]],Склад!$A$3:$B$8,2,1)</f>
        <v>Person</v>
      </c>
      <c r="H160" s="14">
        <v>44953</v>
      </c>
      <c r="I160" s="8">
        <f>INT((MONTH(Таблица3[[#This Row],[Дата продажи]])+2)/3)</f>
        <v>1</v>
      </c>
      <c r="J160" s="5">
        <f>INDEX(Склад!$A$3:$M$8, MATCH(Таблица3[[#This Row],[Наименование товара]], Склад!$A$3:$A$8, 0), 9)</f>
        <v>163.13</v>
      </c>
      <c r="K16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0" s="5">
        <v>0</v>
      </c>
      <c r="N160" s="5">
        <f>CEILING((Таблица3[[#This Row],[Цена за единицу (с учетом наценки продавца), руб.]] - Таблица3[[#This Row],[Цена за единицу (с учетом наценки продавца), руб.]]*M160),1)</f>
        <v>762</v>
      </c>
      <c r="O160" s="21">
        <f>VLOOKUP(Таблица3[[#This Row],[Менеджер по продажам]],'Справочная информация'!B$2:C$6,2,0)</f>
        <v>0.15</v>
      </c>
      <c r="P160" s="5">
        <f>Таблица3[[#This Row],[Цена продажи с учетом персональной скидки, руб.]]*O160</f>
        <v>114.3</v>
      </c>
      <c r="Q160" s="61"/>
    </row>
    <row r="161" spans="1:17" x14ac:dyDescent="0.25">
      <c r="A161" s="10">
        <f t="shared" si="2"/>
        <v>160</v>
      </c>
      <c r="B161" s="5" t="s">
        <v>420</v>
      </c>
      <c r="C161" s="5">
        <f>IF(OR(B161="Гаврилов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1" s="5" t="s">
        <v>364</v>
      </c>
      <c r="E161" s="5" t="s">
        <v>47</v>
      </c>
      <c r="F161" s="4" t="s">
        <v>5</v>
      </c>
      <c r="G161" s="5" t="str">
        <f>VLOOKUP(Таблица3[[#This Row],[Наименование товара]],Склад!$A$3:$B$8,2,1)</f>
        <v>Person</v>
      </c>
      <c r="H161" s="14">
        <v>45005</v>
      </c>
      <c r="I161" s="8">
        <f>INT((MONTH(Таблица3[[#This Row],[Дата продажи]])+2)/3)</f>
        <v>1</v>
      </c>
      <c r="J161" s="5">
        <f>INDEX(Склад!$A$3:$M$8, MATCH(Таблица3[[#This Row],[Наименование товара]], Склад!$A$3:$A$8, 0), 9)</f>
        <v>163.13</v>
      </c>
      <c r="K16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1" s="5">
        <v>0</v>
      </c>
      <c r="N161" s="5">
        <f>CEILING((Таблица3[[#This Row],[Цена за единицу (с учетом наценки продавца), руб.]] - Таблица3[[#This Row],[Цена за единицу (с учетом наценки продавца), руб.]]*M161),1)</f>
        <v>762</v>
      </c>
      <c r="O161" s="21">
        <f>VLOOKUP(Таблица3[[#This Row],[Менеджер по продажам]],'Справочная информация'!B$2:C$6,2,0)</f>
        <v>0.15</v>
      </c>
      <c r="P161" s="5">
        <f>Таблица3[[#This Row],[Цена продажи с учетом персональной скидки, руб.]]*O161</f>
        <v>114.3</v>
      </c>
      <c r="Q161" s="61"/>
    </row>
    <row r="162" spans="1:17" x14ac:dyDescent="0.25">
      <c r="A162" s="10">
        <f t="shared" si="2"/>
        <v>161</v>
      </c>
      <c r="B162" s="5" t="s">
        <v>420</v>
      </c>
      <c r="C162" s="5">
        <f>IF(OR(B162="Гаврилов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2" s="5" t="s">
        <v>266</v>
      </c>
      <c r="E162" s="5" t="s">
        <v>31</v>
      </c>
      <c r="F162" s="4" t="s">
        <v>5</v>
      </c>
      <c r="G162" s="5" t="str">
        <f>VLOOKUP(Таблица3[[#This Row],[Наименование товара]],Склад!$A$3:$B$8,2,1)</f>
        <v>Person</v>
      </c>
      <c r="H162" s="14">
        <v>44985</v>
      </c>
      <c r="I162" s="8">
        <f>INT((MONTH(Таблица3[[#This Row],[Дата продажи]])+2)/3)</f>
        <v>1</v>
      </c>
      <c r="J162" s="5">
        <f>INDEX(Склад!$A$3:$M$8, MATCH(Таблица3[[#This Row],[Наименование товара]], Склад!$A$3:$A$8, 0), 9)</f>
        <v>163.13</v>
      </c>
      <c r="K16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2" s="5">
        <v>0</v>
      </c>
      <c r="N162" s="5">
        <f>CEILING((Таблица3[[#This Row],[Цена за единицу (с учетом наценки продавца), руб.]] - Таблица3[[#This Row],[Цена за единицу (с учетом наценки продавца), руб.]]*M162),1)</f>
        <v>762</v>
      </c>
      <c r="O162" s="21">
        <f>VLOOKUP(Таблица3[[#This Row],[Менеджер по продажам]],'Справочная информация'!B$2:C$6,2,0)</f>
        <v>0.15</v>
      </c>
      <c r="P162" s="5">
        <f>Таблица3[[#This Row],[Цена продажи с учетом персональной скидки, руб.]]*O162</f>
        <v>114.3</v>
      </c>
      <c r="Q162" s="61"/>
    </row>
    <row r="163" spans="1:17" x14ac:dyDescent="0.25">
      <c r="A163" s="10">
        <f t="shared" si="2"/>
        <v>162</v>
      </c>
      <c r="B163" s="5" t="s">
        <v>420</v>
      </c>
      <c r="C163" s="5">
        <f>IF(OR(B163="Гаврилов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3" s="5" t="s">
        <v>267</v>
      </c>
      <c r="E163" s="5" t="s">
        <v>94</v>
      </c>
      <c r="F163" s="4" t="s">
        <v>5</v>
      </c>
      <c r="G163" s="5" t="str">
        <f>VLOOKUP(Таблица3[[#This Row],[Наименование товара]],Склад!$A$3:$B$8,2,1)</f>
        <v>Person</v>
      </c>
      <c r="H163" s="14">
        <v>44985</v>
      </c>
      <c r="I163" s="8">
        <f>INT((MONTH(Таблица3[[#This Row],[Дата продажи]])+2)/3)</f>
        <v>1</v>
      </c>
      <c r="J163" s="5">
        <f>INDEX(Склад!$A$3:$M$8, MATCH(Таблица3[[#This Row],[Наименование товара]], Склад!$A$3:$A$8, 0), 9)</f>
        <v>163.13</v>
      </c>
      <c r="K16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3" s="5">
        <v>0</v>
      </c>
      <c r="N163" s="5">
        <f>CEILING((Таблица3[[#This Row],[Цена за единицу (с учетом наценки продавца), руб.]] - Таблица3[[#This Row],[Цена за единицу (с учетом наценки продавца), руб.]]*M163),1)</f>
        <v>762</v>
      </c>
      <c r="O163" s="21">
        <f>VLOOKUP(Таблица3[[#This Row],[Менеджер по продажам]],'Справочная информация'!B$2:C$6,2,0)</f>
        <v>0.15</v>
      </c>
      <c r="P163" s="5">
        <f>Таблица3[[#This Row],[Цена продажи с учетом персональной скидки, руб.]]*O163</f>
        <v>114.3</v>
      </c>
      <c r="Q163" s="61"/>
    </row>
    <row r="164" spans="1:17" x14ac:dyDescent="0.25">
      <c r="A164" s="10">
        <f t="shared" si="2"/>
        <v>163</v>
      </c>
      <c r="B164" s="5" t="s">
        <v>420</v>
      </c>
      <c r="C164" s="5">
        <f>IF(OR(B164="Гаврилов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4" s="5" t="s">
        <v>183</v>
      </c>
      <c r="E164" s="5" t="s">
        <v>31</v>
      </c>
      <c r="F164" s="4" t="s">
        <v>5</v>
      </c>
      <c r="G164" s="5" t="str">
        <f>VLOOKUP(Таблица3[[#This Row],[Наименование товара]],Склад!$A$3:$B$8,2,1)</f>
        <v>Person</v>
      </c>
      <c r="H164" s="14">
        <v>44964</v>
      </c>
      <c r="I164" s="8">
        <f>INT((MONTH(Таблица3[[#This Row],[Дата продажи]])+2)/3)</f>
        <v>1</v>
      </c>
      <c r="J164" s="5">
        <f>INDEX(Склад!$A$3:$M$8, MATCH(Таблица3[[#This Row],[Наименование товара]], Склад!$A$3:$A$8, 0), 9)</f>
        <v>163.13</v>
      </c>
      <c r="K16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4" s="5">
        <v>0</v>
      </c>
      <c r="N164" s="5">
        <f>CEILING((Таблица3[[#This Row],[Цена за единицу (с учетом наценки продавца), руб.]] - Таблица3[[#This Row],[Цена за единицу (с учетом наценки продавца), руб.]]*M164),1)</f>
        <v>762</v>
      </c>
      <c r="O164" s="21">
        <f>VLOOKUP(Таблица3[[#This Row],[Менеджер по продажам]],'Справочная информация'!B$2:C$6,2,0)</f>
        <v>0.15</v>
      </c>
      <c r="P164" s="5">
        <f>Таблица3[[#This Row],[Цена продажи с учетом персональной скидки, руб.]]*O164</f>
        <v>114.3</v>
      </c>
      <c r="Q164" s="61"/>
    </row>
    <row r="165" spans="1:17" x14ac:dyDescent="0.25">
      <c r="A165" s="10">
        <f t="shared" si="2"/>
        <v>164</v>
      </c>
      <c r="B165" s="5" t="s">
        <v>420</v>
      </c>
      <c r="C165" s="5">
        <f>IF(OR(B165="Гаврилов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5" s="5" t="s">
        <v>216</v>
      </c>
      <c r="E165" s="5" t="s">
        <v>212</v>
      </c>
      <c r="F165" s="4" t="s">
        <v>5</v>
      </c>
      <c r="G165" s="5" t="str">
        <f>VLOOKUP(Таблица3[[#This Row],[Наименование товара]],Склад!$A$3:$B$8,2,1)</f>
        <v>Person</v>
      </c>
      <c r="H165" s="14">
        <v>44971</v>
      </c>
      <c r="I165" s="8">
        <f>INT((MONTH(Таблица3[[#This Row],[Дата продажи]])+2)/3)</f>
        <v>1</v>
      </c>
      <c r="J165" s="5">
        <f>INDEX(Склад!$A$3:$M$8, MATCH(Таблица3[[#This Row],[Наименование товара]], Склад!$A$3:$A$8, 0), 9)</f>
        <v>163.13</v>
      </c>
      <c r="K16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5" s="5">
        <v>0</v>
      </c>
      <c r="N165" s="5">
        <f>CEILING((Таблица3[[#This Row],[Цена за единицу (с учетом наценки продавца), руб.]] - Таблица3[[#This Row],[Цена за единицу (с учетом наценки продавца), руб.]]*M165),1)</f>
        <v>762</v>
      </c>
      <c r="O165" s="21">
        <f>VLOOKUP(Таблица3[[#This Row],[Менеджер по продажам]],'Справочная информация'!B$2:C$6,2,0)</f>
        <v>0.15</v>
      </c>
      <c r="P165" s="5">
        <f>Таблица3[[#This Row],[Цена продажи с учетом персональной скидки, руб.]]*O165</f>
        <v>114.3</v>
      </c>
      <c r="Q165" s="61"/>
    </row>
    <row r="166" spans="1:17" x14ac:dyDescent="0.25">
      <c r="A166" s="10">
        <f t="shared" si="2"/>
        <v>165</v>
      </c>
      <c r="B166" s="5" t="s">
        <v>420</v>
      </c>
      <c r="C166" s="5">
        <f>IF(OR(B166="Гаврилов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6" s="5" t="s">
        <v>203</v>
      </c>
      <c r="E166" s="5" t="s">
        <v>94</v>
      </c>
      <c r="F166" s="4" t="s">
        <v>5</v>
      </c>
      <c r="G166" s="5" t="str">
        <f>VLOOKUP(Таблица3[[#This Row],[Наименование товара]],Склад!$A$3:$B$8,2,1)</f>
        <v>Person</v>
      </c>
      <c r="H166" s="14">
        <v>44967</v>
      </c>
      <c r="I166" s="8">
        <f>INT((MONTH(Таблица3[[#This Row],[Дата продажи]])+2)/3)</f>
        <v>1</v>
      </c>
      <c r="J166" s="5">
        <f>INDEX(Склад!$A$3:$M$8, MATCH(Таблица3[[#This Row],[Наименование товара]], Склад!$A$3:$A$8, 0), 9)</f>
        <v>163.13</v>
      </c>
      <c r="K16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6" s="5">
        <v>0</v>
      </c>
      <c r="N166" s="5">
        <f>CEILING((Таблица3[[#This Row],[Цена за единицу (с учетом наценки продавца), руб.]] - Таблица3[[#This Row],[Цена за единицу (с учетом наценки продавца), руб.]]*M166),1)</f>
        <v>762</v>
      </c>
      <c r="O166" s="21">
        <f>VLOOKUP(Таблица3[[#This Row],[Менеджер по продажам]],'Справочная информация'!B$2:C$6,2,0)</f>
        <v>0.15</v>
      </c>
      <c r="P166" s="5">
        <f>Таблица3[[#This Row],[Цена продажи с учетом персональной скидки, руб.]]*O166</f>
        <v>114.3</v>
      </c>
      <c r="Q166" s="61"/>
    </row>
    <row r="167" spans="1:17" x14ac:dyDescent="0.25">
      <c r="A167" s="10">
        <f t="shared" si="2"/>
        <v>166</v>
      </c>
      <c r="B167" s="5" t="s">
        <v>420</v>
      </c>
      <c r="C167" s="5">
        <f>IF(OR(B167="Гаврилов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7" s="5" t="s">
        <v>161</v>
      </c>
      <c r="E167" s="5" t="s">
        <v>78</v>
      </c>
      <c r="F167" s="4" t="s">
        <v>5</v>
      </c>
      <c r="G167" s="5" t="str">
        <f>VLOOKUP(Таблица3[[#This Row],[Наименование товара]],Склад!$A$3:$B$8,2,1)</f>
        <v>Person</v>
      </c>
      <c r="H167" s="14">
        <v>44960</v>
      </c>
      <c r="I167" s="8">
        <f>INT((MONTH(Таблица3[[#This Row],[Дата продажи]])+2)/3)</f>
        <v>1</v>
      </c>
      <c r="J167" s="5">
        <f>INDEX(Склад!$A$3:$M$8, MATCH(Таблица3[[#This Row],[Наименование товара]], Склад!$A$3:$A$8, 0), 9)</f>
        <v>163.13</v>
      </c>
      <c r="K16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7" s="5">
        <v>0</v>
      </c>
      <c r="N167" s="5">
        <f>CEILING((Таблица3[[#This Row],[Цена за единицу (с учетом наценки продавца), руб.]] - Таблица3[[#This Row],[Цена за единицу (с учетом наценки продавца), руб.]]*M167),1)</f>
        <v>762</v>
      </c>
      <c r="O167" s="21">
        <f>VLOOKUP(Таблица3[[#This Row],[Менеджер по продажам]],'Справочная информация'!B$2:C$6,2,0)</f>
        <v>0.15</v>
      </c>
      <c r="P167" s="5">
        <f>Таблица3[[#This Row],[Цена продажи с учетом персональной скидки, руб.]]*O167</f>
        <v>114.3</v>
      </c>
      <c r="Q167" s="61"/>
    </row>
    <row r="168" spans="1:17" x14ac:dyDescent="0.25">
      <c r="A168" s="10">
        <f t="shared" si="2"/>
        <v>167</v>
      </c>
      <c r="B168" s="5" t="s">
        <v>420</v>
      </c>
      <c r="C168" s="5">
        <f>IF(OR(B168="Гаврилов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8" s="5" t="s">
        <v>115</v>
      </c>
      <c r="E168" s="5" t="s">
        <v>78</v>
      </c>
      <c r="F168" s="4" t="s">
        <v>5</v>
      </c>
      <c r="G168" s="5" t="str">
        <f>VLOOKUP(Таблица3[[#This Row],[Наименование товара]],Склад!$A$3:$B$8,2,1)</f>
        <v>Person</v>
      </c>
      <c r="H168" s="14">
        <v>44949</v>
      </c>
      <c r="I168" s="8">
        <f>INT((MONTH(Таблица3[[#This Row],[Дата продажи]])+2)/3)</f>
        <v>1</v>
      </c>
      <c r="J168" s="5">
        <f>INDEX(Склад!$A$3:$M$8, MATCH(Таблица3[[#This Row],[Наименование товара]], Склад!$A$3:$A$8, 0), 9)</f>
        <v>163.13</v>
      </c>
      <c r="K16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8" s="5">
        <v>0</v>
      </c>
      <c r="N168" s="5">
        <f>CEILING((Таблица3[[#This Row],[Цена за единицу (с учетом наценки продавца), руб.]] - Таблица3[[#This Row],[Цена за единицу (с учетом наценки продавца), руб.]]*M168),1)</f>
        <v>762</v>
      </c>
      <c r="O168" s="21">
        <f>VLOOKUP(Таблица3[[#This Row],[Менеджер по продажам]],'Справочная информация'!B$2:C$6,2,0)</f>
        <v>0.15</v>
      </c>
      <c r="P168" s="5">
        <f>Таблица3[[#This Row],[Цена продажи с учетом персональной скидки, руб.]]*O168</f>
        <v>114.3</v>
      </c>
      <c r="Q168" s="61"/>
    </row>
    <row r="169" spans="1:17" x14ac:dyDescent="0.25">
      <c r="A169" s="10">
        <f t="shared" si="2"/>
        <v>168</v>
      </c>
      <c r="B169" s="5" t="s">
        <v>420</v>
      </c>
      <c r="C169" s="5">
        <f>IF(OR(B169="Гаврилов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69" s="5" t="s">
        <v>80</v>
      </c>
      <c r="E169" s="5" t="s">
        <v>11</v>
      </c>
      <c r="F169" s="4" t="s">
        <v>5</v>
      </c>
      <c r="G169" s="5" t="str">
        <f>VLOOKUP(Таблица3[[#This Row],[Наименование товара]],Склад!$A$3:$B$8,2,1)</f>
        <v>Person</v>
      </c>
      <c r="H169" s="14">
        <v>44941</v>
      </c>
      <c r="I169" s="8">
        <f>INT((MONTH(Таблица3[[#This Row],[Дата продажи]])+2)/3)</f>
        <v>1</v>
      </c>
      <c r="J169" s="5">
        <f>INDEX(Склад!$A$3:$M$8, MATCH(Таблица3[[#This Row],[Наименование товара]], Склад!$A$3:$A$8, 0), 9)</f>
        <v>163.13</v>
      </c>
      <c r="K16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6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69" s="5">
        <v>0</v>
      </c>
      <c r="N169" s="5">
        <f>CEILING((Таблица3[[#This Row],[Цена за единицу (с учетом наценки продавца), руб.]] - Таблица3[[#This Row],[Цена за единицу (с учетом наценки продавца), руб.]]*M169),1)</f>
        <v>762</v>
      </c>
      <c r="O169" s="21">
        <f>VLOOKUP(Таблица3[[#This Row],[Менеджер по продажам]],'Справочная информация'!B$2:C$6,2,0)</f>
        <v>0.15</v>
      </c>
      <c r="P169" s="5">
        <f>Таблица3[[#This Row],[Цена продажи с учетом персональной скидки, руб.]]*O169</f>
        <v>114.3</v>
      </c>
      <c r="Q169" s="61"/>
    </row>
    <row r="170" spans="1:17" x14ac:dyDescent="0.25">
      <c r="A170" s="10">
        <f t="shared" si="2"/>
        <v>169</v>
      </c>
      <c r="B170" s="5" t="s">
        <v>420</v>
      </c>
      <c r="C170" s="5">
        <f>IF(OR(B170="Гаврилов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0" s="5" t="s">
        <v>12</v>
      </c>
      <c r="E170" s="5" t="s">
        <v>13</v>
      </c>
      <c r="F170" s="4" t="s">
        <v>5</v>
      </c>
      <c r="G170" s="5" t="str">
        <f>VLOOKUP(Таблица3[[#This Row],[Наименование товара]],Склад!$A$3:$B$8,2,1)</f>
        <v>Person</v>
      </c>
      <c r="H170" s="14">
        <v>44927</v>
      </c>
      <c r="I170" s="8">
        <f>INT((MONTH(Таблица3[[#This Row],[Дата продажи]])+2)/3)</f>
        <v>1</v>
      </c>
      <c r="J170" s="5">
        <f>INDEX(Склад!$A$3:$M$8, MATCH(Таблица3[[#This Row],[Наименование товара]], Склад!$A$3:$A$8, 0), 9)</f>
        <v>163.13</v>
      </c>
      <c r="K17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17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170" s="5">
        <v>0</v>
      </c>
      <c r="N170" s="5">
        <f>CEILING((Таблица3[[#This Row],[Цена за единицу (с учетом наценки продавца), руб.]] - Таблица3[[#This Row],[Цена за единицу (с учетом наценки продавца), руб.]]*M170),1)</f>
        <v>762</v>
      </c>
      <c r="O170" s="21">
        <f>VLOOKUP(Таблица3[[#This Row],[Менеджер по продажам]],'Справочная информация'!B$2:C$6,2,0)</f>
        <v>0.15</v>
      </c>
      <c r="P170" s="5">
        <f>Таблица3[[#This Row],[Цена продажи с учетом персональной скидки, руб.]]*O170</f>
        <v>114.3</v>
      </c>
      <c r="Q170" s="61"/>
    </row>
    <row r="171" spans="1:17" x14ac:dyDescent="0.25">
      <c r="A171" s="10">
        <f t="shared" si="2"/>
        <v>170</v>
      </c>
      <c r="B171" s="5" t="s">
        <v>420</v>
      </c>
      <c r="C171" s="5">
        <f>IF(OR(B171="Гаврилов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1" s="5" t="s">
        <v>136</v>
      </c>
      <c r="E171" s="5" t="s">
        <v>13</v>
      </c>
      <c r="F171" s="4" t="s">
        <v>8</v>
      </c>
      <c r="G171" s="5" t="str">
        <f>VLOOKUP(Таблица3[[#This Row],[Наименование товара]],Склад!$A$3:$B$8,2,1)</f>
        <v>Colisto</v>
      </c>
      <c r="H171" s="14">
        <v>44955</v>
      </c>
      <c r="I171" s="8">
        <f>INT((MONTH(Таблица3[[#This Row],[Дата продажи]])+2)/3)</f>
        <v>1</v>
      </c>
      <c r="J171" s="5">
        <f>INDEX(Склад!$A$3:$M$8, MATCH(Таблица3[[#This Row],[Наименование товара]], Склад!$A$3:$A$8, 0), 9)</f>
        <v>97.2</v>
      </c>
      <c r="K17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1" s="5">
        <v>0</v>
      </c>
      <c r="N171" s="5">
        <f>CEILING((Таблица3[[#This Row],[Цена за единицу (с учетом наценки продавца), руб.]] - Таблица3[[#This Row],[Цена за единицу (с учетом наценки продавца), руб.]]*M171),1)</f>
        <v>619</v>
      </c>
      <c r="O171" s="21">
        <f>VLOOKUP(Таблица3[[#This Row],[Менеджер по продажам]],'Справочная информация'!B$2:C$6,2,0)</f>
        <v>0.15</v>
      </c>
      <c r="P171" s="5">
        <f>Таблица3[[#This Row],[Цена продажи с учетом персональной скидки, руб.]]*O171</f>
        <v>92.85</v>
      </c>
      <c r="Q171" s="61"/>
    </row>
    <row r="172" spans="1:17" x14ac:dyDescent="0.25">
      <c r="A172" s="10">
        <f t="shared" si="2"/>
        <v>171</v>
      </c>
      <c r="B172" s="5" t="s">
        <v>420</v>
      </c>
      <c r="C172" s="5">
        <f>IF(OR(B172="Гаврилов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2" s="5" t="s">
        <v>88</v>
      </c>
      <c r="E172" s="5" t="s">
        <v>47</v>
      </c>
      <c r="F172" s="4" t="s">
        <v>8</v>
      </c>
      <c r="G172" s="5" t="str">
        <f>VLOOKUP(Таблица3[[#This Row],[Наименование товара]],Склад!$A$3:$B$8,2,1)</f>
        <v>Colisto</v>
      </c>
      <c r="H172" s="14">
        <v>44944</v>
      </c>
      <c r="I172" s="8">
        <f>INT((MONTH(Таблица3[[#This Row],[Дата продажи]])+2)/3)</f>
        <v>1</v>
      </c>
      <c r="J172" s="5">
        <f>INDEX(Склад!$A$3:$M$8, MATCH(Таблица3[[#This Row],[Наименование товара]], Склад!$A$3:$A$8, 0), 9)</f>
        <v>97.2</v>
      </c>
      <c r="K17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2" s="5">
        <v>0</v>
      </c>
      <c r="N172" s="5">
        <f>CEILING((Таблица3[[#This Row],[Цена за единицу (с учетом наценки продавца), руб.]] - Таблица3[[#This Row],[Цена за единицу (с учетом наценки продавца), руб.]]*M172),1)</f>
        <v>619</v>
      </c>
      <c r="O172" s="21">
        <f>VLOOKUP(Таблица3[[#This Row],[Менеджер по продажам]],'Справочная информация'!B$2:C$6,2,0)</f>
        <v>0.15</v>
      </c>
      <c r="P172" s="5">
        <f>Таблица3[[#This Row],[Цена продажи с учетом персональной скидки, руб.]]*O172</f>
        <v>92.85</v>
      </c>
      <c r="Q172" s="61"/>
    </row>
    <row r="173" spans="1:17" x14ac:dyDescent="0.25">
      <c r="A173" s="10">
        <f t="shared" si="2"/>
        <v>172</v>
      </c>
      <c r="B173" s="5" t="s">
        <v>420</v>
      </c>
      <c r="C173" s="5">
        <f>IF(OR(B173="Гаврилов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3" s="5" t="s">
        <v>325</v>
      </c>
      <c r="E173" s="5" t="s">
        <v>11</v>
      </c>
      <c r="F173" s="4" t="s">
        <v>8</v>
      </c>
      <c r="G173" s="5" t="str">
        <f>VLOOKUP(Таблица3[[#This Row],[Наименование товара]],Склад!$A$3:$B$8,2,1)</f>
        <v>Colisto</v>
      </c>
      <c r="H173" s="14">
        <v>44998</v>
      </c>
      <c r="I173" s="8">
        <f>INT((MONTH(Таблица3[[#This Row],[Дата продажи]])+2)/3)</f>
        <v>1</v>
      </c>
      <c r="J173" s="5">
        <f>INDEX(Склад!$A$3:$M$8, MATCH(Таблица3[[#This Row],[Наименование товара]], Склад!$A$3:$A$8, 0), 9)</f>
        <v>97.2</v>
      </c>
      <c r="K17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3" s="5">
        <v>0</v>
      </c>
      <c r="N173" s="5">
        <f>CEILING((Таблица3[[#This Row],[Цена за единицу (с учетом наценки продавца), руб.]] - Таблица3[[#This Row],[Цена за единицу (с учетом наценки продавца), руб.]]*M173),1)</f>
        <v>619</v>
      </c>
      <c r="O173" s="21">
        <f>VLOOKUP(Таблица3[[#This Row],[Менеджер по продажам]],'Справочная информация'!B$2:C$6,2,0)</f>
        <v>0.15</v>
      </c>
      <c r="P173" s="5">
        <f>Таблица3[[#This Row],[Цена продажи с учетом персональной скидки, руб.]]*O173</f>
        <v>92.85</v>
      </c>
      <c r="Q173" s="61"/>
    </row>
    <row r="174" spans="1:17" x14ac:dyDescent="0.25">
      <c r="A174" s="10">
        <f t="shared" si="2"/>
        <v>173</v>
      </c>
      <c r="B174" s="5" t="s">
        <v>420</v>
      </c>
      <c r="C174" s="5">
        <f>IF(OR(B174="Гаврилов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4" s="5" t="s">
        <v>328</v>
      </c>
      <c r="E174" s="5" t="s">
        <v>212</v>
      </c>
      <c r="F174" s="4" t="s">
        <v>8</v>
      </c>
      <c r="G174" s="5" t="str">
        <f>VLOOKUP(Таблица3[[#This Row],[Наименование товара]],Склад!$A$3:$B$8,2,1)</f>
        <v>Colisto</v>
      </c>
      <c r="H174" s="14">
        <v>44999</v>
      </c>
      <c r="I174" s="8">
        <f>INT((MONTH(Таблица3[[#This Row],[Дата продажи]])+2)/3)</f>
        <v>1</v>
      </c>
      <c r="J174" s="5">
        <f>INDEX(Склад!$A$3:$M$8, MATCH(Таблица3[[#This Row],[Наименование товара]], Склад!$A$3:$A$8, 0), 9)</f>
        <v>97.2</v>
      </c>
      <c r="K17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4" s="5">
        <v>0</v>
      </c>
      <c r="N174" s="5">
        <f>CEILING((Таблица3[[#This Row],[Цена за единицу (с учетом наценки продавца), руб.]] - Таблица3[[#This Row],[Цена за единицу (с учетом наценки продавца), руб.]]*M174),1)</f>
        <v>619</v>
      </c>
      <c r="O174" s="21">
        <f>VLOOKUP(Таблица3[[#This Row],[Менеджер по продажам]],'Справочная информация'!B$2:C$6,2,0)</f>
        <v>0.15</v>
      </c>
      <c r="P174" s="5">
        <f>Таблица3[[#This Row],[Цена продажи с учетом персональной скидки, руб.]]*O174</f>
        <v>92.85</v>
      </c>
      <c r="Q174" s="61"/>
    </row>
    <row r="175" spans="1:17" x14ac:dyDescent="0.25">
      <c r="A175" s="10">
        <f t="shared" si="2"/>
        <v>174</v>
      </c>
      <c r="B175" s="5" t="s">
        <v>420</v>
      </c>
      <c r="C175" s="5">
        <f>IF(OR(B175="Гаврилов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5" s="5" t="s">
        <v>73</v>
      </c>
      <c r="E175" s="5" t="s">
        <v>47</v>
      </c>
      <c r="F175" s="4" t="s">
        <v>8</v>
      </c>
      <c r="G175" s="5" t="str">
        <f>VLOOKUP(Таблица3[[#This Row],[Наименование товара]],Склад!$A$3:$B$8,2,1)</f>
        <v>Colisto</v>
      </c>
      <c r="H175" s="14">
        <v>44940</v>
      </c>
      <c r="I175" s="8">
        <f>INT((MONTH(Таблица3[[#This Row],[Дата продажи]])+2)/3)</f>
        <v>1</v>
      </c>
      <c r="J175" s="5">
        <f>INDEX(Склад!$A$3:$M$8, MATCH(Таблица3[[#This Row],[Наименование товара]], Склад!$A$3:$A$8, 0), 9)</f>
        <v>97.2</v>
      </c>
      <c r="K17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5" s="5">
        <v>0</v>
      </c>
      <c r="N175" s="5">
        <f>CEILING((Таблица3[[#This Row],[Цена за единицу (с учетом наценки продавца), руб.]] - Таблица3[[#This Row],[Цена за единицу (с учетом наценки продавца), руб.]]*M175),1)</f>
        <v>619</v>
      </c>
      <c r="O175" s="21">
        <f>VLOOKUP(Таблица3[[#This Row],[Менеджер по продажам]],'Справочная информация'!B$2:C$6,2,0)</f>
        <v>0.15</v>
      </c>
      <c r="P175" s="5">
        <f>Таблица3[[#This Row],[Цена продажи с учетом персональной скидки, руб.]]*O175</f>
        <v>92.85</v>
      </c>
      <c r="Q175" s="61"/>
    </row>
    <row r="176" spans="1:17" x14ac:dyDescent="0.25">
      <c r="A176" s="10">
        <f t="shared" si="2"/>
        <v>175</v>
      </c>
      <c r="B176" s="5" t="s">
        <v>420</v>
      </c>
      <c r="C176" s="5">
        <f>IF(OR(B176="Гаврилов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6" s="5" t="s">
        <v>122</v>
      </c>
      <c r="E176" s="5" t="s">
        <v>11</v>
      </c>
      <c r="F176" s="4" t="s">
        <v>8</v>
      </c>
      <c r="G176" s="5" t="str">
        <f>VLOOKUP(Таблица3[[#This Row],[Наименование товара]],Склад!$A$3:$B$8,2,1)</f>
        <v>Colisto</v>
      </c>
      <c r="H176" s="14">
        <v>44952</v>
      </c>
      <c r="I176" s="8">
        <f>INT((MONTH(Таблица3[[#This Row],[Дата продажи]])+2)/3)</f>
        <v>1</v>
      </c>
      <c r="J176" s="5">
        <f>INDEX(Склад!$A$3:$M$8, MATCH(Таблица3[[#This Row],[Наименование товара]], Склад!$A$3:$A$8, 0), 9)</f>
        <v>97.2</v>
      </c>
      <c r="K17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6" s="5">
        <v>0</v>
      </c>
      <c r="N176" s="5">
        <f>CEILING((Таблица3[[#This Row],[Цена за единицу (с учетом наценки продавца), руб.]] - Таблица3[[#This Row],[Цена за единицу (с учетом наценки продавца), руб.]]*M176),1)</f>
        <v>619</v>
      </c>
      <c r="O176" s="21">
        <f>VLOOKUP(Таблица3[[#This Row],[Менеджер по продажам]],'Справочная информация'!B$2:C$6,2,0)</f>
        <v>0.15</v>
      </c>
      <c r="P176" s="5">
        <f>Таблица3[[#This Row],[Цена продажи с учетом персональной скидки, руб.]]*O176</f>
        <v>92.85</v>
      </c>
      <c r="Q176" s="61"/>
    </row>
    <row r="177" spans="1:17" x14ac:dyDescent="0.25">
      <c r="A177" s="10">
        <f t="shared" si="2"/>
        <v>176</v>
      </c>
      <c r="B177" s="5" t="s">
        <v>420</v>
      </c>
      <c r="C177" s="5">
        <f>IF(OR(B177="Гаврилов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7" s="5" t="s">
        <v>46</v>
      </c>
      <c r="E177" s="5" t="s">
        <v>47</v>
      </c>
      <c r="F177" s="4" t="s">
        <v>8</v>
      </c>
      <c r="G177" s="5" t="str">
        <f>VLOOKUP(Таблица3[[#This Row],[Наименование товара]],Склад!$A$3:$B$8,2,1)</f>
        <v>Colisto</v>
      </c>
      <c r="H177" s="14">
        <v>44935</v>
      </c>
      <c r="I177" s="8">
        <f>INT((MONTH(Таблица3[[#This Row],[Дата продажи]])+2)/3)</f>
        <v>1</v>
      </c>
      <c r="J177" s="5">
        <f>INDEX(Склад!$A$3:$M$8, MATCH(Таблица3[[#This Row],[Наименование товара]], Склад!$A$3:$A$8, 0), 9)</f>
        <v>97.2</v>
      </c>
      <c r="K17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7" s="5">
        <v>0</v>
      </c>
      <c r="N177" s="5">
        <f>CEILING((Таблица3[[#This Row],[Цена за единицу (с учетом наценки продавца), руб.]] - Таблица3[[#This Row],[Цена за единицу (с учетом наценки продавца), руб.]]*M177),1)</f>
        <v>619</v>
      </c>
      <c r="O177" s="21">
        <f>VLOOKUP(Таблица3[[#This Row],[Менеджер по продажам]],'Справочная информация'!B$2:C$6,2,0)</f>
        <v>0.15</v>
      </c>
      <c r="P177" s="5">
        <f>Таблица3[[#This Row],[Цена продажи с учетом персональной скидки, руб.]]*O177</f>
        <v>92.85</v>
      </c>
      <c r="Q177" s="61"/>
    </row>
    <row r="178" spans="1:17" x14ac:dyDescent="0.25">
      <c r="A178" s="10">
        <f t="shared" si="2"/>
        <v>177</v>
      </c>
      <c r="B178" s="5" t="s">
        <v>420</v>
      </c>
      <c r="C178" s="5">
        <f>IF(OR(B178="Гаврилов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8" s="5" t="s">
        <v>408</v>
      </c>
      <c r="E178" s="5" t="s">
        <v>94</v>
      </c>
      <c r="F178" s="4" t="s">
        <v>8</v>
      </c>
      <c r="G178" s="5" t="str">
        <f>VLOOKUP(Таблица3[[#This Row],[Наименование товара]],Склад!$A$3:$B$8,2,1)</f>
        <v>Colisto</v>
      </c>
      <c r="H178" s="14">
        <v>45015</v>
      </c>
      <c r="I178" s="8">
        <f>INT((MONTH(Таблица3[[#This Row],[Дата продажи]])+2)/3)</f>
        <v>1</v>
      </c>
      <c r="J178" s="5">
        <f>INDEX(Склад!$A$3:$M$8, MATCH(Таблица3[[#This Row],[Наименование товара]], Склад!$A$3:$A$8, 0), 9)</f>
        <v>97.2</v>
      </c>
      <c r="K17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8" s="5">
        <v>0</v>
      </c>
      <c r="N178" s="5">
        <f>CEILING((Таблица3[[#This Row],[Цена за единицу (с учетом наценки продавца), руб.]] - Таблица3[[#This Row],[Цена за единицу (с учетом наценки продавца), руб.]]*M178),1)</f>
        <v>619</v>
      </c>
      <c r="O178" s="21">
        <f>VLOOKUP(Таблица3[[#This Row],[Менеджер по продажам]],'Справочная информация'!B$2:C$6,2,0)</f>
        <v>0.15</v>
      </c>
      <c r="P178" s="5">
        <f>Таблица3[[#This Row],[Цена продажи с учетом персональной скидки, руб.]]*O178</f>
        <v>92.85</v>
      </c>
      <c r="Q178" s="61"/>
    </row>
    <row r="179" spans="1:17" x14ac:dyDescent="0.25">
      <c r="A179" s="10">
        <f t="shared" si="2"/>
        <v>178</v>
      </c>
      <c r="B179" s="5" t="s">
        <v>420</v>
      </c>
      <c r="C179" s="5">
        <f>IF(OR(B179="Гаврилов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79" s="5" t="s">
        <v>206</v>
      </c>
      <c r="E179" s="5" t="s">
        <v>94</v>
      </c>
      <c r="F179" s="4" t="s">
        <v>8</v>
      </c>
      <c r="G179" s="5" t="str">
        <f>VLOOKUP(Таблица3[[#This Row],[Наименование товара]],Склад!$A$3:$B$8,2,1)</f>
        <v>Colisto</v>
      </c>
      <c r="H179" s="14">
        <v>44969</v>
      </c>
      <c r="I179" s="8">
        <f>INT((MONTH(Таблица3[[#This Row],[Дата продажи]])+2)/3)</f>
        <v>1</v>
      </c>
      <c r="J179" s="5">
        <f>INDEX(Склад!$A$3:$M$8, MATCH(Таблица3[[#This Row],[Наименование товара]], Склад!$A$3:$A$8, 0), 9)</f>
        <v>97.2</v>
      </c>
      <c r="K17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7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79" s="5">
        <v>0</v>
      </c>
      <c r="N179" s="5">
        <f>CEILING((Таблица3[[#This Row],[Цена за единицу (с учетом наценки продавца), руб.]] - Таблица3[[#This Row],[Цена за единицу (с учетом наценки продавца), руб.]]*M179),1)</f>
        <v>619</v>
      </c>
      <c r="O179" s="21">
        <f>VLOOKUP(Таблица3[[#This Row],[Менеджер по продажам]],'Справочная информация'!B$2:C$6,2,0)</f>
        <v>0.15</v>
      </c>
      <c r="P179" s="5">
        <f>Таблица3[[#This Row],[Цена продажи с учетом персональной скидки, руб.]]*O179</f>
        <v>92.85</v>
      </c>
      <c r="Q179" s="61"/>
    </row>
    <row r="180" spans="1:17" x14ac:dyDescent="0.25">
      <c r="A180" s="10">
        <f t="shared" si="2"/>
        <v>179</v>
      </c>
      <c r="B180" s="5" t="s">
        <v>420</v>
      </c>
      <c r="C180" s="5">
        <f>IF(OR(B180="Гаврилов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0" s="5" t="s">
        <v>320</v>
      </c>
      <c r="E180" s="5" t="s">
        <v>11</v>
      </c>
      <c r="F180" s="4" t="s">
        <v>8</v>
      </c>
      <c r="G180" s="5" t="str">
        <f>VLOOKUP(Таблица3[[#This Row],[Наименование товара]],Склад!$A$3:$B$8,2,1)</f>
        <v>Colisto</v>
      </c>
      <c r="H180" s="14">
        <v>44997</v>
      </c>
      <c r="I180" s="8">
        <f>INT((MONTH(Таблица3[[#This Row],[Дата продажи]])+2)/3)</f>
        <v>1</v>
      </c>
      <c r="J180" s="5">
        <f>INDEX(Склад!$A$3:$M$8, MATCH(Таблица3[[#This Row],[Наименование товара]], Склад!$A$3:$A$8, 0), 9)</f>
        <v>97.2</v>
      </c>
      <c r="K18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0" s="5">
        <v>0</v>
      </c>
      <c r="N180" s="5">
        <f>CEILING((Таблица3[[#This Row],[Цена за единицу (с учетом наценки продавца), руб.]] - Таблица3[[#This Row],[Цена за единицу (с учетом наценки продавца), руб.]]*M180),1)</f>
        <v>619</v>
      </c>
      <c r="O180" s="21">
        <f>VLOOKUP(Таблица3[[#This Row],[Менеджер по продажам]],'Справочная информация'!B$2:C$6,2,0)</f>
        <v>0.15</v>
      </c>
      <c r="P180" s="5">
        <f>Таблица3[[#This Row],[Цена продажи с учетом персональной скидки, руб.]]*O180</f>
        <v>92.85</v>
      </c>
      <c r="Q180" s="61"/>
    </row>
    <row r="181" spans="1:17" x14ac:dyDescent="0.25">
      <c r="A181" s="10">
        <f t="shared" si="2"/>
        <v>180</v>
      </c>
      <c r="B181" s="5" t="s">
        <v>420</v>
      </c>
      <c r="C181" s="5">
        <f>IF(OR(B181="Гаврилов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1" s="5" t="s">
        <v>379</v>
      </c>
      <c r="E181" s="5" t="s">
        <v>11</v>
      </c>
      <c r="F181" s="4" t="s">
        <v>8</v>
      </c>
      <c r="G181" s="5" t="str">
        <f>VLOOKUP(Таблица3[[#This Row],[Наименование товара]],Склад!$A$3:$B$8,2,1)</f>
        <v>Colisto</v>
      </c>
      <c r="H181" s="14">
        <v>45009</v>
      </c>
      <c r="I181" s="8">
        <f>INT((MONTH(Таблица3[[#This Row],[Дата продажи]])+2)/3)</f>
        <v>1</v>
      </c>
      <c r="J181" s="5">
        <f>INDEX(Склад!$A$3:$M$8, MATCH(Таблица3[[#This Row],[Наименование товара]], Склад!$A$3:$A$8, 0), 9)</f>
        <v>97.2</v>
      </c>
      <c r="K18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1" s="5">
        <v>0</v>
      </c>
      <c r="N181" s="5">
        <f>CEILING((Таблица3[[#This Row],[Цена за единицу (с учетом наценки продавца), руб.]] - Таблица3[[#This Row],[Цена за единицу (с учетом наценки продавца), руб.]]*M181),1)</f>
        <v>619</v>
      </c>
      <c r="O181" s="21">
        <f>VLOOKUP(Таблица3[[#This Row],[Менеджер по продажам]],'Справочная информация'!B$2:C$6,2,0)</f>
        <v>0.15</v>
      </c>
      <c r="P181" s="5">
        <f>Таблица3[[#This Row],[Цена продажи с учетом персональной скидки, руб.]]*O181</f>
        <v>92.85</v>
      </c>
      <c r="Q181" s="61"/>
    </row>
    <row r="182" spans="1:17" x14ac:dyDescent="0.25">
      <c r="A182" s="10">
        <f t="shared" si="2"/>
        <v>181</v>
      </c>
      <c r="B182" s="5" t="s">
        <v>420</v>
      </c>
      <c r="C182" s="5">
        <f>IF(OR(B182="Гаврилов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2" s="5" t="s">
        <v>75</v>
      </c>
      <c r="E182" s="5" t="s">
        <v>11</v>
      </c>
      <c r="F182" s="4" t="s">
        <v>8</v>
      </c>
      <c r="G182" s="5" t="str">
        <f>VLOOKUP(Таблица3[[#This Row],[Наименование товара]],Склад!$A$3:$B$8,2,1)</f>
        <v>Colisto</v>
      </c>
      <c r="H182" s="14">
        <v>44940</v>
      </c>
      <c r="I182" s="8">
        <f>INT((MONTH(Таблица3[[#This Row],[Дата продажи]])+2)/3)</f>
        <v>1</v>
      </c>
      <c r="J182" s="5">
        <f>INDEX(Склад!$A$3:$M$8, MATCH(Таблица3[[#This Row],[Наименование товара]], Склад!$A$3:$A$8, 0), 9)</f>
        <v>97.2</v>
      </c>
      <c r="K18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2" s="5">
        <v>0</v>
      </c>
      <c r="N182" s="5">
        <f>CEILING((Таблица3[[#This Row],[Цена за единицу (с учетом наценки продавца), руб.]] - Таблица3[[#This Row],[Цена за единицу (с учетом наценки продавца), руб.]]*M182),1)</f>
        <v>619</v>
      </c>
      <c r="O182" s="21">
        <f>VLOOKUP(Таблица3[[#This Row],[Менеджер по продажам]],'Справочная информация'!B$2:C$6,2,0)</f>
        <v>0.15</v>
      </c>
      <c r="P182" s="5">
        <f>Таблица3[[#This Row],[Цена продажи с учетом персональной скидки, руб.]]*O182</f>
        <v>92.85</v>
      </c>
      <c r="Q182" s="61"/>
    </row>
    <row r="183" spans="1:17" x14ac:dyDescent="0.25">
      <c r="A183" s="10">
        <f t="shared" si="2"/>
        <v>182</v>
      </c>
      <c r="B183" s="5" t="s">
        <v>420</v>
      </c>
      <c r="C183" s="5">
        <f>IF(OR(B183="Гаврилов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3" s="5" t="s">
        <v>257</v>
      </c>
      <c r="E183" s="5" t="s">
        <v>47</v>
      </c>
      <c r="F183" s="4" t="s">
        <v>8</v>
      </c>
      <c r="G183" s="5" t="str">
        <f>VLOOKUP(Таблица3[[#This Row],[Наименование товара]],Склад!$A$3:$B$8,2,1)</f>
        <v>Colisto</v>
      </c>
      <c r="H183" s="14">
        <v>44982</v>
      </c>
      <c r="I183" s="8">
        <f>INT((MONTH(Таблица3[[#This Row],[Дата продажи]])+2)/3)</f>
        <v>1</v>
      </c>
      <c r="J183" s="5">
        <f>INDEX(Склад!$A$3:$M$8, MATCH(Таблица3[[#This Row],[Наименование товара]], Склад!$A$3:$A$8, 0), 9)</f>
        <v>97.2</v>
      </c>
      <c r="K18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3" s="5">
        <v>0</v>
      </c>
      <c r="N183" s="5">
        <f>CEILING((Таблица3[[#This Row],[Цена за единицу (с учетом наценки продавца), руб.]] - Таблица3[[#This Row],[Цена за единицу (с учетом наценки продавца), руб.]]*M183),1)</f>
        <v>619</v>
      </c>
      <c r="O183" s="21">
        <f>VLOOKUP(Таблица3[[#This Row],[Менеджер по продажам]],'Справочная информация'!B$2:C$6,2,0)</f>
        <v>0.15</v>
      </c>
      <c r="P183" s="5">
        <f>Таблица3[[#This Row],[Цена продажи с учетом персональной скидки, руб.]]*O183</f>
        <v>92.85</v>
      </c>
      <c r="Q183" s="61"/>
    </row>
    <row r="184" spans="1:17" x14ac:dyDescent="0.25">
      <c r="A184" s="10">
        <f t="shared" si="2"/>
        <v>183</v>
      </c>
      <c r="B184" s="5" t="s">
        <v>420</v>
      </c>
      <c r="C184" s="5">
        <f>IF(OR(B184="Гаврилов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4" s="5" t="s">
        <v>279</v>
      </c>
      <c r="E184" s="5" t="s">
        <v>11</v>
      </c>
      <c r="F184" s="4" t="s">
        <v>8</v>
      </c>
      <c r="G184" s="5" t="str">
        <f>VLOOKUP(Таблица3[[#This Row],[Наименование товара]],Склад!$A$3:$B$8,2,1)</f>
        <v>Colisto</v>
      </c>
      <c r="H184" s="14">
        <v>44988</v>
      </c>
      <c r="I184" s="8">
        <f>INT((MONTH(Таблица3[[#This Row],[Дата продажи]])+2)/3)</f>
        <v>1</v>
      </c>
      <c r="J184" s="5">
        <f>INDEX(Склад!$A$3:$M$8, MATCH(Таблица3[[#This Row],[Наименование товара]], Склад!$A$3:$A$8, 0), 9)</f>
        <v>97.2</v>
      </c>
      <c r="K18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4" s="5">
        <v>0</v>
      </c>
      <c r="N184" s="5">
        <f>CEILING((Таблица3[[#This Row],[Цена за единицу (с учетом наценки продавца), руб.]] - Таблица3[[#This Row],[Цена за единицу (с учетом наценки продавца), руб.]]*M184),1)</f>
        <v>619</v>
      </c>
      <c r="O184" s="21">
        <f>VLOOKUP(Таблица3[[#This Row],[Менеджер по продажам]],'Справочная информация'!B$2:C$6,2,0)</f>
        <v>0.15</v>
      </c>
      <c r="P184" s="5">
        <f>Таблица3[[#This Row],[Цена продажи с учетом персональной скидки, руб.]]*O184</f>
        <v>92.85</v>
      </c>
      <c r="Q184" s="61"/>
    </row>
    <row r="185" spans="1:17" x14ac:dyDescent="0.25">
      <c r="A185" s="10">
        <f t="shared" si="2"/>
        <v>184</v>
      </c>
      <c r="B185" s="5" t="s">
        <v>420</v>
      </c>
      <c r="C185" s="5">
        <f>IF(OR(B185="Гаврилов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5" s="5" t="s">
        <v>221</v>
      </c>
      <c r="E185" s="5" t="s">
        <v>11</v>
      </c>
      <c r="F185" s="4" t="s">
        <v>8</v>
      </c>
      <c r="G185" s="5" t="str">
        <f>VLOOKUP(Таблица3[[#This Row],[Наименование товара]],Склад!$A$3:$B$8,2,1)</f>
        <v>Colisto</v>
      </c>
      <c r="H185" s="14">
        <v>44972</v>
      </c>
      <c r="I185" s="8">
        <f>INT((MONTH(Таблица3[[#This Row],[Дата продажи]])+2)/3)</f>
        <v>1</v>
      </c>
      <c r="J185" s="5">
        <f>INDEX(Склад!$A$3:$M$8, MATCH(Таблица3[[#This Row],[Наименование товара]], Склад!$A$3:$A$8, 0), 9)</f>
        <v>97.2</v>
      </c>
      <c r="K18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5" s="5">
        <v>0</v>
      </c>
      <c r="N185" s="5">
        <f>CEILING((Таблица3[[#This Row],[Цена за единицу (с учетом наценки продавца), руб.]] - Таблица3[[#This Row],[Цена за единицу (с учетом наценки продавца), руб.]]*M185),1)</f>
        <v>619</v>
      </c>
      <c r="O185" s="21">
        <f>VLOOKUP(Таблица3[[#This Row],[Менеджер по продажам]],'Справочная информация'!B$2:C$6,2,0)</f>
        <v>0.15</v>
      </c>
      <c r="P185" s="5">
        <f>Таблица3[[#This Row],[Цена продажи с учетом персональной скидки, руб.]]*O185</f>
        <v>92.85</v>
      </c>
      <c r="Q185" s="61"/>
    </row>
    <row r="186" spans="1:17" x14ac:dyDescent="0.25">
      <c r="A186" s="10">
        <f t="shared" si="2"/>
        <v>185</v>
      </c>
      <c r="B186" s="5" t="s">
        <v>420</v>
      </c>
      <c r="C186" s="5">
        <f>IF(OR(B186="Гаврилов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6" s="5" t="s">
        <v>93</v>
      </c>
      <c r="E186" s="5" t="s">
        <v>94</v>
      </c>
      <c r="F186" s="4" t="s">
        <v>8</v>
      </c>
      <c r="G186" s="5" t="str">
        <f>VLOOKUP(Таблица3[[#This Row],[Наименование товара]],Склад!$A$3:$B$8,2,1)</f>
        <v>Colisto</v>
      </c>
      <c r="H186" s="14">
        <v>44945</v>
      </c>
      <c r="I186" s="8">
        <f>INT((MONTH(Таблица3[[#This Row],[Дата продажи]])+2)/3)</f>
        <v>1</v>
      </c>
      <c r="J186" s="5">
        <f>INDEX(Склад!$A$3:$M$8, MATCH(Таблица3[[#This Row],[Наименование товара]], Склад!$A$3:$A$8, 0), 9)</f>
        <v>97.2</v>
      </c>
      <c r="K18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6" s="5">
        <v>0</v>
      </c>
      <c r="N186" s="5">
        <f>CEILING((Таблица3[[#This Row],[Цена за единицу (с учетом наценки продавца), руб.]] - Таблица3[[#This Row],[Цена за единицу (с учетом наценки продавца), руб.]]*M186),1)</f>
        <v>619</v>
      </c>
      <c r="O186" s="21">
        <f>VLOOKUP(Таблица3[[#This Row],[Менеджер по продажам]],'Справочная информация'!B$2:C$6,2,0)</f>
        <v>0.15</v>
      </c>
      <c r="P186" s="5">
        <f>Таблица3[[#This Row],[Цена продажи с учетом персональной скидки, руб.]]*O186</f>
        <v>92.85</v>
      </c>
      <c r="Q186" s="61"/>
    </row>
    <row r="187" spans="1:17" x14ac:dyDescent="0.25">
      <c r="A187" s="10">
        <f t="shared" si="2"/>
        <v>186</v>
      </c>
      <c r="B187" s="5" t="s">
        <v>420</v>
      </c>
      <c r="C187" s="5">
        <f>IF(OR(B187="Гаврилов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7" s="5" t="s">
        <v>107</v>
      </c>
      <c r="E187" s="5" t="s">
        <v>78</v>
      </c>
      <c r="F187" s="4" t="s">
        <v>8</v>
      </c>
      <c r="G187" s="5" t="str">
        <f>VLOOKUP(Таблица3[[#This Row],[Наименование товара]],Склад!$A$3:$B$8,2,1)</f>
        <v>Colisto</v>
      </c>
      <c r="H187" s="14">
        <v>44948</v>
      </c>
      <c r="I187" s="8">
        <f>INT((MONTH(Таблица3[[#This Row],[Дата продажи]])+2)/3)</f>
        <v>1</v>
      </c>
      <c r="J187" s="5">
        <f>INDEX(Склад!$A$3:$M$8, MATCH(Таблица3[[#This Row],[Наименование товара]], Склад!$A$3:$A$8, 0), 9)</f>
        <v>97.2</v>
      </c>
      <c r="K18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7" s="5">
        <v>0</v>
      </c>
      <c r="N187" s="5">
        <f>CEILING((Таблица3[[#This Row],[Цена за единицу (с учетом наценки продавца), руб.]] - Таблица3[[#This Row],[Цена за единицу (с учетом наценки продавца), руб.]]*M187),1)</f>
        <v>619</v>
      </c>
      <c r="O187" s="21">
        <f>VLOOKUP(Таблица3[[#This Row],[Менеджер по продажам]],'Справочная информация'!B$2:C$6,2,0)</f>
        <v>0.15</v>
      </c>
      <c r="P187" s="5">
        <f>Таблица3[[#This Row],[Цена продажи с учетом персональной скидки, руб.]]*O187</f>
        <v>92.85</v>
      </c>
      <c r="Q187" s="61"/>
    </row>
    <row r="188" spans="1:17" x14ac:dyDescent="0.25">
      <c r="A188" s="10">
        <f t="shared" si="2"/>
        <v>187</v>
      </c>
      <c r="B188" s="5" t="s">
        <v>420</v>
      </c>
      <c r="C188" s="5">
        <f>IF(OR(B188="Гаврилов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8" s="5" t="s">
        <v>385</v>
      </c>
      <c r="E188" s="5" t="s">
        <v>212</v>
      </c>
      <c r="F188" s="4" t="s">
        <v>8</v>
      </c>
      <c r="G188" s="5" t="str">
        <f>VLOOKUP(Таблица3[[#This Row],[Наименование товара]],Склад!$A$3:$B$8,2,1)</f>
        <v>Colisto</v>
      </c>
      <c r="H188" s="14">
        <v>45009</v>
      </c>
      <c r="I188" s="8">
        <f>INT((MONTH(Таблица3[[#This Row],[Дата продажи]])+2)/3)</f>
        <v>1</v>
      </c>
      <c r="J188" s="5">
        <f>INDEX(Склад!$A$3:$M$8, MATCH(Таблица3[[#This Row],[Наименование товара]], Склад!$A$3:$A$8, 0), 9)</f>
        <v>97.2</v>
      </c>
      <c r="K18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8" s="5">
        <v>0</v>
      </c>
      <c r="N188" s="5">
        <f>CEILING((Таблица3[[#This Row],[Цена за единицу (с учетом наценки продавца), руб.]] - Таблица3[[#This Row],[Цена за единицу (с учетом наценки продавца), руб.]]*M188),1)</f>
        <v>619</v>
      </c>
      <c r="O188" s="21">
        <f>VLOOKUP(Таблица3[[#This Row],[Менеджер по продажам]],'Справочная информация'!B$2:C$6,2,0)</f>
        <v>0.15</v>
      </c>
      <c r="P188" s="5">
        <f>Таблица3[[#This Row],[Цена продажи с учетом персональной скидки, руб.]]*O188</f>
        <v>92.85</v>
      </c>
      <c r="Q188" s="61"/>
    </row>
    <row r="189" spans="1:17" x14ac:dyDescent="0.25">
      <c r="A189" s="10">
        <f t="shared" si="2"/>
        <v>188</v>
      </c>
      <c r="B189" s="5" t="s">
        <v>420</v>
      </c>
      <c r="C189" s="5">
        <f>IF(OR(B189="Гаврилов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89" s="5" t="s">
        <v>217</v>
      </c>
      <c r="E189" s="5" t="s">
        <v>212</v>
      </c>
      <c r="F189" s="4" t="s">
        <v>8</v>
      </c>
      <c r="G189" s="5" t="str">
        <f>VLOOKUP(Таблица3[[#This Row],[Наименование товара]],Склад!$A$3:$B$8,2,1)</f>
        <v>Colisto</v>
      </c>
      <c r="H189" s="14">
        <v>44971</v>
      </c>
      <c r="I189" s="8">
        <f>INT((MONTH(Таблица3[[#This Row],[Дата продажи]])+2)/3)</f>
        <v>1</v>
      </c>
      <c r="J189" s="5">
        <f>INDEX(Склад!$A$3:$M$8, MATCH(Таблица3[[#This Row],[Наименование товара]], Склад!$A$3:$A$8, 0), 9)</f>
        <v>97.2</v>
      </c>
      <c r="K18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8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89" s="5">
        <v>0</v>
      </c>
      <c r="N189" s="5">
        <f>CEILING((Таблица3[[#This Row],[Цена за единицу (с учетом наценки продавца), руб.]] - Таблица3[[#This Row],[Цена за единицу (с учетом наценки продавца), руб.]]*M189),1)</f>
        <v>619</v>
      </c>
      <c r="O189" s="21">
        <f>VLOOKUP(Таблица3[[#This Row],[Менеджер по продажам]],'Справочная информация'!B$2:C$6,2,0)</f>
        <v>0.15</v>
      </c>
      <c r="P189" s="5">
        <f>Таблица3[[#This Row],[Цена продажи с учетом персональной скидки, руб.]]*O189</f>
        <v>92.85</v>
      </c>
      <c r="Q189" s="61"/>
    </row>
    <row r="190" spans="1:17" x14ac:dyDescent="0.25">
      <c r="A190" s="10">
        <f t="shared" si="2"/>
        <v>189</v>
      </c>
      <c r="B190" s="5" t="s">
        <v>420</v>
      </c>
      <c r="C190" s="5">
        <f>IF(OR(B190="Гаврилов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0" s="5" t="s">
        <v>193</v>
      </c>
      <c r="E190" s="5" t="s">
        <v>31</v>
      </c>
      <c r="F190" s="4" t="s">
        <v>8</v>
      </c>
      <c r="G190" s="5" t="str">
        <f>VLOOKUP(Таблица3[[#This Row],[Наименование товара]],Склад!$A$3:$B$8,2,1)</f>
        <v>Colisto</v>
      </c>
      <c r="H190" s="14">
        <v>44965</v>
      </c>
      <c r="I190" s="8">
        <f>INT((MONTH(Таблица3[[#This Row],[Дата продажи]])+2)/3)</f>
        <v>1</v>
      </c>
      <c r="J190" s="5">
        <f>INDEX(Склад!$A$3:$M$8, MATCH(Таблица3[[#This Row],[Наименование товара]], Склад!$A$3:$A$8, 0), 9)</f>
        <v>97.2</v>
      </c>
      <c r="K19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9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90" s="5">
        <v>0</v>
      </c>
      <c r="N190" s="5">
        <f>CEILING((Таблица3[[#This Row],[Цена за единицу (с учетом наценки продавца), руб.]] - Таблица3[[#This Row],[Цена за единицу (с учетом наценки продавца), руб.]]*M190),1)</f>
        <v>619</v>
      </c>
      <c r="O190" s="21">
        <f>VLOOKUP(Таблица3[[#This Row],[Менеджер по продажам]],'Справочная информация'!B$2:C$6,2,0)</f>
        <v>0.15</v>
      </c>
      <c r="P190" s="5">
        <f>Таблица3[[#This Row],[Цена продажи с учетом персональной скидки, руб.]]*O190</f>
        <v>92.85</v>
      </c>
      <c r="Q190" s="61"/>
    </row>
    <row r="191" spans="1:17" x14ac:dyDescent="0.25">
      <c r="A191" s="10">
        <f t="shared" si="2"/>
        <v>190</v>
      </c>
      <c r="B191" s="5" t="s">
        <v>420</v>
      </c>
      <c r="C191" s="5">
        <f>IF(OR(B191="Гаврилов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1" s="5" t="s">
        <v>323</v>
      </c>
      <c r="E191" s="5" t="s">
        <v>11</v>
      </c>
      <c r="F191" s="4" t="s">
        <v>8</v>
      </c>
      <c r="G191" s="5" t="str">
        <f>VLOOKUP(Таблица3[[#This Row],[Наименование товара]],Склад!$A$3:$B$8,2,1)</f>
        <v>Colisto</v>
      </c>
      <c r="H191" s="14">
        <v>44997</v>
      </c>
      <c r="I191" s="8">
        <f>INT((MONTH(Таблица3[[#This Row],[Дата продажи]])+2)/3)</f>
        <v>1</v>
      </c>
      <c r="J191" s="5">
        <f>INDEX(Склад!$A$3:$M$8, MATCH(Таблица3[[#This Row],[Наименование товара]], Склад!$A$3:$A$8, 0), 9)</f>
        <v>97.2</v>
      </c>
      <c r="K19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9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91" s="5">
        <v>0</v>
      </c>
      <c r="N191" s="5">
        <f>CEILING((Таблица3[[#This Row],[Цена за единицу (с учетом наценки продавца), руб.]] - Таблица3[[#This Row],[Цена за единицу (с учетом наценки продавца), руб.]]*M191),1)</f>
        <v>619</v>
      </c>
      <c r="O191" s="21">
        <f>VLOOKUP(Таблица3[[#This Row],[Менеджер по продажам]],'Справочная информация'!B$2:C$6,2,0)</f>
        <v>0.15</v>
      </c>
      <c r="P191" s="5">
        <f>Таблица3[[#This Row],[Цена продажи с учетом персональной скидки, руб.]]*O191</f>
        <v>92.85</v>
      </c>
      <c r="Q191" s="61"/>
    </row>
    <row r="192" spans="1:17" x14ac:dyDescent="0.25">
      <c r="A192" s="10">
        <f t="shared" si="2"/>
        <v>191</v>
      </c>
      <c r="B192" s="5" t="s">
        <v>420</v>
      </c>
      <c r="C192" s="5">
        <f>IF(OR(B192="Гаврилов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2" s="5" t="s">
        <v>158</v>
      </c>
      <c r="E192" s="5" t="s">
        <v>78</v>
      </c>
      <c r="F192" s="4" t="s">
        <v>8</v>
      </c>
      <c r="G192" s="5" t="str">
        <f>VLOOKUP(Таблица3[[#This Row],[Наименование товара]],Склад!$A$3:$B$8,2,1)</f>
        <v>Colisto</v>
      </c>
      <c r="H192" s="14">
        <v>44959</v>
      </c>
      <c r="I192" s="8">
        <f>INT((MONTH(Таблица3[[#This Row],[Дата продажи]])+2)/3)</f>
        <v>1</v>
      </c>
      <c r="J192" s="5">
        <f>INDEX(Склад!$A$3:$M$8, MATCH(Таблица3[[#This Row],[Наименование товара]], Склад!$A$3:$A$8, 0), 9)</f>
        <v>97.2</v>
      </c>
      <c r="K19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9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92" s="5">
        <v>0</v>
      </c>
      <c r="N192" s="5">
        <f>CEILING((Таблица3[[#This Row],[Цена за единицу (с учетом наценки продавца), руб.]] - Таблица3[[#This Row],[Цена за единицу (с учетом наценки продавца), руб.]]*M192),1)</f>
        <v>619</v>
      </c>
      <c r="O192" s="21">
        <f>VLOOKUP(Таблица3[[#This Row],[Менеджер по продажам]],'Справочная информация'!B$2:C$6,2,0)</f>
        <v>0.15</v>
      </c>
      <c r="P192" s="5">
        <f>Таблица3[[#This Row],[Цена продажи с учетом персональной скидки, руб.]]*O192</f>
        <v>92.85</v>
      </c>
      <c r="Q192" s="61"/>
    </row>
    <row r="193" spans="1:17" x14ac:dyDescent="0.25">
      <c r="A193" s="10">
        <f t="shared" si="2"/>
        <v>192</v>
      </c>
      <c r="B193" s="5" t="s">
        <v>420</v>
      </c>
      <c r="C193" s="5">
        <f>IF(OR(B193="Гаврилов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3" s="5" t="s">
        <v>12</v>
      </c>
      <c r="E193" s="5" t="s">
        <v>13</v>
      </c>
      <c r="F193" s="4" t="s">
        <v>8</v>
      </c>
      <c r="G193" s="5" t="str">
        <f>VLOOKUP(Таблица3[[#This Row],[Наименование товара]],Склад!$A$3:$B$8,2,1)</f>
        <v>Colisto</v>
      </c>
      <c r="H193" s="14">
        <v>44927</v>
      </c>
      <c r="I193" s="8">
        <f>INT((MONTH(Таблица3[[#This Row],[Дата продажи]])+2)/3)</f>
        <v>1</v>
      </c>
      <c r="J193" s="5">
        <f>INDEX(Склад!$A$3:$M$8, MATCH(Таблица3[[#This Row],[Наименование товара]], Склад!$A$3:$A$8, 0), 9)</f>
        <v>97.2</v>
      </c>
      <c r="K19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19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193" s="5">
        <v>0.03</v>
      </c>
      <c r="N193" s="5">
        <f>CEILING((Таблица3[[#This Row],[Цена за единицу (с учетом наценки продавца), руб.]] - Таблица3[[#This Row],[Цена за единицу (с учетом наценки продавца), руб.]]*M193),1)</f>
        <v>601</v>
      </c>
      <c r="O193" s="21">
        <f>VLOOKUP(Таблица3[[#This Row],[Менеджер по продажам]],'Справочная информация'!B$2:C$6,2,0)</f>
        <v>0.15</v>
      </c>
      <c r="P193" s="5">
        <f>Таблица3[[#This Row],[Цена продажи с учетом персональной скидки, руб.]]*O193</f>
        <v>90.149999999999991</v>
      </c>
      <c r="Q193" s="61"/>
    </row>
    <row r="194" spans="1:17" x14ac:dyDescent="0.25">
      <c r="A194" s="10">
        <f t="shared" si="2"/>
        <v>193</v>
      </c>
      <c r="B194" s="5" t="s">
        <v>420</v>
      </c>
      <c r="C194" s="5">
        <f>IF(OR(B194="Гаврилов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4" s="5" t="s">
        <v>368</v>
      </c>
      <c r="E194" s="5" t="s">
        <v>47</v>
      </c>
      <c r="F194" s="4" t="s">
        <v>22</v>
      </c>
      <c r="G194" s="5" t="str">
        <f>VLOOKUP(Таблица3[[#This Row],[Наименование товара]],Склад!$A$3:$B$8,2,1)</f>
        <v>Porto</v>
      </c>
      <c r="H194" s="14">
        <v>45007</v>
      </c>
      <c r="I194" s="8">
        <f>INT((MONTH(Таблица3[[#This Row],[Дата продажи]])+2)/3)</f>
        <v>1</v>
      </c>
      <c r="J194" s="5">
        <f>INDEX(Склад!$A$3:$M$8, MATCH(Таблица3[[#This Row],[Наименование товара]], Склад!$A$3:$A$8, 0), 9)</f>
        <v>119.43</v>
      </c>
      <c r="K19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4" s="5">
        <v>0</v>
      </c>
      <c r="N194" s="5">
        <f>CEILING((Таблица3[[#This Row],[Цена за единицу (с учетом наценки продавца), руб.]] - Таблица3[[#This Row],[Цена за единицу (с учетом наценки продавца), руб.]]*M194),1)</f>
        <v>696</v>
      </c>
      <c r="O194" s="21">
        <f>VLOOKUP(Таблица3[[#This Row],[Менеджер по продажам]],'Справочная информация'!B$2:C$6,2,0)</f>
        <v>0.15</v>
      </c>
      <c r="P194" s="5">
        <f>Таблица3[[#This Row],[Цена продажи с учетом персональной скидки, руб.]]*O194</f>
        <v>104.39999999999999</v>
      </c>
      <c r="Q194" s="61"/>
    </row>
    <row r="195" spans="1:17" x14ac:dyDescent="0.25">
      <c r="A195" s="10">
        <f t="shared" ref="A195:A258" si="3">ROW(A195)-1</f>
        <v>194</v>
      </c>
      <c r="B195" s="5" t="s">
        <v>420</v>
      </c>
      <c r="C195" s="5">
        <f>IF(OR(B195="Гаврилов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5" s="5" t="s">
        <v>226</v>
      </c>
      <c r="E195" s="5" t="s">
        <v>78</v>
      </c>
      <c r="F195" s="4" t="s">
        <v>22</v>
      </c>
      <c r="G195" s="5" t="str">
        <f>VLOOKUP(Таблица3[[#This Row],[Наименование товара]],Склад!$A$3:$B$8,2,1)</f>
        <v>Porto</v>
      </c>
      <c r="H195" s="14">
        <v>44974</v>
      </c>
      <c r="I195" s="8">
        <f>INT((MONTH(Таблица3[[#This Row],[Дата продажи]])+2)/3)</f>
        <v>1</v>
      </c>
      <c r="J195" s="5">
        <f>INDEX(Склад!$A$3:$M$8, MATCH(Таблица3[[#This Row],[Наименование товара]], Склад!$A$3:$A$8, 0), 9)</f>
        <v>119.43</v>
      </c>
      <c r="K195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5" s="5">
        <v>0</v>
      </c>
      <c r="N195" s="5">
        <f>CEILING((Таблица3[[#This Row],[Цена за единицу (с учетом наценки продавца), руб.]] - Таблица3[[#This Row],[Цена за единицу (с учетом наценки продавца), руб.]]*M195),1)</f>
        <v>696</v>
      </c>
      <c r="O195" s="21">
        <f>VLOOKUP(Таблица3[[#This Row],[Менеджер по продажам]],'Справочная информация'!B$2:C$6,2,0)</f>
        <v>0.15</v>
      </c>
      <c r="P195" s="5">
        <f>Таблица3[[#This Row],[Цена продажи с учетом персональной скидки, руб.]]*O195</f>
        <v>104.39999999999999</v>
      </c>
      <c r="Q195" s="61"/>
    </row>
    <row r="196" spans="1:17" x14ac:dyDescent="0.25">
      <c r="A196" s="10">
        <f t="shared" si="3"/>
        <v>195</v>
      </c>
      <c r="B196" s="5" t="s">
        <v>420</v>
      </c>
      <c r="C196" s="5">
        <f>IF(OR(B196="Гаврилов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6" s="5" t="s">
        <v>155</v>
      </c>
      <c r="E196" s="5" t="s">
        <v>11</v>
      </c>
      <c r="F196" s="4" t="s">
        <v>22</v>
      </c>
      <c r="G196" s="5" t="str">
        <f>VLOOKUP(Таблица3[[#This Row],[Наименование товара]],Склад!$A$3:$B$8,2,1)</f>
        <v>Porto</v>
      </c>
      <c r="H196" s="14">
        <v>44959</v>
      </c>
      <c r="I196" s="8">
        <f>INT((MONTH(Таблица3[[#This Row],[Дата продажи]])+2)/3)</f>
        <v>1</v>
      </c>
      <c r="J196" s="5">
        <f>INDEX(Склад!$A$3:$M$8, MATCH(Таблица3[[#This Row],[Наименование товара]], Склад!$A$3:$A$8, 0), 9)</f>
        <v>119.43</v>
      </c>
      <c r="K19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6" s="5">
        <v>0</v>
      </c>
      <c r="N196" s="5">
        <f>CEILING((Таблица3[[#This Row],[Цена за единицу (с учетом наценки продавца), руб.]] - Таблица3[[#This Row],[Цена за единицу (с учетом наценки продавца), руб.]]*M196),1)</f>
        <v>696</v>
      </c>
      <c r="O196" s="21">
        <f>VLOOKUP(Таблица3[[#This Row],[Менеджер по продажам]],'Справочная информация'!B$2:C$6,2,0)</f>
        <v>0.15</v>
      </c>
      <c r="P196" s="5">
        <f>Таблица3[[#This Row],[Цена продажи с учетом персональной скидки, руб.]]*O196</f>
        <v>104.39999999999999</v>
      </c>
      <c r="Q196" s="61"/>
    </row>
    <row r="197" spans="1:17" x14ac:dyDescent="0.25">
      <c r="A197" s="10">
        <f t="shared" si="3"/>
        <v>196</v>
      </c>
      <c r="B197" s="5" t="s">
        <v>420</v>
      </c>
      <c r="C197" s="5">
        <f>IF(OR(B197="Гаврилов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7" s="5" t="s">
        <v>369</v>
      </c>
      <c r="E197" s="5" t="s">
        <v>47</v>
      </c>
      <c r="F197" s="4" t="s">
        <v>22</v>
      </c>
      <c r="G197" s="5" t="str">
        <f>VLOOKUP(Таблица3[[#This Row],[Наименование товара]],Склад!$A$3:$B$8,2,1)</f>
        <v>Porto</v>
      </c>
      <c r="H197" s="14">
        <v>45007</v>
      </c>
      <c r="I197" s="8">
        <f>INT((MONTH(Таблица3[[#This Row],[Дата продажи]])+2)/3)</f>
        <v>1</v>
      </c>
      <c r="J197" s="5">
        <f>INDEX(Склад!$A$3:$M$8, MATCH(Таблица3[[#This Row],[Наименование товара]], Склад!$A$3:$A$8, 0), 9)</f>
        <v>119.43</v>
      </c>
      <c r="K197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7" s="5">
        <v>0</v>
      </c>
      <c r="N197" s="5">
        <f>CEILING((Таблица3[[#This Row],[Цена за единицу (с учетом наценки продавца), руб.]] - Таблица3[[#This Row],[Цена за единицу (с учетом наценки продавца), руб.]]*M197),1)</f>
        <v>696</v>
      </c>
      <c r="O197" s="21">
        <f>VLOOKUP(Таблица3[[#This Row],[Менеджер по продажам]],'Справочная информация'!B$2:C$6,2,0)</f>
        <v>0.15</v>
      </c>
      <c r="P197" s="5">
        <f>Таблица3[[#This Row],[Цена продажи с учетом персональной скидки, руб.]]*O197</f>
        <v>104.39999999999999</v>
      </c>
      <c r="Q197" s="61"/>
    </row>
    <row r="198" spans="1:17" x14ac:dyDescent="0.25">
      <c r="A198" s="10">
        <f t="shared" si="3"/>
        <v>197</v>
      </c>
      <c r="B198" s="5" t="s">
        <v>420</v>
      </c>
      <c r="C198" s="5">
        <f>IF(OR(B198="Гаврилов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8" s="5" t="s">
        <v>211</v>
      </c>
      <c r="E198" s="5" t="s">
        <v>212</v>
      </c>
      <c r="F198" s="4" t="s">
        <v>22</v>
      </c>
      <c r="G198" s="5" t="str">
        <f>VLOOKUP(Таблица3[[#This Row],[Наименование товара]],Склад!$A$3:$B$8,2,1)</f>
        <v>Porto</v>
      </c>
      <c r="H198" s="14">
        <v>44970</v>
      </c>
      <c r="I198" s="8">
        <f>INT((MONTH(Таблица3[[#This Row],[Дата продажи]])+2)/3)</f>
        <v>1</v>
      </c>
      <c r="J198" s="5">
        <f>INDEX(Склад!$A$3:$M$8, MATCH(Таблица3[[#This Row],[Наименование товара]], Склад!$A$3:$A$8, 0), 9)</f>
        <v>119.43</v>
      </c>
      <c r="K198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8" s="5">
        <v>0</v>
      </c>
      <c r="N198" s="5">
        <f>CEILING((Таблица3[[#This Row],[Цена за единицу (с учетом наценки продавца), руб.]] - Таблица3[[#This Row],[Цена за единицу (с учетом наценки продавца), руб.]]*M198),1)</f>
        <v>696</v>
      </c>
      <c r="O198" s="21">
        <f>VLOOKUP(Таблица3[[#This Row],[Менеджер по продажам]],'Справочная информация'!B$2:C$6,2,0)</f>
        <v>0.15</v>
      </c>
      <c r="P198" s="5">
        <f>Таблица3[[#This Row],[Цена продажи с учетом персональной скидки, руб.]]*O198</f>
        <v>104.39999999999999</v>
      </c>
      <c r="Q198" s="61"/>
    </row>
    <row r="199" spans="1:17" x14ac:dyDescent="0.25">
      <c r="A199" s="10">
        <f t="shared" si="3"/>
        <v>198</v>
      </c>
      <c r="B199" s="5" t="s">
        <v>420</v>
      </c>
      <c r="C199" s="5">
        <f>IF(OR(B199="Гаврилов Н.А.",Таблица3[[#This Row],[Менеджер по продажам]]="Никифорова В.М."),1,IF(Таблица3[[#This Row],[Менеджер по продажам]]="Соколов Г.П.",3,2))</f>
        <v>1</v>
      </c>
      <c r="D199" s="5" t="s">
        <v>214</v>
      </c>
      <c r="E199" s="5" t="s">
        <v>11</v>
      </c>
      <c r="F199" s="4" t="s">
        <v>22</v>
      </c>
      <c r="G199" s="5" t="str">
        <f>VLOOKUP(Таблица3[[#This Row],[Наименование товара]],Склад!$A$3:$B$8,2,1)</f>
        <v>Porto</v>
      </c>
      <c r="H199" s="14">
        <v>44971</v>
      </c>
      <c r="I199" s="8">
        <f>INT((MONTH(Таблица3[[#This Row],[Дата продажи]])+2)/3)</f>
        <v>1</v>
      </c>
      <c r="J199" s="5">
        <f>INDEX(Склад!$A$3:$M$8, MATCH(Таблица3[[#This Row],[Наименование товара]], Склад!$A$3:$A$8, 0), 9)</f>
        <v>119.43</v>
      </c>
      <c r="K199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19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199" s="5">
        <v>0</v>
      </c>
      <c r="N199" s="5">
        <f>CEILING((Таблица3[[#This Row],[Цена за единицу (с учетом наценки продавца), руб.]] - Таблица3[[#This Row],[Цена за единицу (с учетом наценки продавца), руб.]]*M199),1)</f>
        <v>696</v>
      </c>
      <c r="O199" s="21">
        <f>VLOOKUP(Таблица3[[#This Row],[Менеджер по продажам]],'Справочная информация'!B$2:C$6,2,0)</f>
        <v>0.15</v>
      </c>
      <c r="P199" s="5">
        <f>Таблица3[[#This Row],[Цена продажи с учетом персональной скидки, руб.]]*O199</f>
        <v>104.39999999999999</v>
      </c>
      <c r="Q199" s="61"/>
    </row>
    <row r="200" spans="1:17" x14ac:dyDescent="0.25">
      <c r="A200" s="10">
        <f t="shared" si="3"/>
        <v>199</v>
      </c>
      <c r="B200" s="5" t="s">
        <v>420</v>
      </c>
      <c r="C200" s="5">
        <f>IF(OR(B200="Гаврилов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0" s="5" t="s">
        <v>302</v>
      </c>
      <c r="E200" s="5" t="s">
        <v>11</v>
      </c>
      <c r="F200" s="4" t="s">
        <v>22</v>
      </c>
      <c r="G200" s="5" t="str">
        <f>VLOOKUP(Таблица3[[#This Row],[Наименование товара]],Склад!$A$3:$B$8,2,1)</f>
        <v>Porto</v>
      </c>
      <c r="H200" s="14">
        <v>44993</v>
      </c>
      <c r="I200" s="8">
        <f>INT((MONTH(Таблица3[[#This Row],[Дата продажи]])+2)/3)</f>
        <v>1</v>
      </c>
      <c r="J200" s="5">
        <f>INDEX(Склад!$A$3:$M$8, MATCH(Таблица3[[#This Row],[Наименование товара]], Склад!$A$3:$A$8, 0), 9)</f>
        <v>119.43</v>
      </c>
      <c r="K200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0" s="5">
        <v>0</v>
      </c>
      <c r="N200" s="5">
        <f>CEILING((Таблица3[[#This Row],[Цена за единицу (с учетом наценки продавца), руб.]] - Таблица3[[#This Row],[Цена за единицу (с учетом наценки продавца), руб.]]*M200),1)</f>
        <v>696</v>
      </c>
      <c r="O200" s="21">
        <f>VLOOKUP(Таблица3[[#This Row],[Менеджер по продажам]],'Справочная информация'!B$2:C$6,2,0)</f>
        <v>0.15</v>
      </c>
      <c r="P200" s="5">
        <f>Таблица3[[#This Row],[Цена продажи с учетом персональной скидки, руб.]]*O200</f>
        <v>104.39999999999999</v>
      </c>
      <c r="Q200" s="61"/>
    </row>
    <row r="201" spans="1:17" x14ac:dyDescent="0.25">
      <c r="A201" s="10">
        <f t="shared" si="3"/>
        <v>200</v>
      </c>
      <c r="B201" s="5" t="s">
        <v>420</v>
      </c>
      <c r="C201" s="5">
        <f>IF(OR(B201="Гаврилов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1" s="5" t="s">
        <v>402</v>
      </c>
      <c r="E201" s="5" t="s">
        <v>13</v>
      </c>
      <c r="F201" s="4" t="s">
        <v>22</v>
      </c>
      <c r="G201" s="5" t="str">
        <f>VLOOKUP(Таблица3[[#This Row],[Наименование товара]],Склад!$A$3:$B$8,2,1)</f>
        <v>Porto</v>
      </c>
      <c r="H201" s="14">
        <v>45012</v>
      </c>
      <c r="I201" s="8">
        <f>INT((MONTH(Таблица3[[#This Row],[Дата продажи]])+2)/3)</f>
        <v>1</v>
      </c>
      <c r="J201" s="5">
        <f>INDEX(Склад!$A$3:$M$8, MATCH(Таблица3[[#This Row],[Наименование товара]], Склад!$A$3:$A$8, 0), 9)</f>
        <v>119.43</v>
      </c>
      <c r="K201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1" s="5">
        <v>0</v>
      </c>
      <c r="N201" s="5">
        <f>CEILING((Таблица3[[#This Row],[Цена за единицу (с учетом наценки продавца), руб.]] - Таблица3[[#This Row],[Цена за единицу (с учетом наценки продавца), руб.]]*M201),1)</f>
        <v>696</v>
      </c>
      <c r="O201" s="21">
        <f>VLOOKUP(Таблица3[[#This Row],[Менеджер по продажам]],'Справочная информация'!B$2:C$6,2,0)</f>
        <v>0.15</v>
      </c>
      <c r="P201" s="5">
        <f>Таблица3[[#This Row],[Цена продажи с учетом персональной скидки, руб.]]*O201</f>
        <v>104.39999999999999</v>
      </c>
      <c r="Q201" s="61"/>
    </row>
    <row r="202" spans="1:17" x14ac:dyDescent="0.25">
      <c r="A202" s="10">
        <f t="shared" si="3"/>
        <v>201</v>
      </c>
      <c r="B202" s="5" t="s">
        <v>420</v>
      </c>
      <c r="C202" s="5">
        <f>IF(OR(B202="Гаврилов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2" s="5" t="s">
        <v>310</v>
      </c>
      <c r="E202" s="5" t="s">
        <v>94</v>
      </c>
      <c r="F202" s="4" t="s">
        <v>22</v>
      </c>
      <c r="G202" s="5" t="str">
        <f>VLOOKUP(Таблица3[[#This Row],[Наименование товара]],Склад!$A$3:$B$8,2,1)</f>
        <v>Porto</v>
      </c>
      <c r="H202" s="14">
        <v>44995</v>
      </c>
      <c r="I202" s="8">
        <f>INT((MONTH(Таблица3[[#This Row],[Дата продажи]])+2)/3)</f>
        <v>1</v>
      </c>
      <c r="J202" s="5">
        <f>INDEX(Склад!$A$3:$M$8, MATCH(Таблица3[[#This Row],[Наименование товара]], Склад!$A$3:$A$8, 0), 9)</f>
        <v>119.43</v>
      </c>
      <c r="K202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2" s="5">
        <v>0</v>
      </c>
      <c r="N202" s="5">
        <f>CEILING((Таблица3[[#This Row],[Цена за единицу (с учетом наценки продавца), руб.]] - Таблица3[[#This Row],[Цена за единицу (с учетом наценки продавца), руб.]]*M202),1)</f>
        <v>696</v>
      </c>
      <c r="O202" s="21">
        <f>VLOOKUP(Таблица3[[#This Row],[Менеджер по продажам]],'Справочная информация'!B$2:C$6,2,0)</f>
        <v>0.15</v>
      </c>
      <c r="P202" s="5">
        <f>Таблица3[[#This Row],[Цена продажи с учетом персональной скидки, руб.]]*O202</f>
        <v>104.39999999999999</v>
      </c>
      <c r="Q202" s="61"/>
    </row>
    <row r="203" spans="1:17" x14ac:dyDescent="0.25">
      <c r="A203" s="10">
        <f t="shared" si="3"/>
        <v>202</v>
      </c>
      <c r="B203" s="5" t="s">
        <v>420</v>
      </c>
      <c r="C203" s="5">
        <f>IF(OR(B203="Гаврилов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3" s="5" t="s">
        <v>235</v>
      </c>
      <c r="E203" s="5" t="s">
        <v>13</v>
      </c>
      <c r="F203" s="4" t="s">
        <v>22</v>
      </c>
      <c r="G203" s="5" t="str">
        <f>VLOOKUP(Таблица3[[#This Row],[Наименование товара]],Склад!$A$3:$B$8,2,1)</f>
        <v>Porto</v>
      </c>
      <c r="H203" s="14">
        <v>44977</v>
      </c>
      <c r="I203" s="8">
        <f>INT((MONTH(Таблица3[[#This Row],[Дата продажи]])+2)/3)</f>
        <v>1</v>
      </c>
      <c r="J203" s="5">
        <f>INDEX(Склад!$A$3:$M$8, MATCH(Таблица3[[#This Row],[Наименование товара]], Склад!$A$3:$A$8, 0), 9)</f>
        <v>119.43</v>
      </c>
      <c r="K203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3" s="5">
        <v>0</v>
      </c>
      <c r="N203" s="5">
        <f>CEILING((Таблица3[[#This Row],[Цена за единицу (с учетом наценки продавца), руб.]] - Таблица3[[#This Row],[Цена за единицу (с учетом наценки продавца), руб.]]*M203),1)</f>
        <v>696</v>
      </c>
      <c r="O203" s="21">
        <f>VLOOKUP(Таблица3[[#This Row],[Менеджер по продажам]],'Справочная информация'!B$2:C$6,2,0)</f>
        <v>0.15</v>
      </c>
      <c r="P203" s="5">
        <f>Таблица3[[#This Row],[Цена продажи с учетом персональной скидки, руб.]]*O203</f>
        <v>104.39999999999999</v>
      </c>
      <c r="Q203" s="61"/>
    </row>
    <row r="204" spans="1:17" x14ac:dyDescent="0.25">
      <c r="A204" s="10">
        <f t="shared" si="3"/>
        <v>203</v>
      </c>
      <c r="B204" s="5" t="s">
        <v>420</v>
      </c>
      <c r="C204" s="5">
        <f>IF(OR(B204="Гаврилов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4" s="5" t="s">
        <v>265</v>
      </c>
      <c r="E204" s="5" t="s">
        <v>11</v>
      </c>
      <c r="F204" s="4" t="s">
        <v>22</v>
      </c>
      <c r="G204" s="5" t="str">
        <f>VLOOKUP(Таблица3[[#This Row],[Наименование товара]],Склад!$A$3:$B$8,2,1)</f>
        <v>Porto</v>
      </c>
      <c r="H204" s="14">
        <v>44985</v>
      </c>
      <c r="I204" s="8">
        <f>INT((MONTH(Таблица3[[#This Row],[Дата продажи]])+2)/3)</f>
        <v>1</v>
      </c>
      <c r="J204" s="5">
        <f>INDEX(Склад!$A$3:$M$8, MATCH(Таблица3[[#This Row],[Наименование товара]], Склад!$A$3:$A$8, 0), 9)</f>
        <v>119.43</v>
      </c>
      <c r="K20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4" s="5">
        <v>0</v>
      </c>
      <c r="N204" s="5">
        <f>CEILING((Таблица3[[#This Row],[Цена за единицу (с учетом наценки продавца), руб.]] - Таблица3[[#This Row],[Цена за единицу (с учетом наценки продавца), руб.]]*M204),1)</f>
        <v>696</v>
      </c>
      <c r="O204" s="21">
        <f>VLOOKUP(Таблица3[[#This Row],[Менеджер по продажам]],'Справочная информация'!B$2:C$6,2,0)</f>
        <v>0.15</v>
      </c>
      <c r="P204" s="5">
        <f>Таблица3[[#This Row],[Цена продажи с учетом персональной скидки, руб.]]*O204</f>
        <v>104.39999999999999</v>
      </c>
      <c r="Q204" s="61"/>
    </row>
    <row r="205" spans="1:17" x14ac:dyDescent="0.25">
      <c r="A205" s="10">
        <f t="shared" si="3"/>
        <v>204</v>
      </c>
      <c r="B205" s="5" t="s">
        <v>420</v>
      </c>
      <c r="C205" s="5">
        <f>IF(OR(B205="Гаврилов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5" s="5" t="s">
        <v>364</v>
      </c>
      <c r="E205" s="5" t="s">
        <v>47</v>
      </c>
      <c r="F205" s="4" t="s">
        <v>22</v>
      </c>
      <c r="G205" s="5" t="str">
        <f>VLOOKUP(Таблица3[[#This Row],[Наименование товара]],Склад!$A$3:$B$8,2,1)</f>
        <v>Porto</v>
      </c>
      <c r="H205" s="14">
        <v>45005</v>
      </c>
      <c r="I205" s="8">
        <f>INT((MONTH(Таблица3[[#This Row],[Дата продажи]])+2)/3)</f>
        <v>1</v>
      </c>
      <c r="J205" s="5">
        <f>INDEX(Склад!$A$3:$M$8, MATCH(Таблица3[[#This Row],[Наименование товара]], Склад!$A$3:$A$8, 0), 9)</f>
        <v>119.43</v>
      </c>
      <c r="K205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5" s="5">
        <v>0.03</v>
      </c>
      <c r="N205" s="5">
        <f>CEILING((Таблица3[[#This Row],[Цена за единицу (с учетом наценки продавца), руб.]] - Таблица3[[#This Row],[Цена за единицу (с учетом наценки продавца), руб.]]*M205),1)</f>
        <v>676</v>
      </c>
      <c r="O205" s="21">
        <f>VLOOKUP(Таблица3[[#This Row],[Менеджер по продажам]],'Справочная информация'!B$2:C$6,2,0)</f>
        <v>0.15</v>
      </c>
      <c r="P205" s="5">
        <f>Таблица3[[#This Row],[Цена продажи с учетом персональной скидки, руб.]]*O205</f>
        <v>101.39999999999999</v>
      </c>
      <c r="Q205" s="61"/>
    </row>
    <row r="206" spans="1:17" x14ac:dyDescent="0.25">
      <c r="A206" s="10">
        <f t="shared" si="3"/>
        <v>205</v>
      </c>
      <c r="B206" s="5" t="s">
        <v>420</v>
      </c>
      <c r="C206" s="5">
        <f>IF(OR(B206="Гаврилов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6" s="5" t="s">
        <v>294</v>
      </c>
      <c r="E206" s="5" t="s">
        <v>11</v>
      </c>
      <c r="F206" s="4" t="s">
        <v>22</v>
      </c>
      <c r="G206" s="5" t="str">
        <f>VLOOKUP(Таблица3[[#This Row],[Наименование товара]],Склад!$A$3:$B$8,2,1)</f>
        <v>Porto</v>
      </c>
      <c r="H206" s="14">
        <v>44991</v>
      </c>
      <c r="I206" s="8">
        <f>INT((MONTH(Таблица3[[#This Row],[Дата продажи]])+2)/3)</f>
        <v>1</v>
      </c>
      <c r="J206" s="5">
        <f>INDEX(Склад!$A$3:$M$8, MATCH(Таблица3[[#This Row],[Наименование товара]], Склад!$A$3:$A$8, 0), 9)</f>
        <v>119.43</v>
      </c>
      <c r="K20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0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06" s="5">
        <v>0</v>
      </c>
      <c r="N206" s="5">
        <f>CEILING((Таблица3[[#This Row],[Цена за единицу (с учетом наценки продавца), руб.]] - Таблица3[[#This Row],[Цена за единицу (с учетом наценки продавца), руб.]]*M206),1)</f>
        <v>696</v>
      </c>
      <c r="O206" s="21">
        <f>VLOOKUP(Таблица3[[#This Row],[Менеджер по продажам]],'Справочная информация'!B$2:C$6,2,0)</f>
        <v>0.15</v>
      </c>
      <c r="P206" s="5">
        <f>Таблица3[[#This Row],[Цена продажи с учетом персональной скидки, руб.]]*O206</f>
        <v>104.39999999999999</v>
      </c>
      <c r="Q206" s="61"/>
    </row>
    <row r="207" spans="1:17" x14ac:dyDescent="0.25">
      <c r="A207" s="10">
        <f t="shared" si="3"/>
        <v>206</v>
      </c>
      <c r="B207" s="5" t="s">
        <v>420</v>
      </c>
      <c r="C207" s="5">
        <f>IF(OR(B207="Гаврилов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7" s="5" t="s">
        <v>218</v>
      </c>
      <c r="E207" s="5" t="s">
        <v>212</v>
      </c>
      <c r="F207" s="4" t="s">
        <v>37</v>
      </c>
      <c r="G207" s="5" t="str">
        <f>VLOOKUP(Таблица3[[#This Row],[Наименование товара]],Склад!$A$3:$B$8,2,1)</f>
        <v>Porto</v>
      </c>
      <c r="H207" s="14">
        <v>44972</v>
      </c>
      <c r="I207" s="8">
        <f>INT((MONTH(Таблица3[[#This Row],[Дата продажи]])+2)/3)</f>
        <v>1</v>
      </c>
      <c r="J207" s="5">
        <f>INDEX(Склад!$A$3:$M$8, MATCH(Таблица3[[#This Row],[Наименование товара]], Склад!$A$3:$A$8, 0), 9)</f>
        <v>109.24000000000001</v>
      </c>
      <c r="K207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0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07" s="5">
        <v>0</v>
      </c>
      <c r="N207" s="5">
        <f>CEILING((Таблица3[[#This Row],[Цена за единицу (с учетом наценки продавца), руб.]] - Таблица3[[#This Row],[Цена за единицу (с учетом наценки продавца), руб.]]*M207),1)</f>
        <v>681</v>
      </c>
      <c r="O207" s="21">
        <f>VLOOKUP(Таблица3[[#This Row],[Менеджер по продажам]],'Справочная информация'!B$2:C$6,2,0)</f>
        <v>0.15</v>
      </c>
      <c r="P207" s="5">
        <f>Таблица3[[#This Row],[Цена продажи с учетом персональной скидки, руб.]]*O207</f>
        <v>102.14999999999999</v>
      </c>
      <c r="Q207" s="61"/>
    </row>
    <row r="208" spans="1:17" x14ac:dyDescent="0.25">
      <c r="A208" s="10">
        <f t="shared" si="3"/>
        <v>207</v>
      </c>
      <c r="B208" s="5" t="s">
        <v>420</v>
      </c>
      <c r="C208" s="5">
        <f>IF(OR(B208="Гаврилов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8" s="5" t="s">
        <v>205</v>
      </c>
      <c r="E208" s="5" t="s">
        <v>78</v>
      </c>
      <c r="F208" s="4" t="s">
        <v>37</v>
      </c>
      <c r="G208" s="5" t="str">
        <f>VLOOKUP(Таблица3[[#This Row],[Наименование товара]],Склад!$A$3:$B$8,2,1)</f>
        <v>Porto</v>
      </c>
      <c r="H208" s="14">
        <v>44969</v>
      </c>
      <c r="I208" s="8">
        <f>INT((MONTH(Таблица3[[#This Row],[Дата продажи]])+2)/3)</f>
        <v>1</v>
      </c>
      <c r="J208" s="5">
        <f>INDEX(Склад!$A$3:$M$8, MATCH(Таблица3[[#This Row],[Наименование товара]], Склад!$A$3:$A$8, 0), 9)</f>
        <v>109.24000000000001</v>
      </c>
      <c r="K208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0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08" s="5">
        <v>0</v>
      </c>
      <c r="N208" s="5">
        <f>CEILING((Таблица3[[#This Row],[Цена за единицу (с учетом наценки продавца), руб.]] - Таблица3[[#This Row],[Цена за единицу (с учетом наценки продавца), руб.]]*M208),1)</f>
        <v>681</v>
      </c>
      <c r="O208" s="21">
        <f>VLOOKUP(Таблица3[[#This Row],[Менеджер по продажам]],'Справочная информация'!B$2:C$6,2,0)</f>
        <v>0.15</v>
      </c>
      <c r="P208" s="5">
        <f>Таблица3[[#This Row],[Цена продажи с учетом персональной скидки, руб.]]*O208</f>
        <v>102.14999999999999</v>
      </c>
      <c r="Q208" s="61"/>
    </row>
    <row r="209" spans="1:17" x14ac:dyDescent="0.25">
      <c r="A209" s="10">
        <f t="shared" si="3"/>
        <v>208</v>
      </c>
      <c r="B209" s="5" t="s">
        <v>420</v>
      </c>
      <c r="C209" s="5">
        <f>IF(OR(B209="Гаврилов Н.А.",Таблица3[[#This Row],[Менеджер по продажам]]="Никифорова В.М."),1,IF(Таблица3[[#This Row],[Менеджер по продажам]]="Соколов Г.П.",3,2))</f>
        <v>1</v>
      </c>
      <c r="D209" s="5" t="s">
        <v>60</v>
      </c>
      <c r="E209" s="5" t="s">
        <v>11</v>
      </c>
      <c r="F209" s="4" t="s">
        <v>37</v>
      </c>
      <c r="G209" s="5" t="str">
        <f>VLOOKUP(Таблица3[[#This Row],[Наименование товара]],Склад!$A$3:$B$8,2,1)</f>
        <v>Porto</v>
      </c>
      <c r="H209" s="14">
        <v>44938</v>
      </c>
      <c r="I209" s="8">
        <f>INT((MONTH(Таблица3[[#This Row],[Дата продажи]])+2)/3)</f>
        <v>1</v>
      </c>
      <c r="J209" s="5">
        <f>INDEX(Склад!$A$3:$M$8, MATCH(Таблица3[[#This Row],[Наименование товара]], Склад!$A$3:$A$8, 0), 9)</f>
        <v>109.24000000000001</v>
      </c>
      <c r="K209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0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09" s="5">
        <v>0</v>
      </c>
      <c r="N209" s="5">
        <f>CEILING((Таблица3[[#This Row],[Цена за единицу (с учетом наценки продавца), руб.]] - Таблица3[[#This Row],[Цена за единицу (с учетом наценки продавца), руб.]]*M209),1)</f>
        <v>681</v>
      </c>
      <c r="O209" s="21">
        <f>VLOOKUP(Таблица3[[#This Row],[Менеджер по продажам]],'Справочная информация'!B$2:C$6,2,0)</f>
        <v>0.15</v>
      </c>
      <c r="P209" s="5">
        <f>Таблица3[[#This Row],[Цена продажи с учетом персональной скидки, руб.]]*O209</f>
        <v>102.14999999999999</v>
      </c>
      <c r="Q209" s="61"/>
    </row>
    <row r="210" spans="1:17" x14ac:dyDescent="0.25">
      <c r="A210" s="10">
        <f t="shared" si="3"/>
        <v>209</v>
      </c>
      <c r="B210" s="5" t="s">
        <v>420</v>
      </c>
      <c r="C210" s="5">
        <f>IF(OR(B210="Гаврилов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0" s="5" t="s">
        <v>179</v>
      </c>
      <c r="E210" s="5" t="s">
        <v>11</v>
      </c>
      <c r="F210" s="4" t="s">
        <v>37</v>
      </c>
      <c r="G210" s="5" t="str">
        <f>VLOOKUP(Таблица3[[#This Row],[Наименование товара]],Склад!$A$3:$B$8,2,1)</f>
        <v>Porto</v>
      </c>
      <c r="H210" s="14">
        <v>44963</v>
      </c>
      <c r="I210" s="8">
        <f>INT((MONTH(Таблица3[[#This Row],[Дата продажи]])+2)/3)</f>
        <v>1</v>
      </c>
      <c r="J210" s="5">
        <f>INDEX(Склад!$A$3:$M$8, MATCH(Таблица3[[#This Row],[Наименование товара]], Склад!$A$3:$A$8, 0), 9)</f>
        <v>109.24000000000001</v>
      </c>
      <c r="K210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0" s="5">
        <v>0.05</v>
      </c>
      <c r="N210" s="5">
        <f>CEILING((Таблица3[[#This Row],[Цена за единицу (с учетом наценки продавца), руб.]] - Таблица3[[#This Row],[Цена за единицу (с учетом наценки продавца), руб.]]*M210),1)</f>
        <v>647</v>
      </c>
      <c r="O210" s="21">
        <f>VLOOKUP(Таблица3[[#This Row],[Менеджер по продажам]],'Справочная информация'!B$2:C$6,2,0)</f>
        <v>0.15</v>
      </c>
      <c r="P210" s="5">
        <f>Таблица3[[#This Row],[Цена продажи с учетом персональной скидки, руб.]]*O210</f>
        <v>97.05</v>
      </c>
      <c r="Q210" s="61"/>
    </row>
    <row r="211" spans="1:17" x14ac:dyDescent="0.25">
      <c r="A211" s="10">
        <f t="shared" si="3"/>
        <v>210</v>
      </c>
      <c r="B211" s="5" t="s">
        <v>420</v>
      </c>
      <c r="C211" s="5">
        <f>IF(OR(B211="Гаврилов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1" s="5" t="s">
        <v>351</v>
      </c>
      <c r="E211" s="5" t="s">
        <v>94</v>
      </c>
      <c r="F211" s="4" t="s">
        <v>37</v>
      </c>
      <c r="G211" s="5" t="str">
        <f>VLOOKUP(Таблица3[[#This Row],[Наименование товара]],Склад!$A$3:$B$8,2,1)</f>
        <v>Porto</v>
      </c>
      <c r="H211" s="14">
        <v>45003</v>
      </c>
      <c r="I211" s="8">
        <f>INT((MONTH(Таблица3[[#This Row],[Дата продажи]])+2)/3)</f>
        <v>1</v>
      </c>
      <c r="J211" s="5">
        <f>INDEX(Склад!$A$3:$M$8, MATCH(Таблица3[[#This Row],[Наименование товара]], Склад!$A$3:$A$8, 0), 9)</f>
        <v>109.24000000000001</v>
      </c>
      <c r="K211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1" s="5">
        <v>0</v>
      </c>
      <c r="N211" s="5">
        <f>CEILING((Таблица3[[#This Row],[Цена за единицу (с учетом наценки продавца), руб.]] - Таблица3[[#This Row],[Цена за единицу (с учетом наценки продавца), руб.]]*M211),1)</f>
        <v>681</v>
      </c>
      <c r="O211" s="21">
        <f>VLOOKUP(Таблица3[[#This Row],[Менеджер по продажам]],'Справочная информация'!B$2:C$6,2,0)</f>
        <v>0.15</v>
      </c>
      <c r="P211" s="5">
        <f>Таблица3[[#This Row],[Цена продажи с учетом персональной скидки, руб.]]*O211</f>
        <v>102.14999999999999</v>
      </c>
      <c r="Q211" s="61"/>
    </row>
    <row r="212" spans="1:17" x14ac:dyDescent="0.25">
      <c r="A212" s="10">
        <f t="shared" si="3"/>
        <v>211</v>
      </c>
      <c r="B212" s="5" t="s">
        <v>420</v>
      </c>
      <c r="C212" s="5">
        <f>IF(OR(B212="Гаврилов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2" s="5" t="s">
        <v>311</v>
      </c>
      <c r="E212" s="5" t="s">
        <v>13</v>
      </c>
      <c r="F212" s="4" t="s">
        <v>37</v>
      </c>
      <c r="G212" s="5" t="str">
        <f>VLOOKUP(Таблица3[[#This Row],[Наименование товара]],Склад!$A$3:$B$8,2,1)</f>
        <v>Porto</v>
      </c>
      <c r="H212" s="14">
        <v>44995</v>
      </c>
      <c r="I212" s="8">
        <f>INT((MONTH(Таблица3[[#This Row],[Дата продажи]])+2)/3)</f>
        <v>1</v>
      </c>
      <c r="J212" s="5">
        <f>INDEX(Склад!$A$3:$M$8, MATCH(Таблица3[[#This Row],[Наименование товара]], Склад!$A$3:$A$8, 0), 9)</f>
        <v>109.24000000000001</v>
      </c>
      <c r="K212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2" s="5">
        <v>0</v>
      </c>
      <c r="N212" s="5">
        <f>CEILING((Таблица3[[#This Row],[Цена за единицу (с учетом наценки продавца), руб.]] - Таблица3[[#This Row],[Цена за единицу (с учетом наценки продавца), руб.]]*M212),1)</f>
        <v>681</v>
      </c>
      <c r="O212" s="21">
        <f>VLOOKUP(Таблица3[[#This Row],[Менеджер по продажам]],'Справочная информация'!B$2:C$6,2,0)</f>
        <v>0.15</v>
      </c>
      <c r="P212" s="5">
        <f>Таблица3[[#This Row],[Цена продажи с учетом персональной скидки, руб.]]*O212</f>
        <v>102.14999999999999</v>
      </c>
      <c r="Q212" s="61"/>
    </row>
    <row r="213" spans="1:17" x14ac:dyDescent="0.25">
      <c r="A213" s="10">
        <f t="shared" si="3"/>
        <v>212</v>
      </c>
      <c r="B213" s="5" t="s">
        <v>420</v>
      </c>
      <c r="C213" s="5">
        <f>IF(OR(B213="Гаврилов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3" s="5" t="s">
        <v>131</v>
      </c>
      <c r="E213" s="5" t="s">
        <v>11</v>
      </c>
      <c r="F213" s="4" t="s">
        <v>37</v>
      </c>
      <c r="G213" s="5" t="str">
        <f>VLOOKUP(Таблица3[[#This Row],[Наименование товара]],Склад!$A$3:$B$8,2,1)</f>
        <v>Porto</v>
      </c>
      <c r="H213" s="14">
        <v>44954</v>
      </c>
      <c r="I213" s="8">
        <f>INT((MONTH(Таблица3[[#This Row],[Дата продажи]])+2)/3)</f>
        <v>1</v>
      </c>
      <c r="J213" s="5">
        <f>INDEX(Склад!$A$3:$M$8, MATCH(Таблица3[[#This Row],[Наименование товара]], Склад!$A$3:$A$8, 0), 9)</f>
        <v>109.24000000000001</v>
      </c>
      <c r="K213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3" s="5">
        <v>0</v>
      </c>
      <c r="N213" s="5">
        <f>CEILING((Таблица3[[#This Row],[Цена за единицу (с учетом наценки продавца), руб.]] - Таблица3[[#This Row],[Цена за единицу (с учетом наценки продавца), руб.]]*M213),1)</f>
        <v>681</v>
      </c>
      <c r="O213" s="21">
        <f>VLOOKUP(Таблица3[[#This Row],[Менеджер по продажам]],'Справочная информация'!B$2:C$6,2,0)</f>
        <v>0.15</v>
      </c>
      <c r="P213" s="5">
        <f>Таблица3[[#This Row],[Цена продажи с учетом персональной скидки, руб.]]*O213</f>
        <v>102.14999999999999</v>
      </c>
      <c r="Q213" s="61"/>
    </row>
    <row r="214" spans="1:17" x14ac:dyDescent="0.25">
      <c r="A214" s="10">
        <f t="shared" si="3"/>
        <v>213</v>
      </c>
      <c r="B214" s="5" t="s">
        <v>420</v>
      </c>
      <c r="C214" s="5">
        <f>IF(OR(B214="Гаврилов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4" s="5" t="s">
        <v>269</v>
      </c>
      <c r="E214" s="5" t="s">
        <v>11</v>
      </c>
      <c r="F214" s="4" t="s">
        <v>37</v>
      </c>
      <c r="G214" s="5" t="str">
        <f>VLOOKUP(Таблица3[[#This Row],[Наименование товара]],Склад!$A$3:$B$8,2,1)</f>
        <v>Porto</v>
      </c>
      <c r="H214" s="14">
        <v>44986</v>
      </c>
      <c r="I214" s="8">
        <f>INT((MONTH(Таблица3[[#This Row],[Дата продажи]])+2)/3)</f>
        <v>1</v>
      </c>
      <c r="J214" s="5">
        <f>INDEX(Склад!$A$3:$M$8, MATCH(Таблица3[[#This Row],[Наименование товара]], Склад!$A$3:$A$8, 0), 9)</f>
        <v>109.24000000000001</v>
      </c>
      <c r="K214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4" s="5">
        <v>0</v>
      </c>
      <c r="N214" s="5">
        <f>CEILING((Таблица3[[#This Row],[Цена за единицу (с учетом наценки продавца), руб.]] - Таблица3[[#This Row],[Цена за единицу (с учетом наценки продавца), руб.]]*M214),1)</f>
        <v>681</v>
      </c>
      <c r="O214" s="21">
        <f>VLOOKUP(Таблица3[[#This Row],[Менеджер по продажам]],'Справочная информация'!B$2:C$6,2,0)</f>
        <v>0.15</v>
      </c>
      <c r="P214" s="5">
        <f>Таблица3[[#This Row],[Цена продажи с учетом персональной скидки, руб.]]*O214</f>
        <v>102.14999999999999</v>
      </c>
      <c r="Q214" s="61"/>
    </row>
    <row r="215" spans="1:17" x14ac:dyDescent="0.25">
      <c r="A215" s="10">
        <f t="shared" si="3"/>
        <v>214</v>
      </c>
      <c r="B215" s="5" t="s">
        <v>420</v>
      </c>
      <c r="C215" s="5">
        <f>IF(OR(B215="Гаврилов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5" s="5" t="s">
        <v>207</v>
      </c>
      <c r="E215" s="5" t="s">
        <v>94</v>
      </c>
      <c r="F215" s="4" t="s">
        <v>37</v>
      </c>
      <c r="G215" s="5" t="str">
        <f>VLOOKUP(Таблица3[[#This Row],[Наименование товара]],Склад!$A$3:$B$8,2,1)</f>
        <v>Porto</v>
      </c>
      <c r="H215" s="14">
        <v>44969</v>
      </c>
      <c r="I215" s="8">
        <f>INT((MONTH(Таблица3[[#This Row],[Дата продажи]])+2)/3)</f>
        <v>1</v>
      </c>
      <c r="J215" s="5">
        <f>INDEX(Склад!$A$3:$M$8, MATCH(Таблица3[[#This Row],[Наименование товара]], Склад!$A$3:$A$8, 0), 9)</f>
        <v>109.24000000000001</v>
      </c>
      <c r="K215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5" s="5">
        <v>0</v>
      </c>
      <c r="N215" s="5">
        <f>CEILING((Таблица3[[#This Row],[Цена за единицу (с учетом наценки продавца), руб.]] - Таблица3[[#This Row],[Цена за единицу (с учетом наценки продавца), руб.]]*M215),1)</f>
        <v>681</v>
      </c>
      <c r="O215" s="21">
        <f>VLOOKUP(Таблица3[[#This Row],[Менеджер по продажам]],'Справочная информация'!B$2:C$6,2,0)</f>
        <v>0.15</v>
      </c>
      <c r="P215" s="5">
        <f>Таблица3[[#This Row],[Цена продажи с учетом персональной скидки, руб.]]*O215</f>
        <v>102.14999999999999</v>
      </c>
      <c r="Q215" s="61"/>
    </row>
    <row r="216" spans="1:17" x14ac:dyDescent="0.25">
      <c r="A216" s="10">
        <f t="shared" si="3"/>
        <v>215</v>
      </c>
      <c r="B216" s="5" t="s">
        <v>420</v>
      </c>
      <c r="C216" s="5">
        <f>IF(OR(B216="Гаврилов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6" s="5" t="s">
        <v>165</v>
      </c>
      <c r="E216" s="5" t="s">
        <v>13</v>
      </c>
      <c r="F216" s="4" t="s">
        <v>37</v>
      </c>
      <c r="G216" s="5" t="str">
        <f>VLOOKUP(Таблица3[[#This Row],[Наименование товара]],Склад!$A$3:$B$8,2,1)</f>
        <v>Porto</v>
      </c>
      <c r="H216" s="14">
        <v>44961</v>
      </c>
      <c r="I216" s="8">
        <f>INT((MONTH(Таблица3[[#This Row],[Дата продажи]])+2)/3)</f>
        <v>1</v>
      </c>
      <c r="J216" s="5">
        <f>INDEX(Склад!$A$3:$M$8, MATCH(Таблица3[[#This Row],[Наименование товара]], Склад!$A$3:$A$8, 0), 9)</f>
        <v>109.24000000000001</v>
      </c>
      <c r="K216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6" s="5">
        <v>0</v>
      </c>
      <c r="N216" s="5">
        <f>CEILING((Таблица3[[#This Row],[Цена за единицу (с учетом наценки продавца), руб.]] - Таблица3[[#This Row],[Цена за единицу (с учетом наценки продавца), руб.]]*M216),1)</f>
        <v>681</v>
      </c>
      <c r="O216" s="21">
        <f>VLOOKUP(Таблица3[[#This Row],[Менеджер по продажам]],'Справочная информация'!B$2:C$6,2,0)</f>
        <v>0.15</v>
      </c>
      <c r="P216" s="5">
        <f>Таблица3[[#This Row],[Цена продажи с учетом персональной скидки, руб.]]*O216</f>
        <v>102.14999999999999</v>
      </c>
      <c r="Q216" s="61"/>
    </row>
    <row r="217" spans="1:17" x14ac:dyDescent="0.25">
      <c r="A217" s="10">
        <f t="shared" si="3"/>
        <v>216</v>
      </c>
      <c r="B217" s="5" t="s">
        <v>420</v>
      </c>
      <c r="C217" s="5">
        <f>IF(OR(B217="Гаврилов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7" s="5" t="s">
        <v>63</v>
      </c>
      <c r="E217" s="5" t="s">
        <v>47</v>
      </c>
      <c r="F217" s="4" t="s">
        <v>37</v>
      </c>
      <c r="G217" s="5" t="str">
        <f>VLOOKUP(Таблица3[[#This Row],[Наименование товара]],Склад!$A$3:$B$8,2,1)</f>
        <v>Porto</v>
      </c>
      <c r="H217" s="14">
        <v>44938</v>
      </c>
      <c r="I217" s="8">
        <f>INT((MONTH(Таблица3[[#This Row],[Дата продажи]])+2)/3)</f>
        <v>1</v>
      </c>
      <c r="J217" s="5">
        <f>INDEX(Склад!$A$3:$M$8, MATCH(Таблица3[[#This Row],[Наименование товара]], Склад!$A$3:$A$8, 0), 9)</f>
        <v>109.24000000000001</v>
      </c>
      <c r="K217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7" s="5">
        <v>0</v>
      </c>
      <c r="N217" s="5">
        <f>CEILING((Таблица3[[#This Row],[Цена за единицу (с учетом наценки продавца), руб.]] - Таблица3[[#This Row],[Цена за единицу (с учетом наценки продавца), руб.]]*M217),1)</f>
        <v>681</v>
      </c>
      <c r="O217" s="21">
        <f>VLOOKUP(Таблица3[[#This Row],[Менеджер по продажам]],'Справочная информация'!B$2:C$6,2,0)</f>
        <v>0.15</v>
      </c>
      <c r="P217" s="5">
        <f>Таблица3[[#This Row],[Цена продажи с учетом персональной скидки, руб.]]*O217</f>
        <v>102.14999999999999</v>
      </c>
      <c r="Q217" s="61"/>
    </row>
    <row r="218" spans="1:17" x14ac:dyDescent="0.25">
      <c r="A218" s="10">
        <f t="shared" si="3"/>
        <v>217</v>
      </c>
      <c r="B218" s="5" t="s">
        <v>420</v>
      </c>
      <c r="C218" s="5">
        <f>IF(OR(B218="Гаврилов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8" s="5" t="s">
        <v>208</v>
      </c>
      <c r="E218" s="5" t="s">
        <v>13</v>
      </c>
      <c r="F218" s="4" t="s">
        <v>37</v>
      </c>
      <c r="G218" s="5" t="str">
        <f>VLOOKUP(Таблица3[[#This Row],[Наименование товара]],Склад!$A$3:$B$8,2,1)</f>
        <v>Porto</v>
      </c>
      <c r="H218" s="14">
        <v>44969</v>
      </c>
      <c r="I218" s="8">
        <f>INT((MONTH(Таблица3[[#This Row],[Дата продажи]])+2)/3)</f>
        <v>1</v>
      </c>
      <c r="J218" s="5">
        <f>INDEX(Склад!$A$3:$M$8, MATCH(Таблица3[[#This Row],[Наименование товара]], Склад!$A$3:$A$8, 0), 9)</f>
        <v>109.24000000000001</v>
      </c>
      <c r="K218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8" s="5">
        <v>0</v>
      </c>
      <c r="N218" s="5">
        <f>CEILING((Таблица3[[#This Row],[Цена за единицу (с учетом наценки продавца), руб.]] - Таблица3[[#This Row],[Цена за единицу (с учетом наценки продавца), руб.]]*M218),1)</f>
        <v>681</v>
      </c>
      <c r="O218" s="21">
        <f>VLOOKUP(Таблица3[[#This Row],[Менеджер по продажам]],'Справочная информация'!B$2:C$6,2,0)</f>
        <v>0.15</v>
      </c>
      <c r="P218" s="5">
        <f>Таблица3[[#This Row],[Цена продажи с учетом персональной скидки, руб.]]*O218</f>
        <v>102.14999999999999</v>
      </c>
      <c r="Q218" s="61"/>
    </row>
    <row r="219" spans="1:17" x14ac:dyDescent="0.25">
      <c r="A219" s="10">
        <f t="shared" si="3"/>
        <v>218</v>
      </c>
      <c r="B219" s="5" t="s">
        <v>420</v>
      </c>
      <c r="C219" s="5">
        <f>IF(OR(B219="Гаврилов Н.А.",Таблица3[[#This Row],[Менеджер по продажам]]="Никифорова В.М."),1,IF(Таблица3[[#This Row],[Менеджер по продажам]]="Соколов Г.П.",3,2))</f>
        <v>1</v>
      </c>
      <c r="D219" s="5" t="s">
        <v>120</v>
      </c>
      <c r="E219" s="5" t="s">
        <v>78</v>
      </c>
      <c r="F219" s="4" t="s">
        <v>37</v>
      </c>
      <c r="G219" s="5" t="str">
        <f>VLOOKUP(Таблица3[[#This Row],[Наименование товара]],Склад!$A$3:$B$8,2,1)</f>
        <v>Porto</v>
      </c>
      <c r="H219" s="14">
        <v>44951</v>
      </c>
      <c r="I219" s="8">
        <f>INT((MONTH(Таблица3[[#This Row],[Дата продажи]])+2)/3)</f>
        <v>1</v>
      </c>
      <c r="J219" s="5">
        <f>INDEX(Склад!$A$3:$M$8, MATCH(Таблица3[[#This Row],[Наименование товара]], Склад!$A$3:$A$8, 0), 9)</f>
        <v>109.24000000000001</v>
      </c>
      <c r="K219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1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19" s="5">
        <v>0</v>
      </c>
      <c r="N219" s="5">
        <f>CEILING((Таблица3[[#This Row],[Цена за единицу (с учетом наценки продавца), руб.]] - Таблица3[[#This Row],[Цена за единицу (с учетом наценки продавца), руб.]]*M219),1)</f>
        <v>681</v>
      </c>
      <c r="O219" s="21">
        <f>VLOOKUP(Таблица3[[#This Row],[Менеджер по продажам]],'Справочная информация'!B$2:C$6,2,0)</f>
        <v>0.15</v>
      </c>
      <c r="P219" s="5">
        <f>Таблица3[[#This Row],[Цена продажи с учетом персональной скидки, руб.]]*O219</f>
        <v>102.14999999999999</v>
      </c>
      <c r="Q219" s="61"/>
    </row>
    <row r="220" spans="1:17" x14ac:dyDescent="0.25">
      <c r="A220" s="10">
        <f t="shared" si="3"/>
        <v>219</v>
      </c>
      <c r="B220" s="5" t="s">
        <v>420</v>
      </c>
      <c r="C220" s="5">
        <f>IF(OR(B220="Гаврилов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0" s="5" t="s">
        <v>103</v>
      </c>
      <c r="E220" s="5" t="s">
        <v>31</v>
      </c>
      <c r="F220" s="4" t="s">
        <v>17</v>
      </c>
      <c r="G220" s="5" t="str">
        <f>VLOOKUP(Таблица3[[#This Row],[Наименование товара]],Склад!$A$3:$B$8,2,1)</f>
        <v>Porto</v>
      </c>
      <c r="H220" s="14">
        <v>44948</v>
      </c>
      <c r="I220" s="8">
        <f>INT((MONTH(Таблица3[[#This Row],[Дата продажи]])+2)/3)</f>
        <v>1</v>
      </c>
      <c r="J220" s="5">
        <f>INDEX(Склад!$A$3:$M$8, MATCH(Таблица3[[#This Row],[Наименование товара]], Склад!$A$3:$A$8, 0), 9)</f>
        <v>131.76999999999998</v>
      </c>
      <c r="K22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0" s="5">
        <v>0</v>
      </c>
      <c r="N220" s="5">
        <f>CEILING((Таблица3[[#This Row],[Цена за единицу (с учетом наценки продавца), руб.]] - Таблица3[[#This Row],[Цена за единицу (с учетом наценки продавца), руб.]]*M220),1)</f>
        <v>715</v>
      </c>
      <c r="O220" s="21">
        <f>VLOOKUP(Таблица3[[#This Row],[Менеджер по продажам]],'Справочная информация'!B$2:C$6,2,0)</f>
        <v>0.15</v>
      </c>
      <c r="P220" s="5">
        <f>Таблица3[[#This Row],[Цена продажи с учетом персональной скидки, руб.]]*O220</f>
        <v>107.25</v>
      </c>
      <c r="Q220" s="61"/>
    </row>
    <row r="221" spans="1:17" x14ac:dyDescent="0.25">
      <c r="A221" s="10">
        <f t="shared" si="3"/>
        <v>220</v>
      </c>
      <c r="B221" s="5" t="s">
        <v>420</v>
      </c>
      <c r="C221" s="5">
        <f>IF(OR(B221="Гаврилов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1" s="5" t="s">
        <v>399</v>
      </c>
      <c r="E221" s="5" t="s">
        <v>13</v>
      </c>
      <c r="F221" s="4" t="s">
        <v>17</v>
      </c>
      <c r="G221" s="5" t="str">
        <f>VLOOKUP(Таблица3[[#This Row],[Наименование товара]],Склад!$A$3:$B$8,2,1)</f>
        <v>Porto</v>
      </c>
      <c r="H221" s="14">
        <v>45012</v>
      </c>
      <c r="I221" s="8">
        <f>INT((MONTH(Таблица3[[#This Row],[Дата продажи]])+2)/3)</f>
        <v>1</v>
      </c>
      <c r="J221" s="5">
        <f>INDEX(Склад!$A$3:$M$8, MATCH(Таблица3[[#This Row],[Наименование товара]], Склад!$A$3:$A$8, 0), 9)</f>
        <v>131.76999999999998</v>
      </c>
      <c r="K22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1" s="5">
        <v>0</v>
      </c>
      <c r="N221" s="5">
        <f>CEILING((Таблица3[[#This Row],[Цена за единицу (с учетом наценки продавца), руб.]] - Таблица3[[#This Row],[Цена за единицу (с учетом наценки продавца), руб.]]*M221),1)</f>
        <v>715</v>
      </c>
      <c r="O221" s="21">
        <f>VLOOKUP(Таблица3[[#This Row],[Менеджер по продажам]],'Справочная информация'!B$2:C$6,2,0)</f>
        <v>0.15</v>
      </c>
      <c r="P221" s="5">
        <f>Таблица3[[#This Row],[Цена продажи с учетом персональной скидки, руб.]]*O221</f>
        <v>107.25</v>
      </c>
      <c r="Q221" s="61"/>
    </row>
    <row r="222" spans="1:17" x14ac:dyDescent="0.25">
      <c r="A222" s="10">
        <f t="shared" si="3"/>
        <v>221</v>
      </c>
      <c r="B222" s="5" t="s">
        <v>420</v>
      </c>
      <c r="C222" s="5">
        <f>IF(OR(B222="Гаврилов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2" s="5" t="s">
        <v>299</v>
      </c>
      <c r="E222" s="5" t="s">
        <v>11</v>
      </c>
      <c r="F222" s="4" t="s">
        <v>17</v>
      </c>
      <c r="G222" s="5" t="str">
        <f>VLOOKUP(Таблица3[[#This Row],[Наименование товара]],Склад!$A$3:$B$8,2,1)</f>
        <v>Porto</v>
      </c>
      <c r="H222" s="14">
        <v>44992</v>
      </c>
      <c r="I222" s="8">
        <f>INT((MONTH(Таблица3[[#This Row],[Дата продажи]])+2)/3)</f>
        <v>1</v>
      </c>
      <c r="J222" s="5">
        <f>INDEX(Склад!$A$3:$M$8, MATCH(Таблица3[[#This Row],[Наименование товара]], Склад!$A$3:$A$8, 0), 9)</f>
        <v>131.76999999999998</v>
      </c>
      <c r="K22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2" s="5">
        <v>0</v>
      </c>
      <c r="N222" s="5">
        <f>CEILING((Таблица3[[#This Row],[Цена за единицу (с учетом наценки продавца), руб.]] - Таблица3[[#This Row],[Цена за единицу (с учетом наценки продавца), руб.]]*M222),1)</f>
        <v>715</v>
      </c>
      <c r="O222" s="21">
        <f>VLOOKUP(Таблица3[[#This Row],[Менеджер по продажам]],'Справочная информация'!B$2:C$6,2,0)</f>
        <v>0.15</v>
      </c>
      <c r="P222" s="5">
        <f>Таблица3[[#This Row],[Цена продажи с учетом персональной скидки, руб.]]*O222</f>
        <v>107.25</v>
      </c>
      <c r="Q222" s="61"/>
    </row>
    <row r="223" spans="1:17" x14ac:dyDescent="0.25">
      <c r="A223" s="10">
        <f t="shared" si="3"/>
        <v>222</v>
      </c>
      <c r="B223" s="5" t="s">
        <v>420</v>
      </c>
      <c r="C223" s="5">
        <f>IF(OR(B223="Гаврилов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3" s="5" t="s">
        <v>350</v>
      </c>
      <c r="E223" s="5" t="s">
        <v>31</v>
      </c>
      <c r="F223" s="4" t="s">
        <v>17</v>
      </c>
      <c r="G223" s="5" t="str">
        <f>VLOOKUP(Таблица3[[#This Row],[Наименование товара]],Склад!$A$3:$B$8,2,1)</f>
        <v>Porto</v>
      </c>
      <c r="H223" s="14">
        <v>45003</v>
      </c>
      <c r="I223" s="8">
        <f>INT((MONTH(Таблица3[[#This Row],[Дата продажи]])+2)/3)</f>
        <v>1</v>
      </c>
      <c r="J223" s="5">
        <f>INDEX(Склад!$A$3:$M$8, MATCH(Таблица3[[#This Row],[Наименование товара]], Склад!$A$3:$A$8, 0), 9)</f>
        <v>131.76999999999998</v>
      </c>
      <c r="K22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3" s="5">
        <v>0</v>
      </c>
      <c r="N223" s="5">
        <f>CEILING((Таблица3[[#This Row],[Цена за единицу (с учетом наценки продавца), руб.]] - Таблица3[[#This Row],[Цена за единицу (с учетом наценки продавца), руб.]]*M223),1)</f>
        <v>715</v>
      </c>
      <c r="O223" s="21">
        <f>VLOOKUP(Таблица3[[#This Row],[Менеджер по продажам]],'Справочная информация'!B$2:C$6,2,0)</f>
        <v>0.15</v>
      </c>
      <c r="P223" s="5">
        <f>Таблица3[[#This Row],[Цена продажи с учетом персональной скидки, руб.]]*O223</f>
        <v>107.25</v>
      </c>
      <c r="Q223" s="61"/>
    </row>
    <row r="224" spans="1:17" x14ac:dyDescent="0.25">
      <c r="A224" s="10">
        <f t="shared" si="3"/>
        <v>223</v>
      </c>
      <c r="B224" s="5" t="s">
        <v>420</v>
      </c>
      <c r="C224" s="5">
        <f>IF(OR(B224="Гаврилов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4" s="5" t="s">
        <v>159</v>
      </c>
      <c r="E224" s="5" t="s">
        <v>78</v>
      </c>
      <c r="F224" s="4" t="s">
        <v>17</v>
      </c>
      <c r="G224" s="5" t="str">
        <f>VLOOKUP(Таблица3[[#This Row],[Наименование товара]],Склад!$A$3:$B$8,2,1)</f>
        <v>Porto</v>
      </c>
      <c r="H224" s="14">
        <v>44960</v>
      </c>
      <c r="I224" s="8">
        <f>INT((MONTH(Таблица3[[#This Row],[Дата продажи]])+2)/3)</f>
        <v>1</v>
      </c>
      <c r="J224" s="5">
        <f>INDEX(Склад!$A$3:$M$8, MATCH(Таблица3[[#This Row],[Наименование товара]], Склад!$A$3:$A$8, 0), 9)</f>
        <v>131.76999999999998</v>
      </c>
      <c r="K22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4" s="5">
        <v>0</v>
      </c>
      <c r="N224" s="5">
        <f>CEILING((Таблица3[[#This Row],[Цена за единицу (с учетом наценки продавца), руб.]] - Таблица3[[#This Row],[Цена за единицу (с учетом наценки продавца), руб.]]*M224),1)</f>
        <v>715</v>
      </c>
      <c r="O224" s="21">
        <f>VLOOKUP(Таблица3[[#This Row],[Менеджер по продажам]],'Справочная информация'!B$2:C$6,2,0)</f>
        <v>0.15</v>
      </c>
      <c r="P224" s="5">
        <f>Таблица3[[#This Row],[Цена продажи с учетом персональной скидки, руб.]]*O224</f>
        <v>107.25</v>
      </c>
      <c r="Q224" s="61"/>
    </row>
    <row r="225" spans="1:17" x14ac:dyDescent="0.25">
      <c r="A225" s="10">
        <f t="shared" si="3"/>
        <v>224</v>
      </c>
      <c r="B225" s="5" t="s">
        <v>420</v>
      </c>
      <c r="C225" s="5">
        <f>IF(OR(B225="Гаврилов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5" s="5" t="s">
        <v>361</v>
      </c>
      <c r="E225" s="5" t="s">
        <v>11</v>
      </c>
      <c r="F225" s="4" t="s">
        <v>17</v>
      </c>
      <c r="G225" s="5" t="str">
        <f>VLOOKUP(Таблица3[[#This Row],[Наименование товара]],Склад!$A$3:$B$8,2,1)</f>
        <v>Porto</v>
      </c>
      <c r="H225" s="14">
        <v>45005</v>
      </c>
      <c r="I225" s="8">
        <f>INT((MONTH(Таблица3[[#This Row],[Дата продажи]])+2)/3)</f>
        <v>1</v>
      </c>
      <c r="J225" s="5">
        <f>INDEX(Склад!$A$3:$M$8, MATCH(Таблица3[[#This Row],[Наименование товара]], Склад!$A$3:$A$8, 0), 9)</f>
        <v>131.76999999999998</v>
      </c>
      <c r="K22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5" s="5">
        <v>0</v>
      </c>
      <c r="N225" s="5">
        <f>CEILING((Таблица3[[#This Row],[Цена за единицу (с учетом наценки продавца), руб.]] - Таблица3[[#This Row],[Цена за единицу (с учетом наценки продавца), руб.]]*M225),1)</f>
        <v>715</v>
      </c>
      <c r="O225" s="21">
        <f>VLOOKUP(Таблица3[[#This Row],[Менеджер по продажам]],'Справочная информация'!B$2:C$6,2,0)</f>
        <v>0.15</v>
      </c>
      <c r="P225" s="5">
        <f>Таблица3[[#This Row],[Цена продажи с учетом персональной скидки, руб.]]*O225</f>
        <v>107.25</v>
      </c>
      <c r="Q225" s="61"/>
    </row>
    <row r="226" spans="1:17" x14ac:dyDescent="0.25">
      <c r="A226" s="10">
        <f t="shared" si="3"/>
        <v>225</v>
      </c>
      <c r="B226" s="5" t="s">
        <v>420</v>
      </c>
      <c r="C226" s="5">
        <f>IF(OR(B226="Гаврилов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6" s="5" t="s">
        <v>306</v>
      </c>
      <c r="E226" s="5" t="s">
        <v>94</v>
      </c>
      <c r="F226" s="4" t="s">
        <v>17</v>
      </c>
      <c r="G226" s="5" t="str">
        <f>VLOOKUP(Таблица3[[#This Row],[Наименование товара]],Склад!$A$3:$B$8,2,1)</f>
        <v>Porto</v>
      </c>
      <c r="H226" s="14">
        <v>44994</v>
      </c>
      <c r="I226" s="8">
        <f>INT((MONTH(Таблица3[[#This Row],[Дата продажи]])+2)/3)</f>
        <v>1</v>
      </c>
      <c r="J226" s="5">
        <f>INDEX(Склад!$A$3:$M$8, MATCH(Таблица3[[#This Row],[Наименование товара]], Склад!$A$3:$A$8, 0), 9)</f>
        <v>131.76999999999998</v>
      </c>
      <c r="K22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6" s="5">
        <v>0</v>
      </c>
      <c r="N226" s="5">
        <f>CEILING((Таблица3[[#This Row],[Цена за единицу (с учетом наценки продавца), руб.]] - Таблица3[[#This Row],[Цена за единицу (с учетом наценки продавца), руб.]]*M226),1)</f>
        <v>715</v>
      </c>
      <c r="O226" s="21">
        <f>VLOOKUP(Таблица3[[#This Row],[Менеджер по продажам]],'Справочная информация'!B$2:C$6,2,0)</f>
        <v>0.15</v>
      </c>
      <c r="P226" s="5">
        <f>Таблица3[[#This Row],[Цена продажи с учетом персональной скидки, руб.]]*O226</f>
        <v>107.25</v>
      </c>
      <c r="Q226" s="61"/>
    </row>
    <row r="227" spans="1:17" x14ac:dyDescent="0.25">
      <c r="A227" s="10">
        <f t="shared" si="3"/>
        <v>226</v>
      </c>
      <c r="B227" s="5" t="s">
        <v>420</v>
      </c>
      <c r="C227" s="5">
        <f>IF(OR(B227="Гаврилов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7" s="5" t="s">
        <v>409</v>
      </c>
      <c r="E227" s="5" t="s">
        <v>94</v>
      </c>
      <c r="F227" s="4" t="s">
        <v>17</v>
      </c>
      <c r="G227" s="5" t="str">
        <f>VLOOKUP(Таблица3[[#This Row],[Наименование товара]],Склад!$A$3:$B$8,2,1)</f>
        <v>Porto</v>
      </c>
      <c r="H227" s="14">
        <v>45015</v>
      </c>
      <c r="I227" s="8">
        <f>INT((MONTH(Таблица3[[#This Row],[Дата продажи]])+2)/3)</f>
        <v>1</v>
      </c>
      <c r="J227" s="5">
        <f>INDEX(Склад!$A$3:$M$8, MATCH(Таблица3[[#This Row],[Наименование товара]], Склад!$A$3:$A$8, 0), 9)</f>
        <v>131.76999999999998</v>
      </c>
      <c r="K22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7" s="5">
        <v>0</v>
      </c>
      <c r="N227" s="5">
        <f>CEILING((Таблица3[[#This Row],[Цена за единицу (с учетом наценки продавца), руб.]] - Таблица3[[#This Row],[Цена за единицу (с учетом наценки продавца), руб.]]*M227),1)</f>
        <v>715</v>
      </c>
      <c r="O227" s="21">
        <f>VLOOKUP(Таблица3[[#This Row],[Менеджер по продажам]],'Справочная информация'!B$2:C$6,2,0)</f>
        <v>0.15</v>
      </c>
      <c r="P227" s="5">
        <f>Таблица3[[#This Row],[Цена продажи с учетом персональной скидки, руб.]]*O227</f>
        <v>107.25</v>
      </c>
      <c r="Q227" s="61"/>
    </row>
    <row r="228" spans="1:17" x14ac:dyDescent="0.25">
      <c r="A228" s="10">
        <f t="shared" si="3"/>
        <v>227</v>
      </c>
      <c r="B228" s="5" t="s">
        <v>420</v>
      </c>
      <c r="C228" s="5">
        <f>IF(OR(B228="Гаврилов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8" s="5" t="s">
        <v>244</v>
      </c>
      <c r="E228" s="5" t="s">
        <v>94</v>
      </c>
      <c r="F228" s="4" t="s">
        <v>17</v>
      </c>
      <c r="G228" s="5" t="str">
        <f>VLOOKUP(Таблица3[[#This Row],[Наименование товара]],Склад!$A$3:$B$8,2,1)</f>
        <v>Porto</v>
      </c>
      <c r="H228" s="14">
        <v>44979</v>
      </c>
      <c r="I228" s="8">
        <f>INT((MONTH(Таблица3[[#This Row],[Дата продажи]])+2)/3)</f>
        <v>1</v>
      </c>
      <c r="J228" s="5">
        <f>INDEX(Склад!$A$3:$M$8, MATCH(Таблица3[[#This Row],[Наименование товара]], Склад!$A$3:$A$8, 0), 9)</f>
        <v>131.76999999999998</v>
      </c>
      <c r="K22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8" s="5">
        <v>0</v>
      </c>
      <c r="N228" s="5">
        <f>CEILING((Таблица3[[#This Row],[Цена за единицу (с учетом наценки продавца), руб.]] - Таблица3[[#This Row],[Цена за единицу (с учетом наценки продавца), руб.]]*M228),1)</f>
        <v>715</v>
      </c>
      <c r="O228" s="21">
        <f>VLOOKUP(Таблица3[[#This Row],[Менеджер по продажам]],'Справочная информация'!B$2:C$6,2,0)</f>
        <v>0.15</v>
      </c>
      <c r="P228" s="5">
        <f>Таблица3[[#This Row],[Цена продажи с учетом персональной скидки, руб.]]*O228</f>
        <v>107.25</v>
      </c>
      <c r="Q228" s="61"/>
    </row>
    <row r="229" spans="1:17" x14ac:dyDescent="0.25">
      <c r="A229" s="10">
        <f t="shared" si="3"/>
        <v>228</v>
      </c>
      <c r="B229" s="5" t="s">
        <v>420</v>
      </c>
      <c r="C229" s="5">
        <f>IF(OR(B229="Гаврилов Н.А.",Таблица3[[#This Row],[Менеджер по продажам]]="Никифорова В.М."),1,IF(Таблица3[[#This Row],[Менеджер по продажам]]="Соколов Г.П.",3,2))</f>
        <v>1</v>
      </c>
      <c r="D229" s="5" t="s">
        <v>147</v>
      </c>
      <c r="E229" s="5" t="s">
        <v>13</v>
      </c>
      <c r="F229" s="4" t="s">
        <v>17</v>
      </c>
      <c r="G229" s="5" t="str">
        <f>VLOOKUP(Таблица3[[#This Row],[Наименование товара]],Склад!$A$3:$B$8,2,1)</f>
        <v>Porto</v>
      </c>
      <c r="H229" s="14">
        <v>44957</v>
      </c>
      <c r="I229" s="8">
        <f>INT((MONTH(Таблица3[[#This Row],[Дата продажи]])+2)/3)</f>
        <v>1</v>
      </c>
      <c r="J229" s="5">
        <f>INDEX(Склад!$A$3:$M$8, MATCH(Таблица3[[#This Row],[Наименование товара]], Склад!$A$3:$A$8, 0), 9)</f>
        <v>131.76999999999998</v>
      </c>
      <c r="K22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2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29" s="5">
        <v>0</v>
      </c>
      <c r="N229" s="5">
        <f>CEILING((Таблица3[[#This Row],[Цена за единицу (с учетом наценки продавца), руб.]] - Таблица3[[#This Row],[Цена за единицу (с учетом наценки продавца), руб.]]*M229),1)</f>
        <v>715</v>
      </c>
      <c r="O229" s="21">
        <f>VLOOKUP(Таблица3[[#This Row],[Менеджер по продажам]],'Справочная информация'!B$2:C$6,2,0)</f>
        <v>0.15</v>
      </c>
      <c r="P229" s="5">
        <f>Таблица3[[#This Row],[Цена продажи с учетом персональной скидки, руб.]]*O229</f>
        <v>107.25</v>
      </c>
      <c r="Q229" s="61"/>
    </row>
    <row r="230" spans="1:17" x14ac:dyDescent="0.25">
      <c r="A230" s="10">
        <f t="shared" si="3"/>
        <v>229</v>
      </c>
      <c r="B230" s="5" t="s">
        <v>420</v>
      </c>
      <c r="C230" s="5">
        <f>IF(OR(B230="Гаврилов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0" s="5" t="s">
        <v>167</v>
      </c>
      <c r="E230" s="5" t="s">
        <v>13</v>
      </c>
      <c r="F230" s="4" t="s">
        <v>17</v>
      </c>
      <c r="G230" s="5" t="str">
        <f>VLOOKUP(Таблица3[[#This Row],[Наименование товара]],Склад!$A$3:$B$8,2,1)</f>
        <v>Porto</v>
      </c>
      <c r="H230" s="14">
        <v>44961</v>
      </c>
      <c r="I230" s="8">
        <f>INT((MONTH(Таблица3[[#This Row],[Дата продажи]])+2)/3)</f>
        <v>1</v>
      </c>
      <c r="J230" s="5">
        <f>INDEX(Склад!$A$3:$M$8, MATCH(Таблица3[[#This Row],[Наименование товара]], Склад!$A$3:$A$8, 0), 9)</f>
        <v>131.76999999999998</v>
      </c>
      <c r="K23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3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30" s="5">
        <v>0</v>
      </c>
      <c r="N230" s="5">
        <f>CEILING((Таблица3[[#This Row],[Цена за единицу (с учетом наценки продавца), руб.]] - Таблица3[[#This Row],[Цена за единицу (с учетом наценки продавца), руб.]]*M230),1)</f>
        <v>715</v>
      </c>
      <c r="O230" s="21">
        <f>VLOOKUP(Таблица3[[#This Row],[Менеджер по продажам]],'Справочная информация'!B$2:C$6,2,0)</f>
        <v>0.15</v>
      </c>
      <c r="P230" s="5">
        <f>Таблица3[[#This Row],[Цена продажи с учетом персональной скидки, руб.]]*O230</f>
        <v>107.25</v>
      </c>
      <c r="Q230" s="61"/>
    </row>
    <row r="231" spans="1:17" x14ac:dyDescent="0.25">
      <c r="A231" s="10">
        <f t="shared" si="3"/>
        <v>230</v>
      </c>
      <c r="B231" s="5" t="s">
        <v>420</v>
      </c>
      <c r="C231" s="5">
        <f>IF(OR(B231="Гаврилов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1" s="5" t="s">
        <v>30</v>
      </c>
      <c r="E231" s="5" t="s">
        <v>31</v>
      </c>
      <c r="F231" s="4" t="s">
        <v>17</v>
      </c>
      <c r="G231" s="5" t="str">
        <f>VLOOKUP(Таблица3[[#This Row],[Наименование товара]],Склад!$A$3:$B$8,2,1)</f>
        <v>Porto</v>
      </c>
      <c r="H231" s="14">
        <v>44931</v>
      </c>
      <c r="I231" s="8">
        <f>INT((MONTH(Таблица3[[#This Row],[Дата продажи]])+2)/3)</f>
        <v>1</v>
      </c>
      <c r="J231" s="5">
        <f>INDEX(Склад!$A$3:$M$8, MATCH(Таблица3[[#This Row],[Наименование товара]], Склад!$A$3:$A$8, 0), 9)</f>
        <v>131.76999999999998</v>
      </c>
      <c r="K23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3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31" s="5">
        <v>0</v>
      </c>
      <c r="N231" s="5">
        <f>CEILING((Таблица3[[#This Row],[Цена за единицу (с учетом наценки продавца), руб.]] - Таблица3[[#This Row],[Цена за единицу (с учетом наценки продавца), руб.]]*M231),1)</f>
        <v>715</v>
      </c>
      <c r="O231" s="21">
        <f>VLOOKUP(Таблица3[[#This Row],[Менеджер по продажам]],'Справочная информация'!B$2:C$6,2,0)</f>
        <v>0.15</v>
      </c>
      <c r="P231" s="5">
        <f>Таблица3[[#This Row],[Цена продажи с учетом персональной скидки, руб.]]*O231</f>
        <v>107.25</v>
      </c>
      <c r="Q231" s="61"/>
    </row>
    <row r="232" spans="1:17" x14ac:dyDescent="0.25">
      <c r="A232" s="10">
        <f t="shared" si="3"/>
        <v>231</v>
      </c>
      <c r="B232" s="5" t="s">
        <v>420</v>
      </c>
      <c r="C232" s="5">
        <f>IF(OR(B232="Гаврилов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2" s="5" t="s">
        <v>377</v>
      </c>
      <c r="E232" s="5" t="s">
        <v>11</v>
      </c>
      <c r="F232" s="4" t="s">
        <v>17</v>
      </c>
      <c r="G232" s="5" t="str">
        <f>VLOOKUP(Таблица3[[#This Row],[Наименование товара]],Склад!$A$3:$B$8,2,1)</f>
        <v>Porto</v>
      </c>
      <c r="H232" s="14">
        <v>45008</v>
      </c>
      <c r="I232" s="8">
        <f>INT((MONTH(Таблица3[[#This Row],[Дата продажи]])+2)/3)</f>
        <v>1</v>
      </c>
      <c r="J232" s="5">
        <f>INDEX(Склад!$A$3:$M$8, MATCH(Таблица3[[#This Row],[Наименование товара]], Склад!$A$3:$A$8, 0), 9)</f>
        <v>131.76999999999998</v>
      </c>
      <c r="K23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23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232" s="5">
        <v>0</v>
      </c>
      <c r="N232" s="5">
        <f>CEILING((Таблица3[[#This Row],[Цена за единицу (с учетом наценки продавца), руб.]] - Таблица3[[#This Row],[Цена за единицу (с учетом наценки продавца), руб.]]*M232),1)</f>
        <v>715</v>
      </c>
      <c r="O232" s="21">
        <f>VLOOKUP(Таблица3[[#This Row],[Менеджер по продажам]],'Справочная информация'!B$2:C$6,2,0)</f>
        <v>0.15</v>
      </c>
      <c r="P232" s="5">
        <f>Таблица3[[#This Row],[Цена продажи с учетом персональной скидки, руб.]]*O232</f>
        <v>107.25</v>
      </c>
      <c r="Q232" s="61"/>
    </row>
    <row r="233" spans="1:17" x14ac:dyDescent="0.25">
      <c r="A233" s="10">
        <f t="shared" si="3"/>
        <v>232</v>
      </c>
      <c r="B233" s="5" t="s">
        <v>420</v>
      </c>
      <c r="C233" s="5">
        <f>IF(OR(B233="Гаврилов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3" s="5" t="s">
        <v>14</v>
      </c>
      <c r="E233" s="5" t="s">
        <v>11</v>
      </c>
      <c r="F233" s="4" t="s">
        <v>15</v>
      </c>
      <c r="G233" s="5" t="str">
        <f>VLOOKUP(Таблица3[[#This Row],[Наименование товара]],Склад!$A$3:$B$8,2,1)</f>
        <v>Gmt</v>
      </c>
      <c r="H233" s="14">
        <v>44928</v>
      </c>
      <c r="I233" s="8">
        <f>INT((MONTH(Таблица3[[#This Row],[Дата продажи]])+2)/3)</f>
        <v>1</v>
      </c>
      <c r="J233" s="5">
        <f>INDEX(Склад!$A$3:$M$8, MATCH(Таблица3[[#This Row],[Наименование товара]], Склад!$A$3:$A$8, 0), 9)</f>
        <v>314.15999999999997</v>
      </c>
      <c r="K23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3" s="5">
        <v>0</v>
      </c>
      <c r="N233" s="5">
        <f>CEILING((Таблица3[[#This Row],[Цена за единицу (с учетом наценки продавца), руб.]] - Таблица3[[#This Row],[Цена за единицу (с учетом наценки продавца), руб.]]*M233),1)</f>
        <v>1120</v>
      </c>
      <c r="O233" s="21">
        <f>VLOOKUP(Таблица3[[#This Row],[Менеджер по продажам]],'Справочная информация'!B$2:C$6,2,0)</f>
        <v>0.15</v>
      </c>
      <c r="P233" s="5">
        <f>Таблица3[[#This Row],[Цена продажи с учетом персональной скидки, руб.]]*O233</f>
        <v>168</v>
      </c>
      <c r="Q233" s="61"/>
    </row>
    <row r="234" spans="1:17" x14ac:dyDescent="0.25">
      <c r="A234" s="10">
        <f t="shared" si="3"/>
        <v>233</v>
      </c>
      <c r="B234" s="5" t="s">
        <v>420</v>
      </c>
      <c r="C234" s="5">
        <f>IF(OR(B234="Гаврилов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4" s="5" t="s">
        <v>359</v>
      </c>
      <c r="E234" s="5" t="s">
        <v>11</v>
      </c>
      <c r="F234" s="4" t="s">
        <v>15</v>
      </c>
      <c r="G234" s="5" t="str">
        <f>VLOOKUP(Таблица3[[#This Row],[Наименование товара]],Склад!$A$3:$B$8,2,1)</f>
        <v>Gmt</v>
      </c>
      <c r="H234" s="14">
        <v>45005</v>
      </c>
      <c r="I234" s="8">
        <f>INT((MONTH(Таблица3[[#This Row],[Дата продажи]])+2)/3)</f>
        <v>1</v>
      </c>
      <c r="J234" s="5">
        <f>INDEX(Склад!$A$3:$M$8, MATCH(Таблица3[[#This Row],[Наименование товара]], Склад!$A$3:$A$8, 0), 9)</f>
        <v>314.15999999999997</v>
      </c>
      <c r="K23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4" s="5">
        <v>0</v>
      </c>
      <c r="N234" s="5">
        <f>CEILING((Таблица3[[#This Row],[Цена за единицу (с учетом наценки продавца), руб.]] - Таблица3[[#This Row],[Цена за единицу (с учетом наценки продавца), руб.]]*M234),1)</f>
        <v>1120</v>
      </c>
      <c r="O234" s="21">
        <f>VLOOKUP(Таблица3[[#This Row],[Менеджер по продажам]],'Справочная информация'!B$2:C$6,2,0)</f>
        <v>0.15</v>
      </c>
      <c r="P234" s="5">
        <f>Таблица3[[#This Row],[Цена продажи с учетом персональной скидки, руб.]]*O234</f>
        <v>168</v>
      </c>
      <c r="Q234" s="61"/>
    </row>
    <row r="235" spans="1:17" x14ac:dyDescent="0.25">
      <c r="A235" s="10">
        <f t="shared" si="3"/>
        <v>234</v>
      </c>
      <c r="B235" s="5" t="s">
        <v>420</v>
      </c>
      <c r="C235" s="5">
        <f>IF(OR(B235="Гаврилов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5" s="5" t="s">
        <v>171</v>
      </c>
      <c r="E235" s="5" t="s">
        <v>13</v>
      </c>
      <c r="F235" s="4" t="s">
        <v>15</v>
      </c>
      <c r="G235" s="5" t="str">
        <f>VLOOKUP(Таблица3[[#This Row],[Наименование товара]],Склад!$A$3:$B$8,2,1)</f>
        <v>Gmt</v>
      </c>
      <c r="H235" s="14">
        <v>44962</v>
      </c>
      <c r="I235" s="8">
        <f>INT((MONTH(Таблица3[[#This Row],[Дата продажи]])+2)/3)</f>
        <v>1</v>
      </c>
      <c r="J235" s="5">
        <f>INDEX(Склад!$A$3:$M$8, MATCH(Таблица3[[#This Row],[Наименование товара]], Склад!$A$3:$A$8, 0), 9)</f>
        <v>314.15999999999997</v>
      </c>
      <c r="K235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5" s="5">
        <v>0</v>
      </c>
      <c r="N235" s="5">
        <f>CEILING((Таблица3[[#This Row],[Цена за единицу (с учетом наценки продавца), руб.]] - Таблица3[[#This Row],[Цена за единицу (с учетом наценки продавца), руб.]]*M235),1)</f>
        <v>1120</v>
      </c>
      <c r="O235" s="21">
        <f>VLOOKUP(Таблица3[[#This Row],[Менеджер по продажам]],'Справочная информация'!B$2:C$6,2,0)</f>
        <v>0.15</v>
      </c>
      <c r="P235" s="5">
        <f>Таблица3[[#This Row],[Цена продажи с учетом персональной скидки, руб.]]*O235</f>
        <v>168</v>
      </c>
      <c r="Q235" s="61"/>
    </row>
    <row r="236" spans="1:17" x14ac:dyDescent="0.25">
      <c r="A236" s="10">
        <f t="shared" si="3"/>
        <v>235</v>
      </c>
      <c r="B236" s="5" t="s">
        <v>420</v>
      </c>
      <c r="C236" s="5">
        <f>IF(OR(B236="Гаврилов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6" s="5" t="s">
        <v>222</v>
      </c>
      <c r="E236" s="5" t="s">
        <v>94</v>
      </c>
      <c r="F236" s="4" t="s">
        <v>15</v>
      </c>
      <c r="G236" s="5" t="str">
        <f>VLOOKUP(Таблица3[[#This Row],[Наименование товара]],Склад!$A$3:$B$8,2,1)</f>
        <v>Gmt</v>
      </c>
      <c r="H236" s="14">
        <v>44973</v>
      </c>
      <c r="I236" s="8">
        <f>INT((MONTH(Таблица3[[#This Row],[Дата продажи]])+2)/3)</f>
        <v>1</v>
      </c>
      <c r="J236" s="5">
        <f>INDEX(Склад!$A$3:$M$8, MATCH(Таблица3[[#This Row],[Наименование товара]], Склад!$A$3:$A$8, 0), 9)</f>
        <v>314.15999999999997</v>
      </c>
      <c r="K236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6" s="5">
        <v>0</v>
      </c>
      <c r="N236" s="5">
        <f>CEILING((Таблица3[[#This Row],[Цена за единицу (с учетом наценки продавца), руб.]] - Таблица3[[#This Row],[Цена за единицу (с учетом наценки продавца), руб.]]*M236),1)</f>
        <v>1120</v>
      </c>
      <c r="O236" s="21">
        <f>VLOOKUP(Таблица3[[#This Row],[Менеджер по продажам]],'Справочная информация'!B$2:C$6,2,0)</f>
        <v>0.15</v>
      </c>
      <c r="P236" s="5">
        <f>Таблица3[[#This Row],[Цена продажи с учетом персональной скидки, руб.]]*O236</f>
        <v>168</v>
      </c>
      <c r="Q236" s="61"/>
    </row>
    <row r="237" spans="1:17" x14ac:dyDescent="0.25">
      <c r="A237" s="10">
        <f t="shared" si="3"/>
        <v>236</v>
      </c>
      <c r="B237" s="5" t="s">
        <v>420</v>
      </c>
      <c r="C237" s="5">
        <f>IF(OR(B237="Гаврилов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7" s="5" t="s">
        <v>329</v>
      </c>
      <c r="E237" s="5" t="s">
        <v>94</v>
      </c>
      <c r="F237" s="4" t="s">
        <v>15</v>
      </c>
      <c r="G237" s="5" t="str">
        <f>VLOOKUP(Таблица3[[#This Row],[Наименование товара]],Склад!$A$3:$B$8,2,1)</f>
        <v>Gmt</v>
      </c>
      <c r="H237" s="14">
        <v>44999</v>
      </c>
      <c r="I237" s="8">
        <f>INT((MONTH(Таблица3[[#This Row],[Дата продажи]])+2)/3)</f>
        <v>1</v>
      </c>
      <c r="J237" s="5">
        <f>INDEX(Склад!$A$3:$M$8, MATCH(Таблица3[[#This Row],[Наименование товара]], Склад!$A$3:$A$8, 0), 9)</f>
        <v>314.15999999999997</v>
      </c>
      <c r="K237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7" s="5">
        <v>0</v>
      </c>
      <c r="N237" s="5">
        <f>CEILING((Таблица3[[#This Row],[Цена за единицу (с учетом наценки продавца), руб.]] - Таблица3[[#This Row],[Цена за единицу (с учетом наценки продавца), руб.]]*M237),1)</f>
        <v>1120</v>
      </c>
      <c r="O237" s="21">
        <f>VLOOKUP(Таблица3[[#This Row],[Менеджер по продажам]],'Справочная информация'!B$2:C$6,2,0)</f>
        <v>0.15</v>
      </c>
      <c r="P237" s="5">
        <f>Таблица3[[#This Row],[Цена продажи с учетом персональной скидки, руб.]]*O237</f>
        <v>168</v>
      </c>
      <c r="Q237" s="61"/>
    </row>
    <row r="238" spans="1:17" x14ac:dyDescent="0.25">
      <c r="A238" s="10">
        <f t="shared" si="3"/>
        <v>237</v>
      </c>
      <c r="B238" s="5" t="s">
        <v>420</v>
      </c>
      <c r="C238" s="5">
        <f>IF(OR(B238="Гаврилов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8" s="5" t="s">
        <v>370</v>
      </c>
      <c r="E238" s="5" t="s">
        <v>11</v>
      </c>
      <c r="F238" s="4" t="s">
        <v>15</v>
      </c>
      <c r="G238" s="5" t="str">
        <f>VLOOKUP(Таблица3[[#This Row],[Наименование товара]],Склад!$A$3:$B$8,2,1)</f>
        <v>Gmt</v>
      </c>
      <c r="H238" s="14">
        <v>45007</v>
      </c>
      <c r="I238" s="8">
        <f>INT((MONTH(Таблица3[[#This Row],[Дата продажи]])+2)/3)</f>
        <v>1</v>
      </c>
      <c r="J238" s="5">
        <f>INDEX(Склад!$A$3:$M$8, MATCH(Таблица3[[#This Row],[Наименование товара]], Склад!$A$3:$A$8, 0), 9)</f>
        <v>314.15999999999997</v>
      </c>
      <c r="K238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8" s="5">
        <v>0</v>
      </c>
      <c r="N238" s="5">
        <f>CEILING((Таблица3[[#This Row],[Цена за единицу (с учетом наценки продавца), руб.]] - Таблица3[[#This Row],[Цена за единицу (с учетом наценки продавца), руб.]]*M238),1)</f>
        <v>1120</v>
      </c>
      <c r="O238" s="21">
        <f>VLOOKUP(Таблица3[[#This Row],[Менеджер по продажам]],'Справочная информация'!B$2:C$6,2,0)</f>
        <v>0.15</v>
      </c>
      <c r="P238" s="5">
        <f>Таблица3[[#This Row],[Цена продажи с учетом персональной скидки, руб.]]*O238</f>
        <v>168</v>
      </c>
      <c r="Q238" s="61"/>
    </row>
    <row r="239" spans="1:17" x14ac:dyDescent="0.25">
      <c r="A239" s="10">
        <f t="shared" si="3"/>
        <v>238</v>
      </c>
      <c r="B239" s="5" t="s">
        <v>420</v>
      </c>
      <c r="C239" s="5">
        <f>IF(OR(B239="Гаврилов Н.А.",Таблица3[[#This Row],[Менеджер по продажам]]="Никифорова В.М."),1,IF(Таблица3[[#This Row],[Менеджер по продажам]]="Соколов Г.П.",3,2))</f>
        <v>1</v>
      </c>
      <c r="D239" s="5" t="s">
        <v>405</v>
      </c>
      <c r="E239" s="5" t="s">
        <v>94</v>
      </c>
      <c r="F239" s="4" t="s">
        <v>15</v>
      </c>
      <c r="G239" s="5" t="str">
        <f>VLOOKUP(Таблица3[[#This Row],[Наименование товара]],Склад!$A$3:$B$8,2,1)</f>
        <v>Gmt</v>
      </c>
      <c r="H239" s="14">
        <v>45013</v>
      </c>
      <c r="I239" s="8">
        <f>INT((MONTH(Таблица3[[#This Row],[Дата продажи]])+2)/3)</f>
        <v>1</v>
      </c>
      <c r="J239" s="5">
        <f>INDEX(Склад!$A$3:$M$8, MATCH(Таблица3[[#This Row],[Наименование товара]], Склад!$A$3:$A$8, 0), 9)</f>
        <v>314.15999999999997</v>
      </c>
      <c r="K239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3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39" s="5">
        <v>0</v>
      </c>
      <c r="N239" s="5">
        <f>CEILING((Таблица3[[#This Row],[Цена за единицу (с учетом наценки продавца), руб.]] - Таблица3[[#This Row],[Цена за единицу (с учетом наценки продавца), руб.]]*M239),1)</f>
        <v>1120</v>
      </c>
      <c r="O239" s="21">
        <f>VLOOKUP(Таблица3[[#This Row],[Менеджер по продажам]],'Справочная информация'!B$2:C$6,2,0)</f>
        <v>0.15</v>
      </c>
      <c r="P239" s="5">
        <f>Таблица3[[#This Row],[Цена продажи с учетом персональной скидки, руб.]]*O239</f>
        <v>168</v>
      </c>
      <c r="Q239" s="61"/>
    </row>
    <row r="240" spans="1:17" x14ac:dyDescent="0.25">
      <c r="A240" s="10">
        <f t="shared" si="3"/>
        <v>239</v>
      </c>
      <c r="B240" s="5" t="s">
        <v>420</v>
      </c>
      <c r="C240" s="5">
        <f>IF(OR(B240="Гаврилов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0" s="5" t="s">
        <v>284</v>
      </c>
      <c r="E240" s="5" t="s">
        <v>212</v>
      </c>
      <c r="F240" s="4" t="s">
        <v>15</v>
      </c>
      <c r="G240" s="5" t="str">
        <f>VLOOKUP(Таблица3[[#This Row],[Наименование товара]],Склад!$A$3:$B$8,2,1)</f>
        <v>Gmt</v>
      </c>
      <c r="H240" s="14">
        <v>44989</v>
      </c>
      <c r="I240" s="8">
        <f>INT((MONTH(Таблица3[[#This Row],[Дата продажи]])+2)/3)</f>
        <v>1</v>
      </c>
      <c r="J240" s="5">
        <f>INDEX(Склад!$A$3:$M$8, MATCH(Таблица3[[#This Row],[Наименование товара]], Склад!$A$3:$A$8, 0), 9)</f>
        <v>314.15999999999997</v>
      </c>
      <c r="K240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4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40" s="5">
        <v>0</v>
      </c>
      <c r="N240" s="5">
        <f>CEILING((Таблица3[[#This Row],[Цена за единицу (с учетом наценки продавца), руб.]] - Таблица3[[#This Row],[Цена за единицу (с учетом наценки продавца), руб.]]*M240),1)</f>
        <v>1120</v>
      </c>
      <c r="O240" s="21">
        <f>VLOOKUP(Таблица3[[#This Row],[Менеджер по продажам]],'Справочная информация'!B$2:C$6,2,0)</f>
        <v>0.15</v>
      </c>
      <c r="P240" s="5">
        <f>Таблица3[[#This Row],[Цена продажи с учетом персональной скидки, руб.]]*O240</f>
        <v>168</v>
      </c>
      <c r="Q240" s="61"/>
    </row>
    <row r="241" spans="1:17" x14ac:dyDescent="0.25">
      <c r="A241" s="10">
        <f t="shared" si="3"/>
        <v>240</v>
      </c>
      <c r="B241" s="5" t="s">
        <v>420</v>
      </c>
      <c r="C241" s="5">
        <f>IF(OR(B241="Гаврилов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1" s="5" t="s">
        <v>179</v>
      </c>
      <c r="E241" s="5" t="s">
        <v>11</v>
      </c>
      <c r="F241" s="4" t="s">
        <v>15</v>
      </c>
      <c r="G241" s="5" t="str">
        <f>VLOOKUP(Таблица3[[#This Row],[Наименование товара]],Склад!$A$3:$B$8,2,1)</f>
        <v>Gmt</v>
      </c>
      <c r="H241" s="14">
        <v>44963</v>
      </c>
      <c r="I241" s="8">
        <f>INT((MONTH(Таблица3[[#This Row],[Дата продажи]])+2)/3)</f>
        <v>1</v>
      </c>
      <c r="J241" s="5">
        <f>INDEX(Склад!$A$3:$M$8, MATCH(Таблица3[[#This Row],[Наименование товара]], Склад!$A$3:$A$8, 0), 9)</f>
        <v>314.15999999999997</v>
      </c>
      <c r="K241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4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41" s="5">
        <v>0</v>
      </c>
      <c r="N241" s="5">
        <f>CEILING((Таблица3[[#This Row],[Цена за единицу (с учетом наценки продавца), руб.]] - Таблица3[[#This Row],[Цена за единицу (с учетом наценки продавца), руб.]]*M241),1)</f>
        <v>1120</v>
      </c>
      <c r="O241" s="21">
        <f>VLOOKUP(Таблица3[[#This Row],[Менеджер по продажам]],'Справочная информация'!B$2:C$6,2,0)</f>
        <v>0.15</v>
      </c>
      <c r="P241" s="5">
        <f>Таблица3[[#This Row],[Цена продажи с учетом персональной скидки, руб.]]*O241</f>
        <v>168</v>
      </c>
      <c r="Q241" s="61"/>
    </row>
    <row r="242" spans="1:17" x14ac:dyDescent="0.25">
      <c r="A242" s="10">
        <f t="shared" si="3"/>
        <v>241</v>
      </c>
      <c r="B242" s="5" t="s">
        <v>420</v>
      </c>
      <c r="C242" s="5">
        <f>IF(OR(B242="Гаврилов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2" s="5" t="s">
        <v>375</v>
      </c>
      <c r="E242" s="5" t="s">
        <v>11</v>
      </c>
      <c r="F242" s="4" t="s">
        <v>15</v>
      </c>
      <c r="G242" s="5" t="str">
        <f>VLOOKUP(Таблица3[[#This Row],[Наименование товара]],Склад!$A$3:$B$8,2,1)</f>
        <v>Gmt</v>
      </c>
      <c r="H242" s="14">
        <v>45008</v>
      </c>
      <c r="I242" s="8">
        <f>INT((MONTH(Таблица3[[#This Row],[Дата продажи]])+2)/3)</f>
        <v>1</v>
      </c>
      <c r="J242" s="5">
        <f>INDEX(Склад!$A$3:$M$8, MATCH(Таблица3[[#This Row],[Наименование товара]], Склад!$A$3:$A$8, 0), 9)</f>
        <v>314.15999999999997</v>
      </c>
      <c r="K242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4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42" s="5">
        <v>0</v>
      </c>
      <c r="N242" s="5">
        <f>CEILING((Таблица3[[#This Row],[Цена за единицу (с учетом наценки продавца), руб.]] - Таблица3[[#This Row],[Цена за единицу (с учетом наценки продавца), руб.]]*M242),1)</f>
        <v>1120</v>
      </c>
      <c r="O242" s="21">
        <f>VLOOKUP(Таблица3[[#This Row],[Менеджер по продажам]],'Справочная информация'!B$2:C$6,2,0)</f>
        <v>0.15</v>
      </c>
      <c r="P242" s="5">
        <f>Таблица3[[#This Row],[Цена продажи с учетом персональной скидки, руб.]]*O242</f>
        <v>168</v>
      </c>
      <c r="Q242" s="61"/>
    </row>
    <row r="243" spans="1:17" x14ac:dyDescent="0.25">
      <c r="A243" s="10">
        <f t="shared" si="3"/>
        <v>242</v>
      </c>
      <c r="B243" s="5" t="s">
        <v>420</v>
      </c>
      <c r="C243" s="5">
        <f>IF(OR(B243="Гаврилов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3" s="5" t="s">
        <v>65</v>
      </c>
      <c r="E243" s="5" t="s">
        <v>13</v>
      </c>
      <c r="F243" s="4" t="s">
        <v>15</v>
      </c>
      <c r="G243" s="5" t="str">
        <f>VLOOKUP(Таблица3[[#This Row],[Наименование товара]],Склад!$A$3:$B$8,2,1)</f>
        <v>Gmt</v>
      </c>
      <c r="H243" s="14">
        <v>44938</v>
      </c>
      <c r="I243" s="8">
        <f>INT((MONTH(Таблица3[[#This Row],[Дата продажи]])+2)/3)</f>
        <v>1</v>
      </c>
      <c r="J243" s="5">
        <f>INDEX(Склад!$A$3:$M$8, MATCH(Таблица3[[#This Row],[Наименование товара]], Склад!$A$3:$A$8, 0), 9)</f>
        <v>314.15999999999997</v>
      </c>
      <c r="K24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4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43" s="5">
        <v>0</v>
      </c>
      <c r="N243" s="5">
        <f>CEILING((Таблица3[[#This Row],[Цена за единицу (с учетом наценки продавца), руб.]] - Таблица3[[#This Row],[Цена за единицу (с учетом наценки продавца), руб.]]*M243),1)</f>
        <v>1120</v>
      </c>
      <c r="O243" s="21">
        <f>VLOOKUP(Таблица3[[#This Row],[Менеджер по продажам]],'Справочная информация'!B$2:C$6,2,0)</f>
        <v>0.15</v>
      </c>
      <c r="P243" s="5">
        <f>Таблица3[[#This Row],[Цена продажи с учетом персональной скидки, руб.]]*O243</f>
        <v>168</v>
      </c>
      <c r="Q243" s="61"/>
    </row>
    <row r="244" spans="1:17" x14ac:dyDescent="0.25">
      <c r="A244" s="10">
        <f t="shared" si="3"/>
        <v>243</v>
      </c>
      <c r="B244" s="5" t="s">
        <v>420</v>
      </c>
      <c r="C244" s="5">
        <f>IF(OR(B244="Гаврилов Н.А.",Таблица3[[#This Row],[Менеджер по продажам]]="Никифорова В.М."),1,IF(Таблица3[[#This Row],[Менеджер по продажам]]="Соколов Г.П.",3,2))</f>
        <v>1</v>
      </c>
      <c r="D244" s="5" t="s">
        <v>386</v>
      </c>
      <c r="E244" s="5" t="s">
        <v>212</v>
      </c>
      <c r="F244" s="4" t="s">
        <v>15</v>
      </c>
      <c r="G244" s="5" t="str">
        <f>VLOOKUP(Таблица3[[#This Row],[Наименование товара]],Склад!$A$3:$B$8,2,1)</f>
        <v>Gmt</v>
      </c>
      <c r="H244" s="14">
        <v>45009</v>
      </c>
      <c r="I244" s="8">
        <f>INT((MONTH(Таблица3[[#This Row],[Дата продажи]])+2)/3)</f>
        <v>1</v>
      </c>
      <c r="J244" s="5">
        <f>INDEX(Склад!$A$3:$M$8, MATCH(Таблица3[[#This Row],[Наименование товара]], Склад!$A$3:$A$8, 0), 9)</f>
        <v>314.15999999999997</v>
      </c>
      <c r="K24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24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244" s="5">
        <v>0</v>
      </c>
      <c r="N244" s="5">
        <f>CEILING((Таблица3[[#This Row],[Цена за единицу (с учетом наценки продавца), руб.]] - Таблица3[[#This Row],[Цена за единицу (с учетом наценки продавца), руб.]]*M244),1)</f>
        <v>1120</v>
      </c>
      <c r="O244" s="21">
        <f>VLOOKUP(Таблица3[[#This Row],[Менеджер по продажам]],'Справочная информация'!B$2:C$6,2,0)</f>
        <v>0.15</v>
      </c>
      <c r="P244" s="5">
        <f>Таблица3[[#This Row],[Цена продажи с учетом персональной скидки, руб.]]*O244</f>
        <v>168</v>
      </c>
      <c r="Q244" s="61"/>
    </row>
    <row r="245" spans="1:17" x14ac:dyDescent="0.25">
      <c r="A245" s="10">
        <f t="shared" si="3"/>
        <v>244</v>
      </c>
      <c r="B245" s="5" t="s">
        <v>421</v>
      </c>
      <c r="C245" s="5">
        <f>IF(OR(B245="Гаврилов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45" s="5" t="s">
        <v>196</v>
      </c>
      <c r="E245" s="5" t="s">
        <v>34</v>
      </c>
      <c r="F245" s="4" t="s">
        <v>5</v>
      </c>
      <c r="G245" s="5" t="str">
        <f>VLOOKUP(Таблица3[[#This Row],[Наименование товара]],Склад!$A$3:$B$8,2,1)</f>
        <v>Person</v>
      </c>
      <c r="H245" s="14">
        <v>44967</v>
      </c>
      <c r="I245" s="8">
        <f>INT((MONTH(Таблица3[[#This Row],[Дата продажи]])+2)/3)</f>
        <v>1</v>
      </c>
      <c r="J245" s="5">
        <f>INDEX(Склад!$A$3:$M$8, MATCH(Таблица3[[#This Row],[Наименование товара]], Склад!$A$3:$A$8, 0), 9)</f>
        <v>163.13</v>
      </c>
      <c r="K24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4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45" s="5">
        <v>0</v>
      </c>
      <c r="N245" s="5">
        <f>CEILING((Таблица3[[#This Row],[Цена за единицу (с учетом наценки продавца), руб.]] - Таблица3[[#This Row],[Цена за единицу (с учетом наценки продавца), руб.]]*M245),1)</f>
        <v>762</v>
      </c>
      <c r="O245" s="21">
        <f>VLOOKUP(Таблица3[[#This Row],[Менеджер по продажам]],'Справочная информация'!B$2:C$6,2,0)</f>
        <v>0.15</v>
      </c>
      <c r="P245" s="5">
        <f>Таблица3[[#This Row],[Цена продажи с учетом персональной скидки, руб.]]*O245</f>
        <v>114.3</v>
      </c>
      <c r="Q245" s="61"/>
    </row>
    <row r="246" spans="1:17" x14ac:dyDescent="0.25">
      <c r="A246" s="10">
        <f t="shared" si="3"/>
        <v>245</v>
      </c>
      <c r="B246" s="5" t="s">
        <v>421</v>
      </c>
      <c r="C246" s="5">
        <f>IF(OR(B246="Гаврилов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46" s="5" t="s">
        <v>180</v>
      </c>
      <c r="E246" s="5" t="s">
        <v>20</v>
      </c>
      <c r="F246" s="4" t="s">
        <v>5</v>
      </c>
      <c r="G246" s="5" t="str">
        <f>VLOOKUP(Таблица3[[#This Row],[Наименование товара]],Склад!$A$3:$B$8,2,1)</f>
        <v>Person</v>
      </c>
      <c r="H246" s="14">
        <v>44964</v>
      </c>
      <c r="I246" s="8">
        <f>INT((MONTH(Таблица3[[#This Row],[Дата продажи]])+2)/3)</f>
        <v>1</v>
      </c>
      <c r="J246" s="5">
        <f>INDEX(Склад!$A$3:$M$8, MATCH(Таблица3[[#This Row],[Наименование товара]], Склад!$A$3:$A$8, 0), 9)</f>
        <v>163.13</v>
      </c>
      <c r="K24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4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46" s="5">
        <v>0</v>
      </c>
      <c r="N246" s="5">
        <f>CEILING((Таблица3[[#This Row],[Цена за единицу (с учетом наценки продавца), руб.]] - Таблица3[[#This Row],[Цена за единицу (с учетом наценки продавца), руб.]]*M246),1)</f>
        <v>762</v>
      </c>
      <c r="O246" s="21">
        <f>VLOOKUP(Таблица3[[#This Row],[Менеджер по продажам]],'Справочная информация'!B$2:C$6,2,0)</f>
        <v>0.15</v>
      </c>
      <c r="P246" s="5">
        <f>Таблица3[[#This Row],[Цена продажи с учетом персональной скидки, руб.]]*O246</f>
        <v>114.3</v>
      </c>
      <c r="Q246" s="61"/>
    </row>
    <row r="247" spans="1:17" x14ac:dyDescent="0.25">
      <c r="A247" s="10">
        <f t="shared" si="3"/>
        <v>246</v>
      </c>
      <c r="B247" s="5" t="s">
        <v>421</v>
      </c>
      <c r="C247" s="5">
        <f>IF(OR(B247="Гаврилов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47" s="5" t="s">
        <v>118</v>
      </c>
      <c r="E247" s="5" t="s">
        <v>20</v>
      </c>
      <c r="F247" s="4" t="s">
        <v>5</v>
      </c>
      <c r="G247" s="5" t="str">
        <f>VLOOKUP(Таблица3[[#This Row],[Наименование товара]],Склад!$A$3:$B$8,2,1)</f>
        <v>Person</v>
      </c>
      <c r="H247" s="14">
        <v>44950</v>
      </c>
      <c r="I247" s="8">
        <f>INT((MONTH(Таблица3[[#This Row],[Дата продажи]])+2)/3)</f>
        <v>1</v>
      </c>
      <c r="J247" s="5">
        <f>INDEX(Склад!$A$3:$M$8, MATCH(Таблица3[[#This Row],[Наименование товара]], Склад!$A$3:$A$8, 0), 9)</f>
        <v>163.13</v>
      </c>
      <c r="K24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4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47" s="5">
        <v>0</v>
      </c>
      <c r="N247" s="5">
        <f>CEILING((Таблица3[[#This Row],[Цена за единицу (с учетом наценки продавца), руб.]] - Таблица3[[#This Row],[Цена за единицу (с учетом наценки продавца), руб.]]*M247),1)</f>
        <v>762</v>
      </c>
      <c r="O247" s="21">
        <f>VLOOKUP(Таблица3[[#This Row],[Менеджер по продажам]],'Справочная информация'!B$2:C$6,2,0)</f>
        <v>0.15</v>
      </c>
      <c r="P247" s="5">
        <f>Таблица3[[#This Row],[Цена продажи с учетом персональной скидки, руб.]]*O247</f>
        <v>114.3</v>
      </c>
      <c r="Q247" s="61"/>
    </row>
    <row r="248" spans="1:17" x14ac:dyDescent="0.25">
      <c r="A248" s="10">
        <f t="shared" si="3"/>
        <v>247</v>
      </c>
      <c r="B248" s="5" t="s">
        <v>421</v>
      </c>
      <c r="C248" s="5">
        <f>IF(OR(B248="Гаврилов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48" s="5" t="s">
        <v>330</v>
      </c>
      <c r="E248" s="5" t="s">
        <v>9</v>
      </c>
      <c r="F248" s="4" t="s">
        <v>5</v>
      </c>
      <c r="G248" s="5" t="str">
        <f>VLOOKUP(Таблица3[[#This Row],[Наименование товара]],Склад!$A$3:$B$8,2,1)</f>
        <v>Person</v>
      </c>
      <c r="H248" s="14">
        <v>44999</v>
      </c>
      <c r="I248" s="8">
        <f>INT((MONTH(Таблица3[[#This Row],[Дата продажи]])+2)/3)</f>
        <v>1</v>
      </c>
      <c r="J248" s="5">
        <f>INDEX(Склад!$A$3:$M$8, MATCH(Таблица3[[#This Row],[Наименование товара]], Склад!$A$3:$A$8, 0), 9)</f>
        <v>163.13</v>
      </c>
      <c r="K24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4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48" s="5">
        <v>0</v>
      </c>
      <c r="N248" s="5">
        <f>CEILING((Таблица3[[#This Row],[Цена за единицу (с учетом наценки продавца), руб.]] - Таблица3[[#This Row],[Цена за единицу (с учетом наценки продавца), руб.]]*M248),1)</f>
        <v>762</v>
      </c>
      <c r="O248" s="21">
        <f>VLOOKUP(Таблица3[[#This Row],[Менеджер по продажам]],'Справочная информация'!B$2:C$6,2,0)</f>
        <v>0.15</v>
      </c>
      <c r="P248" s="5">
        <f>Таблица3[[#This Row],[Цена продажи с учетом персональной скидки, руб.]]*O248</f>
        <v>114.3</v>
      </c>
      <c r="Q248" s="61"/>
    </row>
    <row r="249" spans="1:17" x14ac:dyDescent="0.25">
      <c r="A249" s="10">
        <f t="shared" si="3"/>
        <v>248</v>
      </c>
      <c r="B249" s="5" t="s">
        <v>421</v>
      </c>
      <c r="C249" s="5">
        <f>IF(OR(B249="Гаврилов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49" s="5" t="s">
        <v>166</v>
      </c>
      <c r="E249" s="5" t="s">
        <v>113</v>
      </c>
      <c r="F249" s="4" t="s">
        <v>5</v>
      </c>
      <c r="G249" s="5" t="str">
        <f>VLOOKUP(Таблица3[[#This Row],[Наименование товара]],Склад!$A$3:$B$8,2,1)</f>
        <v>Person</v>
      </c>
      <c r="H249" s="14">
        <v>44961</v>
      </c>
      <c r="I249" s="8">
        <f>INT((MONTH(Таблица3[[#This Row],[Дата продажи]])+2)/3)</f>
        <v>1</v>
      </c>
      <c r="J249" s="5">
        <f>INDEX(Склад!$A$3:$M$8, MATCH(Таблица3[[#This Row],[Наименование товара]], Склад!$A$3:$A$8, 0), 9)</f>
        <v>163.13</v>
      </c>
      <c r="K24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4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49" s="5">
        <v>0</v>
      </c>
      <c r="N249" s="5">
        <f>CEILING((Таблица3[[#This Row],[Цена за единицу (с учетом наценки продавца), руб.]] - Таблица3[[#This Row],[Цена за единицу (с учетом наценки продавца), руб.]]*M249),1)</f>
        <v>762</v>
      </c>
      <c r="O249" s="21">
        <f>VLOOKUP(Таблица3[[#This Row],[Менеджер по продажам]],'Справочная информация'!B$2:C$6,2,0)</f>
        <v>0.15</v>
      </c>
      <c r="P249" s="5">
        <f>Таблица3[[#This Row],[Цена продажи с учетом персональной скидки, руб.]]*O249</f>
        <v>114.3</v>
      </c>
      <c r="Q249" s="61"/>
    </row>
    <row r="250" spans="1:17" x14ac:dyDescent="0.25">
      <c r="A250" s="10">
        <f t="shared" si="3"/>
        <v>249</v>
      </c>
      <c r="B250" s="5" t="s">
        <v>421</v>
      </c>
      <c r="C250" s="5">
        <f>IF(OR(B250="Гаврилов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0" s="5" t="s">
        <v>365</v>
      </c>
      <c r="E250" s="5" t="s">
        <v>356</v>
      </c>
      <c r="F250" s="4" t="s">
        <v>5</v>
      </c>
      <c r="G250" s="5" t="str">
        <f>VLOOKUP(Таблица3[[#This Row],[Наименование товара]],Склад!$A$3:$B$8,2,1)</f>
        <v>Person</v>
      </c>
      <c r="H250" s="14">
        <v>45005</v>
      </c>
      <c r="I250" s="8">
        <f>INT((MONTH(Таблица3[[#This Row],[Дата продажи]])+2)/3)</f>
        <v>1</v>
      </c>
      <c r="J250" s="5">
        <f>INDEX(Склад!$A$3:$M$8, MATCH(Таблица3[[#This Row],[Наименование товара]], Склад!$A$3:$A$8, 0), 9)</f>
        <v>163.13</v>
      </c>
      <c r="K25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0" s="5">
        <v>0</v>
      </c>
      <c r="N250" s="5">
        <f>CEILING((Таблица3[[#This Row],[Цена за единицу (с учетом наценки продавца), руб.]] - Таблица3[[#This Row],[Цена за единицу (с учетом наценки продавца), руб.]]*M250),1)</f>
        <v>762</v>
      </c>
      <c r="O250" s="21">
        <f>VLOOKUP(Таблица3[[#This Row],[Менеджер по продажам]],'Справочная информация'!B$2:C$6,2,0)</f>
        <v>0.15</v>
      </c>
      <c r="P250" s="5">
        <f>Таблица3[[#This Row],[Цена продажи с учетом персональной скидки, руб.]]*O250</f>
        <v>114.3</v>
      </c>
      <c r="Q250" s="61"/>
    </row>
    <row r="251" spans="1:17" x14ac:dyDescent="0.25">
      <c r="A251" s="10">
        <f t="shared" si="3"/>
        <v>250</v>
      </c>
      <c r="B251" s="5" t="s">
        <v>421</v>
      </c>
      <c r="C251" s="5">
        <f>IF(OR(B251="Гаврилов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1" s="5" t="s">
        <v>290</v>
      </c>
      <c r="E251" s="5" t="s">
        <v>20</v>
      </c>
      <c r="F251" s="4" t="s">
        <v>5</v>
      </c>
      <c r="G251" s="5" t="str">
        <f>VLOOKUP(Таблица3[[#This Row],[Наименование товара]],Склад!$A$3:$B$8,2,1)</f>
        <v>Person</v>
      </c>
      <c r="H251" s="14">
        <v>44990</v>
      </c>
      <c r="I251" s="8">
        <f>INT((MONTH(Таблица3[[#This Row],[Дата продажи]])+2)/3)</f>
        <v>1</v>
      </c>
      <c r="J251" s="5">
        <f>INDEX(Склад!$A$3:$M$8, MATCH(Таблица3[[#This Row],[Наименование товара]], Склад!$A$3:$A$8, 0), 9)</f>
        <v>163.13</v>
      </c>
      <c r="K25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1" s="5">
        <v>0</v>
      </c>
      <c r="N251" s="5">
        <f>CEILING((Таблица3[[#This Row],[Цена за единицу (с учетом наценки продавца), руб.]] - Таблица3[[#This Row],[Цена за единицу (с учетом наценки продавца), руб.]]*M251),1)</f>
        <v>762</v>
      </c>
      <c r="O251" s="21">
        <f>VLOOKUP(Таблица3[[#This Row],[Менеджер по продажам]],'Справочная информация'!B$2:C$6,2,0)</f>
        <v>0.15</v>
      </c>
      <c r="P251" s="5">
        <f>Таблица3[[#This Row],[Цена продажи с учетом персональной скидки, руб.]]*O251</f>
        <v>114.3</v>
      </c>
      <c r="Q251" s="61"/>
    </row>
    <row r="252" spans="1:17" x14ac:dyDescent="0.25">
      <c r="A252" s="10">
        <f t="shared" si="3"/>
        <v>251</v>
      </c>
      <c r="B252" s="5" t="s">
        <v>421</v>
      </c>
      <c r="C252" s="5">
        <f>IF(OR(B252="Гаврилов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2" s="5" t="s">
        <v>280</v>
      </c>
      <c r="E252" s="5" t="s">
        <v>34</v>
      </c>
      <c r="F252" s="4" t="s">
        <v>5</v>
      </c>
      <c r="G252" s="5" t="str">
        <f>VLOOKUP(Таблица3[[#This Row],[Наименование товара]],Склад!$A$3:$B$8,2,1)</f>
        <v>Person</v>
      </c>
      <c r="H252" s="14">
        <v>44988</v>
      </c>
      <c r="I252" s="8">
        <f>INT((MONTH(Таблица3[[#This Row],[Дата продажи]])+2)/3)</f>
        <v>1</v>
      </c>
      <c r="J252" s="5">
        <f>INDEX(Склад!$A$3:$M$8, MATCH(Таблица3[[#This Row],[Наименование товара]], Склад!$A$3:$A$8, 0), 9)</f>
        <v>163.13</v>
      </c>
      <c r="K25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2" s="5">
        <v>0</v>
      </c>
      <c r="N252" s="5">
        <f>CEILING((Таблица3[[#This Row],[Цена за единицу (с учетом наценки продавца), руб.]] - Таблица3[[#This Row],[Цена за единицу (с учетом наценки продавца), руб.]]*M252),1)</f>
        <v>762</v>
      </c>
      <c r="O252" s="21">
        <f>VLOOKUP(Таблица3[[#This Row],[Менеджер по продажам]],'Справочная информация'!B$2:C$6,2,0)</f>
        <v>0.15</v>
      </c>
      <c r="P252" s="5">
        <f>Таблица3[[#This Row],[Цена продажи с учетом персональной скидки, руб.]]*O252</f>
        <v>114.3</v>
      </c>
      <c r="Q252" s="61"/>
    </row>
    <row r="253" spans="1:17" x14ac:dyDescent="0.25">
      <c r="A253" s="10">
        <f t="shared" si="3"/>
        <v>252</v>
      </c>
      <c r="B253" s="5" t="s">
        <v>421</v>
      </c>
      <c r="C253" s="5">
        <f>IF(OR(B253="Гаврилов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3" s="5" t="s">
        <v>278</v>
      </c>
      <c r="E253" s="5" t="s">
        <v>20</v>
      </c>
      <c r="F253" s="4" t="s">
        <v>5</v>
      </c>
      <c r="G253" s="5" t="str">
        <f>VLOOKUP(Таблица3[[#This Row],[Наименование товара]],Склад!$A$3:$B$8,2,1)</f>
        <v>Person</v>
      </c>
      <c r="H253" s="14">
        <v>44987</v>
      </c>
      <c r="I253" s="8">
        <f>INT((MONTH(Таблица3[[#This Row],[Дата продажи]])+2)/3)</f>
        <v>1</v>
      </c>
      <c r="J253" s="5">
        <f>INDEX(Склад!$A$3:$M$8, MATCH(Таблица3[[#This Row],[Наименование товара]], Склад!$A$3:$A$8, 0), 9)</f>
        <v>163.13</v>
      </c>
      <c r="K25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3" s="5">
        <v>0</v>
      </c>
      <c r="N253" s="5">
        <f>CEILING((Таблица3[[#This Row],[Цена за единицу (с учетом наценки продавца), руб.]] - Таблица3[[#This Row],[Цена за единицу (с учетом наценки продавца), руб.]]*M253),1)</f>
        <v>762</v>
      </c>
      <c r="O253" s="21">
        <f>VLOOKUP(Таблица3[[#This Row],[Менеджер по продажам]],'Справочная информация'!B$2:C$6,2,0)</f>
        <v>0.15</v>
      </c>
      <c r="P253" s="5">
        <f>Таблица3[[#This Row],[Цена продажи с учетом персональной скидки, руб.]]*O253</f>
        <v>114.3</v>
      </c>
      <c r="Q253" s="61"/>
    </row>
    <row r="254" spans="1:17" x14ac:dyDescent="0.25">
      <c r="A254" s="10">
        <f t="shared" si="3"/>
        <v>253</v>
      </c>
      <c r="B254" s="5" t="s">
        <v>421</v>
      </c>
      <c r="C254" s="5">
        <f>IF(OR(B254="Гаврилов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4" s="5" t="s">
        <v>50</v>
      </c>
      <c r="E254" s="5" t="s">
        <v>20</v>
      </c>
      <c r="F254" s="4" t="s">
        <v>5</v>
      </c>
      <c r="G254" s="5" t="str">
        <f>VLOOKUP(Таблица3[[#This Row],[Наименование товара]],Склад!$A$3:$B$8,2,1)</f>
        <v>Person</v>
      </c>
      <c r="H254" s="14">
        <v>44935</v>
      </c>
      <c r="I254" s="8">
        <f>INT((MONTH(Таблица3[[#This Row],[Дата продажи]])+2)/3)</f>
        <v>1</v>
      </c>
      <c r="J254" s="5">
        <f>INDEX(Склад!$A$3:$M$8, MATCH(Таблица3[[#This Row],[Наименование товара]], Склад!$A$3:$A$8, 0), 9)</f>
        <v>163.13</v>
      </c>
      <c r="K25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4" s="5">
        <v>0</v>
      </c>
      <c r="N254" s="5">
        <f>CEILING((Таблица3[[#This Row],[Цена за единицу (с учетом наценки продавца), руб.]] - Таблица3[[#This Row],[Цена за единицу (с учетом наценки продавца), руб.]]*M254),1)</f>
        <v>762</v>
      </c>
      <c r="O254" s="21">
        <f>VLOOKUP(Таблица3[[#This Row],[Менеджер по продажам]],'Справочная информация'!B$2:C$6,2,0)</f>
        <v>0.15</v>
      </c>
      <c r="P254" s="5">
        <f>Таблица3[[#This Row],[Цена продажи с учетом персональной скидки, руб.]]*O254</f>
        <v>114.3</v>
      </c>
      <c r="Q254" s="61"/>
    </row>
    <row r="255" spans="1:17" x14ac:dyDescent="0.25">
      <c r="A255" s="10">
        <f t="shared" si="3"/>
        <v>254</v>
      </c>
      <c r="B255" s="5" t="s">
        <v>421</v>
      </c>
      <c r="C255" s="5">
        <f>IF(OR(B255="Гаврилов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5" s="5" t="s">
        <v>194</v>
      </c>
      <c r="E255" s="5" t="s">
        <v>9</v>
      </c>
      <c r="F255" s="4" t="s">
        <v>5</v>
      </c>
      <c r="G255" s="5" t="str">
        <f>VLOOKUP(Таблица3[[#This Row],[Наименование товара]],Склад!$A$3:$B$8,2,1)</f>
        <v>Person</v>
      </c>
      <c r="H255" s="14">
        <v>44966</v>
      </c>
      <c r="I255" s="8">
        <f>INT((MONTH(Таблица3[[#This Row],[Дата продажи]])+2)/3)</f>
        <v>1</v>
      </c>
      <c r="J255" s="5">
        <f>INDEX(Склад!$A$3:$M$8, MATCH(Таблица3[[#This Row],[Наименование товара]], Склад!$A$3:$A$8, 0), 9)</f>
        <v>163.13</v>
      </c>
      <c r="K25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5" s="5">
        <v>0</v>
      </c>
      <c r="N255" s="5">
        <f>CEILING((Таблица3[[#This Row],[Цена за единицу (с учетом наценки продавца), руб.]] - Таблица3[[#This Row],[Цена за единицу (с учетом наценки продавца), руб.]]*M255),1)</f>
        <v>762</v>
      </c>
      <c r="O255" s="21">
        <f>VLOOKUP(Таблица3[[#This Row],[Менеджер по продажам]],'Справочная информация'!B$2:C$6,2,0)</f>
        <v>0.15</v>
      </c>
      <c r="P255" s="5">
        <f>Таблица3[[#This Row],[Цена продажи с учетом персональной скидки, руб.]]*O255</f>
        <v>114.3</v>
      </c>
      <c r="Q255" s="61"/>
    </row>
    <row r="256" spans="1:17" x14ac:dyDescent="0.25">
      <c r="A256" s="10">
        <f t="shared" si="3"/>
        <v>255</v>
      </c>
      <c r="B256" s="5" t="s">
        <v>421</v>
      </c>
      <c r="C256" s="5">
        <f>IF(OR(B256="Гаврилов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6" s="5" t="s">
        <v>150</v>
      </c>
      <c r="E256" s="5" t="s">
        <v>113</v>
      </c>
      <c r="F256" s="4" t="s">
        <v>5</v>
      </c>
      <c r="G256" s="5" t="str">
        <f>VLOOKUP(Таблица3[[#This Row],[Наименование товара]],Склад!$A$3:$B$8,2,1)</f>
        <v>Person</v>
      </c>
      <c r="H256" s="14">
        <v>44957</v>
      </c>
      <c r="I256" s="8">
        <f>INT((MONTH(Таблица3[[#This Row],[Дата продажи]])+2)/3)</f>
        <v>1</v>
      </c>
      <c r="J256" s="5">
        <f>INDEX(Склад!$A$3:$M$8, MATCH(Таблица3[[#This Row],[Наименование товара]], Склад!$A$3:$A$8, 0), 9)</f>
        <v>163.13</v>
      </c>
      <c r="K25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6" s="5">
        <v>0</v>
      </c>
      <c r="N256" s="5">
        <f>CEILING((Таблица3[[#This Row],[Цена за единицу (с учетом наценки продавца), руб.]] - Таблица3[[#This Row],[Цена за единицу (с учетом наценки продавца), руб.]]*M256),1)</f>
        <v>762</v>
      </c>
      <c r="O256" s="21">
        <f>VLOOKUP(Таблица3[[#This Row],[Менеджер по продажам]],'Справочная информация'!B$2:C$6,2,0)</f>
        <v>0.15</v>
      </c>
      <c r="P256" s="5">
        <f>Таблица3[[#This Row],[Цена продажи с учетом персональной скидки, руб.]]*O256</f>
        <v>114.3</v>
      </c>
      <c r="Q256" s="61"/>
    </row>
    <row r="257" spans="1:17" x14ac:dyDescent="0.25">
      <c r="A257" s="10">
        <f t="shared" si="3"/>
        <v>256</v>
      </c>
      <c r="B257" s="5" t="s">
        <v>421</v>
      </c>
      <c r="C257" s="5">
        <f>IF(OR(B257="Гаврилов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7" s="5" t="s">
        <v>58</v>
      </c>
      <c r="E257" s="5" t="s">
        <v>9</v>
      </c>
      <c r="F257" s="4" t="s">
        <v>5</v>
      </c>
      <c r="G257" s="5" t="str">
        <f>VLOOKUP(Таблица3[[#This Row],[Наименование товара]],Склад!$A$3:$B$8,2,1)</f>
        <v>Person</v>
      </c>
      <c r="H257" s="14">
        <v>44937</v>
      </c>
      <c r="I257" s="8">
        <f>INT((MONTH(Таблица3[[#This Row],[Дата продажи]])+2)/3)</f>
        <v>1</v>
      </c>
      <c r="J257" s="5">
        <f>INDEX(Склад!$A$3:$M$8, MATCH(Таблица3[[#This Row],[Наименование товара]], Склад!$A$3:$A$8, 0), 9)</f>
        <v>163.13</v>
      </c>
      <c r="K25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7" s="5">
        <v>0</v>
      </c>
      <c r="N257" s="5">
        <f>CEILING((Таблица3[[#This Row],[Цена за единицу (с учетом наценки продавца), руб.]] - Таблица3[[#This Row],[Цена за единицу (с учетом наценки продавца), руб.]]*M257),1)</f>
        <v>762</v>
      </c>
      <c r="O257" s="21">
        <f>VLOOKUP(Таблица3[[#This Row],[Менеджер по продажам]],'Справочная информация'!B$2:C$6,2,0)</f>
        <v>0.15</v>
      </c>
      <c r="P257" s="5">
        <f>Таблица3[[#This Row],[Цена продажи с учетом персональной скидки, руб.]]*O257</f>
        <v>114.3</v>
      </c>
      <c r="Q257" s="61"/>
    </row>
    <row r="258" spans="1:17" x14ac:dyDescent="0.25">
      <c r="A258" s="10">
        <f t="shared" si="3"/>
        <v>257</v>
      </c>
      <c r="B258" s="5" t="s">
        <v>421</v>
      </c>
      <c r="C258" s="5">
        <f>IF(OR(B258="Гаврилов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8" s="5" t="s">
        <v>100</v>
      </c>
      <c r="E258" s="5" t="s">
        <v>9</v>
      </c>
      <c r="F258" s="4" t="s">
        <v>5</v>
      </c>
      <c r="G258" s="5" t="str">
        <f>VLOOKUP(Таблица3[[#This Row],[Наименование товара]],Склад!$A$3:$B$8,2,1)</f>
        <v>Person</v>
      </c>
      <c r="H258" s="14">
        <v>44946</v>
      </c>
      <c r="I258" s="8">
        <f>INT((MONTH(Таблица3[[#This Row],[Дата продажи]])+2)/3)</f>
        <v>1</v>
      </c>
      <c r="J258" s="5">
        <f>INDEX(Склад!$A$3:$M$8, MATCH(Таблица3[[#This Row],[Наименование товара]], Склад!$A$3:$A$8, 0), 9)</f>
        <v>163.13</v>
      </c>
      <c r="K25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8" s="5">
        <v>0</v>
      </c>
      <c r="N258" s="5">
        <f>CEILING((Таблица3[[#This Row],[Цена за единицу (с учетом наценки продавца), руб.]] - Таблица3[[#This Row],[Цена за единицу (с учетом наценки продавца), руб.]]*M258),1)</f>
        <v>762</v>
      </c>
      <c r="O258" s="21">
        <f>VLOOKUP(Таблица3[[#This Row],[Менеджер по продажам]],'Справочная информация'!B$2:C$6,2,0)</f>
        <v>0.15</v>
      </c>
      <c r="P258" s="5">
        <f>Таблица3[[#This Row],[Цена продажи с учетом персональной скидки, руб.]]*O258</f>
        <v>114.3</v>
      </c>
      <c r="Q258" s="61"/>
    </row>
    <row r="259" spans="1:17" x14ac:dyDescent="0.25">
      <c r="A259" s="10">
        <f t="shared" ref="A259:A322" si="4">ROW(A259)-1</f>
        <v>258</v>
      </c>
      <c r="B259" s="5" t="s">
        <v>421</v>
      </c>
      <c r="C259" s="5">
        <f>IF(OR(B259="Гаврилов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59" s="5" t="s">
        <v>45</v>
      </c>
      <c r="E259" s="5" t="s">
        <v>9</v>
      </c>
      <c r="F259" s="4" t="s">
        <v>5</v>
      </c>
      <c r="G259" s="5" t="str">
        <f>VLOOKUP(Таблица3[[#This Row],[Наименование товара]],Склад!$A$3:$B$8,2,1)</f>
        <v>Person</v>
      </c>
      <c r="H259" s="14">
        <v>44934</v>
      </c>
      <c r="I259" s="8">
        <f>INT((MONTH(Таблица3[[#This Row],[Дата продажи]])+2)/3)</f>
        <v>1</v>
      </c>
      <c r="J259" s="5">
        <f>INDEX(Склад!$A$3:$M$8, MATCH(Таблица3[[#This Row],[Наименование товара]], Склад!$A$3:$A$8, 0), 9)</f>
        <v>163.13</v>
      </c>
      <c r="K25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5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59" s="5">
        <v>0</v>
      </c>
      <c r="N259" s="5">
        <f>CEILING((Таблица3[[#This Row],[Цена за единицу (с учетом наценки продавца), руб.]] - Таблица3[[#This Row],[Цена за единицу (с учетом наценки продавца), руб.]]*M259),1)</f>
        <v>762</v>
      </c>
      <c r="O259" s="21">
        <f>VLOOKUP(Таблица3[[#This Row],[Менеджер по продажам]],'Справочная информация'!B$2:C$6,2,0)</f>
        <v>0.15</v>
      </c>
      <c r="P259" s="5">
        <f>Таблица3[[#This Row],[Цена продажи с учетом персональной скидки, руб.]]*O259</f>
        <v>114.3</v>
      </c>
      <c r="Q259" s="61"/>
    </row>
    <row r="260" spans="1:17" x14ac:dyDescent="0.25">
      <c r="A260" s="10">
        <f t="shared" si="4"/>
        <v>259</v>
      </c>
      <c r="B260" s="5" t="s">
        <v>421</v>
      </c>
      <c r="C260" s="5">
        <f>IF(OR(B260="Гаврилов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0" s="5" t="s">
        <v>24</v>
      </c>
      <c r="E260" s="5" t="s">
        <v>18</v>
      </c>
      <c r="F260" s="4" t="s">
        <v>5</v>
      </c>
      <c r="G260" s="5" t="str">
        <f>VLOOKUP(Таблица3[[#This Row],[Наименование товара]],Склад!$A$3:$B$8,2,1)</f>
        <v>Person</v>
      </c>
      <c r="H260" s="14">
        <v>44928</v>
      </c>
      <c r="I260" s="8">
        <f>INT((MONTH(Таблица3[[#This Row],[Дата продажи]])+2)/3)</f>
        <v>1</v>
      </c>
      <c r="J260" s="5">
        <f>INDEX(Склад!$A$3:$M$8, MATCH(Таблица3[[#This Row],[Наименование товара]], Склад!$A$3:$A$8, 0), 9)</f>
        <v>163.13</v>
      </c>
      <c r="K26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26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260" s="5">
        <v>0</v>
      </c>
      <c r="N260" s="5">
        <f>CEILING((Таблица3[[#This Row],[Цена за единицу (с учетом наценки продавца), руб.]] - Таблица3[[#This Row],[Цена за единицу (с учетом наценки продавца), руб.]]*M260),1)</f>
        <v>762</v>
      </c>
      <c r="O260" s="21">
        <f>VLOOKUP(Таблица3[[#This Row],[Менеджер по продажам]],'Справочная информация'!B$2:C$6,2,0)</f>
        <v>0.15</v>
      </c>
      <c r="P260" s="5">
        <f>Таблица3[[#This Row],[Цена продажи с учетом персональной скидки, руб.]]*O260</f>
        <v>114.3</v>
      </c>
      <c r="Q260" s="61"/>
    </row>
    <row r="261" spans="1:17" x14ac:dyDescent="0.25">
      <c r="A261" s="10">
        <f t="shared" si="4"/>
        <v>260</v>
      </c>
      <c r="B261" s="5" t="s">
        <v>421</v>
      </c>
      <c r="C261" s="5">
        <f>IF(OR(B261="Гаврилов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1" s="5" t="s">
        <v>121</v>
      </c>
      <c r="E261" s="5" t="s">
        <v>18</v>
      </c>
      <c r="F261" s="4" t="s">
        <v>8</v>
      </c>
      <c r="G261" s="5" t="str">
        <f>VLOOKUP(Таблица3[[#This Row],[Наименование товара]],Склад!$A$3:$B$8,2,1)</f>
        <v>Colisto</v>
      </c>
      <c r="H261" s="14">
        <v>44952</v>
      </c>
      <c r="I261" s="8">
        <f>INT((MONTH(Таблица3[[#This Row],[Дата продажи]])+2)/3)</f>
        <v>1</v>
      </c>
      <c r="J261" s="5">
        <f>INDEX(Склад!$A$3:$M$8, MATCH(Таблица3[[#This Row],[Наименование товара]], Склад!$A$3:$A$8, 0), 9)</f>
        <v>97.2</v>
      </c>
      <c r="K26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1" s="5">
        <v>0</v>
      </c>
      <c r="N261" s="5">
        <f>CEILING((Таблица3[[#This Row],[Цена за единицу (с учетом наценки продавца), руб.]] - Таблица3[[#This Row],[Цена за единицу (с учетом наценки продавца), руб.]]*M261),1)</f>
        <v>619</v>
      </c>
      <c r="O261" s="21">
        <f>VLOOKUP(Таблица3[[#This Row],[Менеджер по продажам]],'Справочная информация'!B$2:C$6,2,0)</f>
        <v>0.15</v>
      </c>
      <c r="P261" s="5">
        <f>Таблица3[[#This Row],[Цена продажи с учетом персональной скидки, руб.]]*O261</f>
        <v>92.85</v>
      </c>
      <c r="Q261" s="61"/>
    </row>
    <row r="262" spans="1:17" x14ac:dyDescent="0.25">
      <c r="A262" s="10">
        <f t="shared" si="4"/>
        <v>261</v>
      </c>
      <c r="B262" s="5" t="s">
        <v>421</v>
      </c>
      <c r="C262" s="5">
        <f>IF(OR(B262="Гаврилов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2" s="5" t="s">
        <v>55</v>
      </c>
      <c r="E262" s="5" t="s">
        <v>20</v>
      </c>
      <c r="F262" s="4" t="s">
        <v>8</v>
      </c>
      <c r="G262" s="5" t="str">
        <f>VLOOKUP(Таблица3[[#This Row],[Наименование товара]],Склад!$A$3:$B$8,2,1)</f>
        <v>Colisto</v>
      </c>
      <c r="H262" s="14">
        <v>44937</v>
      </c>
      <c r="I262" s="8">
        <f>INT((MONTH(Таблица3[[#This Row],[Дата продажи]])+2)/3)</f>
        <v>1</v>
      </c>
      <c r="J262" s="5">
        <f>INDEX(Склад!$A$3:$M$8, MATCH(Таблица3[[#This Row],[Наименование товара]], Склад!$A$3:$A$8, 0), 9)</f>
        <v>97.2</v>
      </c>
      <c r="K26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2" s="5">
        <v>0</v>
      </c>
      <c r="N262" s="5">
        <f>CEILING((Таблица3[[#This Row],[Цена за единицу (с учетом наценки продавца), руб.]] - Таблица3[[#This Row],[Цена за единицу (с учетом наценки продавца), руб.]]*M262),1)</f>
        <v>619</v>
      </c>
      <c r="O262" s="21">
        <f>VLOOKUP(Таблица3[[#This Row],[Менеджер по продажам]],'Справочная информация'!B$2:C$6,2,0)</f>
        <v>0.15</v>
      </c>
      <c r="P262" s="5">
        <f>Таблица3[[#This Row],[Цена продажи с учетом персональной скидки, руб.]]*O262</f>
        <v>92.85</v>
      </c>
      <c r="Q262" s="61"/>
    </row>
    <row r="263" spans="1:17" x14ac:dyDescent="0.25">
      <c r="A263" s="10">
        <f t="shared" si="4"/>
        <v>262</v>
      </c>
      <c r="B263" s="5" t="s">
        <v>421</v>
      </c>
      <c r="C263" s="5">
        <f>IF(OR(B263="Гаврилов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3" s="5" t="s">
        <v>292</v>
      </c>
      <c r="E263" s="5" t="s">
        <v>9</v>
      </c>
      <c r="F263" s="4" t="s">
        <v>8</v>
      </c>
      <c r="G263" s="5" t="str">
        <f>VLOOKUP(Таблица3[[#This Row],[Наименование товара]],Склад!$A$3:$B$8,2,1)</f>
        <v>Colisto</v>
      </c>
      <c r="H263" s="14">
        <v>44991</v>
      </c>
      <c r="I263" s="8">
        <f>INT((MONTH(Таблица3[[#This Row],[Дата продажи]])+2)/3)</f>
        <v>1</v>
      </c>
      <c r="J263" s="5">
        <f>INDEX(Склад!$A$3:$M$8, MATCH(Таблица3[[#This Row],[Наименование товара]], Склад!$A$3:$A$8, 0), 9)</f>
        <v>97.2</v>
      </c>
      <c r="K26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3" s="5">
        <v>0.02</v>
      </c>
      <c r="N263" s="5">
        <f>CEILING((Таблица3[[#This Row],[Цена за единицу (с учетом наценки продавца), руб.]] - Таблица3[[#This Row],[Цена за единицу (с учетом наценки продавца), руб.]]*M263),1)</f>
        <v>607</v>
      </c>
      <c r="O263" s="21">
        <f>VLOOKUP(Таблица3[[#This Row],[Менеджер по продажам]],'Справочная информация'!B$2:C$6,2,0)</f>
        <v>0.15</v>
      </c>
      <c r="P263" s="5">
        <f>Таблица3[[#This Row],[Цена продажи с учетом персональной скидки, руб.]]*O263</f>
        <v>91.05</v>
      </c>
      <c r="Q263" s="61"/>
    </row>
    <row r="264" spans="1:17" x14ac:dyDescent="0.25">
      <c r="A264" s="10">
        <f t="shared" si="4"/>
        <v>263</v>
      </c>
      <c r="B264" s="5" t="s">
        <v>421</v>
      </c>
      <c r="C264" s="5">
        <f>IF(OR(B264="Гаврилов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4" s="5" t="s">
        <v>209</v>
      </c>
      <c r="E264" s="5" t="s">
        <v>113</v>
      </c>
      <c r="F264" s="4" t="s">
        <v>8</v>
      </c>
      <c r="G264" s="5" t="str">
        <f>VLOOKUP(Таблица3[[#This Row],[Наименование товара]],Склад!$A$3:$B$8,2,1)</f>
        <v>Colisto</v>
      </c>
      <c r="H264" s="14">
        <v>44970</v>
      </c>
      <c r="I264" s="8">
        <f>INT((MONTH(Таблица3[[#This Row],[Дата продажи]])+2)/3)</f>
        <v>1</v>
      </c>
      <c r="J264" s="5">
        <f>INDEX(Склад!$A$3:$M$8, MATCH(Таблица3[[#This Row],[Наименование товара]], Склад!$A$3:$A$8, 0), 9)</f>
        <v>97.2</v>
      </c>
      <c r="K26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4" s="5">
        <v>0</v>
      </c>
      <c r="N264" s="5">
        <f>CEILING((Таблица3[[#This Row],[Цена за единицу (с учетом наценки продавца), руб.]] - Таблица3[[#This Row],[Цена за единицу (с учетом наценки продавца), руб.]]*M264),1)</f>
        <v>619</v>
      </c>
      <c r="O264" s="21">
        <f>VLOOKUP(Таблица3[[#This Row],[Менеджер по продажам]],'Справочная информация'!B$2:C$6,2,0)</f>
        <v>0.15</v>
      </c>
      <c r="P264" s="5">
        <f>Таблица3[[#This Row],[Цена продажи с учетом персональной скидки, руб.]]*O264</f>
        <v>92.85</v>
      </c>
      <c r="Q264" s="61"/>
    </row>
    <row r="265" spans="1:17" x14ac:dyDescent="0.25">
      <c r="A265" s="10">
        <f t="shared" si="4"/>
        <v>264</v>
      </c>
      <c r="B265" s="5" t="s">
        <v>421</v>
      </c>
      <c r="C265" s="5">
        <f>IF(OR(B265="Гаврилов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5" s="5" t="s">
        <v>295</v>
      </c>
      <c r="E265" s="5" t="s">
        <v>9</v>
      </c>
      <c r="F265" s="4" t="s">
        <v>8</v>
      </c>
      <c r="G265" s="5" t="str">
        <f>VLOOKUP(Таблица3[[#This Row],[Наименование товара]],Склад!$A$3:$B$8,2,1)</f>
        <v>Colisto</v>
      </c>
      <c r="H265" s="14">
        <v>44992</v>
      </c>
      <c r="I265" s="8">
        <f>INT((MONTH(Таблица3[[#This Row],[Дата продажи]])+2)/3)</f>
        <v>1</v>
      </c>
      <c r="J265" s="5">
        <f>INDEX(Склад!$A$3:$M$8, MATCH(Таблица3[[#This Row],[Наименование товара]], Склад!$A$3:$A$8, 0), 9)</f>
        <v>97.2</v>
      </c>
      <c r="K26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5" s="5">
        <v>0</v>
      </c>
      <c r="N265" s="5">
        <f>CEILING((Таблица3[[#This Row],[Цена за единицу (с учетом наценки продавца), руб.]] - Таблица3[[#This Row],[Цена за единицу (с учетом наценки продавца), руб.]]*M265),1)</f>
        <v>619</v>
      </c>
      <c r="O265" s="21">
        <f>VLOOKUP(Таблица3[[#This Row],[Менеджер по продажам]],'Справочная информация'!B$2:C$6,2,0)</f>
        <v>0.15</v>
      </c>
      <c r="P265" s="5">
        <f>Таблица3[[#This Row],[Цена продажи с учетом персональной скидки, руб.]]*O265</f>
        <v>92.85</v>
      </c>
      <c r="Q265" s="61"/>
    </row>
    <row r="266" spans="1:17" x14ac:dyDescent="0.25">
      <c r="A266" s="10">
        <f t="shared" si="4"/>
        <v>265</v>
      </c>
      <c r="B266" s="5" t="s">
        <v>421</v>
      </c>
      <c r="C266" s="5">
        <f>IF(OR(B266="Гаврилов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6" s="5" t="s">
        <v>345</v>
      </c>
      <c r="E266" s="5" t="s">
        <v>18</v>
      </c>
      <c r="F266" s="4" t="s">
        <v>8</v>
      </c>
      <c r="G266" s="5" t="str">
        <f>VLOOKUP(Таблица3[[#This Row],[Наименование товара]],Склад!$A$3:$B$8,2,1)</f>
        <v>Colisto</v>
      </c>
      <c r="H266" s="14">
        <v>45002</v>
      </c>
      <c r="I266" s="8">
        <f>INT((MONTH(Таблица3[[#This Row],[Дата продажи]])+2)/3)</f>
        <v>1</v>
      </c>
      <c r="J266" s="5">
        <f>INDEX(Склад!$A$3:$M$8, MATCH(Таблица3[[#This Row],[Наименование товара]], Склад!$A$3:$A$8, 0), 9)</f>
        <v>97.2</v>
      </c>
      <c r="K26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6" s="5">
        <v>0</v>
      </c>
      <c r="N266" s="5">
        <f>CEILING((Таблица3[[#This Row],[Цена за единицу (с учетом наценки продавца), руб.]] - Таблица3[[#This Row],[Цена за единицу (с учетом наценки продавца), руб.]]*M266),1)</f>
        <v>619</v>
      </c>
      <c r="O266" s="21">
        <f>VLOOKUP(Таблица3[[#This Row],[Менеджер по продажам]],'Справочная информация'!B$2:C$6,2,0)</f>
        <v>0.15</v>
      </c>
      <c r="P266" s="5">
        <f>Таблица3[[#This Row],[Цена продажи с учетом персональной скидки, руб.]]*O266</f>
        <v>92.85</v>
      </c>
      <c r="Q266" s="61"/>
    </row>
    <row r="267" spans="1:17" x14ac:dyDescent="0.25">
      <c r="A267" s="10">
        <f t="shared" si="4"/>
        <v>266</v>
      </c>
      <c r="B267" s="5" t="s">
        <v>421</v>
      </c>
      <c r="C267" s="5">
        <f>IF(OR(B267="Гаврилов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7" s="5" t="s">
        <v>104</v>
      </c>
      <c r="E267" s="5" t="s">
        <v>9</v>
      </c>
      <c r="F267" s="4" t="s">
        <v>8</v>
      </c>
      <c r="G267" s="5" t="str">
        <f>VLOOKUP(Таблица3[[#This Row],[Наименование товара]],Склад!$A$3:$B$8,2,1)</f>
        <v>Colisto</v>
      </c>
      <c r="H267" s="14">
        <v>44948</v>
      </c>
      <c r="I267" s="8">
        <f>INT((MONTH(Таблица3[[#This Row],[Дата продажи]])+2)/3)</f>
        <v>1</v>
      </c>
      <c r="J267" s="5">
        <f>INDEX(Склад!$A$3:$M$8, MATCH(Таблица3[[#This Row],[Наименование товара]], Склад!$A$3:$A$8, 0), 9)</f>
        <v>97.2</v>
      </c>
      <c r="K26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7" s="5">
        <v>0</v>
      </c>
      <c r="N267" s="5">
        <f>CEILING((Таблица3[[#This Row],[Цена за единицу (с учетом наценки продавца), руб.]] - Таблица3[[#This Row],[Цена за единицу (с учетом наценки продавца), руб.]]*M267),1)</f>
        <v>619</v>
      </c>
      <c r="O267" s="21">
        <f>VLOOKUP(Таблица3[[#This Row],[Менеджер по продажам]],'Справочная информация'!B$2:C$6,2,0)</f>
        <v>0.15</v>
      </c>
      <c r="P267" s="5">
        <f>Таблица3[[#This Row],[Цена продажи с учетом персональной скидки, руб.]]*O267</f>
        <v>92.85</v>
      </c>
      <c r="Q267" s="61"/>
    </row>
    <row r="268" spans="1:17" x14ac:dyDescent="0.25">
      <c r="A268" s="10">
        <f t="shared" si="4"/>
        <v>267</v>
      </c>
      <c r="B268" s="5" t="s">
        <v>421</v>
      </c>
      <c r="C268" s="5">
        <f>IF(OR(B268="Гаврилов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8" s="5" t="s">
        <v>334</v>
      </c>
      <c r="E268" s="5" t="s">
        <v>34</v>
      </c>
      <c r="F268" s="4" t="s">
        <v>8</v>
      </c>
      <c r="G268" s="5" t="str">
        <f>VLOOKUP(Таблица3[[#This Row],[Наименование товара]],Склад!$A$3:$B$8,2,1)</f>
        <v>Colisto</v>
      </c>
      <c r="H268" s="14">
        <v>45000</v>
      </c>
      <c r="I268" s="8">
        <f>INT((MONTH(Таблица3[[#This Row],[Дата продажи]])+2)/3)</f>
        <v>1</v>
      </c>
      <c r="J268" s="5">
        <f>INDEX(Склад!$A$3:$M$8, MATCH(Таблица3[[#This Row],[Наименование товара]], Склад!$A$3:$A$8, 0), 9)</f>
        <v>97.2</v>
      </c>
      <c r="K26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8" s="5">
        <v>0</v>
      </c>
      <c r="N268" s="5">
        <f>CEILING((Таблица3[[#This Row],[Цена за единицу (с учетом наценки продавца), руб.]] - Таблица3[[#This Row],[Цена за единицу (с учетом наценки продавца), руб.]]*M268),1)</f>
        <v>619</v>
      </c>
      <c r="O268" s="21">
        <f>VLOOKUP(Таблица3[[#This Row],[Менеджер по продажам]],'Справочная информация'!B$2:C$6,2,0)</f>
        <v>0.15</v>
      </c>
      <c r="P268" s="5">
        <f>Таблица3[[#This Row],[Цена продажи с учетом персональной скидки, руб.]]*O268</f>
        <v>92.85</v>
      </c>
      <c r="Q268" s="61"/>
    </row>
    <row r="269" spans="1:17" x14ac:dyDescent="0.25">
      <c r="A269" s="10">
        <f t="shared" si="4"/>
        <v>268</v>
      </c>
      <c r="B269" s="5" t="s">
        <v>421</v>
      </c>
      <c r="C269" s="5">
        <f>IF(OR(B269="Гаврилов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69" s="5" t="s">
        <v>172</v>
      </c>
      <c r="E269" s="5" t="s">
        <v>9</v>
      </c>
      <c r="F269" s="4" t="s">
        <v>8</v>
      </c>
      <c r="G269" s="5" t="str">
        <f>VLOOKUP(Таблица3[[#This Row],[Наименование товара]],Склад!$A$3:$B$8,2,1)</f>
        <v>Colisto</v>
      </c>
      <c r="H269" s="14">
        <v>44962</v>
      </c>
      <c r="I269" s="8">
        <f>INT((MONTH(Таблица3[[#This Row],[Дата продажи]])+2)/3)</f>
        <v>1</v>
      </c>
      <c r="J269" s="5">
        <f>INDEX(Склад!$A$3:$M$8, MATCH(Таблица3[[#This Row],[Наименование товара]], Склад!$A$3:$A$8, 0), 9)</f>
        <v>97.2</v>
      </c>
      <c r="K26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6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69" s="5">
        <v>0.02</v>
      </c>
      <c r="N269" s="5">
        <f>CEILING((Таблица3[[#This Row],[Цена за единицу (с учетом наценки продавца), руб.]] - Таблица3[[#This Row],[Цена за единицу (с учетом наценки продавца), руб.]]*M269),1)</f>
        <v>607</v>
      </c>
      <c r="O269" s="21">
        <f>VLOOKUP(Таблица3[[#This Row],[Менеджер по продажам]],'Справочная информация'!B$2:C$6,2,0)</f>
        <v>0.15</v>
      </c>
      <c r="P269" s="5">
        <f>Таблица3[[#This Row],[Цена продажи с учетом персональной скидки, руб.]]*O269</f>
        <v>91.05</v>
      </c>
      <c r="Q269" s="61"/>
    </row>
    <row r="270" spans="1:17" x14ac:dyDescent="0.25">
      <c r="A270" s="10">
        <f t="shared" si="4"/>
        <v>269</v>
      </c>
      <c r="B270" s="5" t="s">
        <v>421</v>
      </c>
      <c r="C270" s="5">
        <f>IF(OR(B270="Гаврилов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0" s="5" t="s">
        <v>154</v>
      </c>
      <c r="E270" s="5" t="s">
        <v>9</v>
      </c>
      <c r="F270" s="4" t="s">
        <v>8</v>
      </c>
      <c r="G270" s="5" t="str">
        <f>VLOOKUP(Таблица3[[#This Row],[Наименование товара]],Склад!$A$3:$B$8,2,1)</f>
        <v>Colisto</v>
      </c>
      <c r="H270" s="14">
        <v>44958</v>
      </c>
      <c r="I270" s="8">
        <f>INT((MONTH(Таблица3[[#This Row],[Дата продажи]])+2)/3)</f>
        <v>1</v>
      </c>
      <c r="J270" s="5">
        <f>INDEX(Склад!$A$3:$M$8, MATCH(Таблица3[[#This Row],[Наименование товара]], Склад!$A$3:$A$8, 0), 9)</f>
        <v>97.2</v>
      </c>
      <c r="K27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0" s="5">
        <v>0</v>
      </c>
      <c r="N270" s="5">
        <f>CEILING((Таблица3[[#This Row],[Цена за единицу (с учетом наценки продавца), руб.]] - Таблица3[[#This Row],[Цена за единицу (с учетом наценки продавца), руб.]]*M270),1)</f>
        <v>619</v>
      </c>
      <c r="O270" s="21">
        <f>VLOOKUP(Таблица3[[#This Row],[Менеджер по продажам]],'Справочная информация'!B$2:C$6,2,0)</f>
        <v>0.15</v>
      </c>
      <c r="P270" s="5">
        <f>Таблица3[[#This Row],[Цена продажи с учетом персональной скидки, руб.]]*O270</f>
        <v>92.85</v>
      </c>
      <c r="Q270" s="61"/>
    </row>
    <row r="271" spans="1:17" x14ac:dyDescent="0.25">
      <c r="A271" s="10">
        <f t="shared" si="4"/>
        <v>270</v>
      </c>
      <c r="B271" s="5" t="s">
        <v>421</v>
      </c>
      <c r="C271" s="5">
        <f>IF(OR(B271="Гаврилов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1" s="5" t="s">
        <v>362</v>
      </c>
      <c r="E271" s="5" t="s">
        <v>356</v>
      </c>
      <c r="F271" s="4" t="s">
        <v>8</v>
      </c>
      <c r="G271" s="5" t="str">
        <f>VLOOKUP(Таблица3[[#This Row],[Наименование товара]],Склад!$A$3:$B$8,2,1)</f>
        <v>Colisto</v>
      </c>
      <c r="H271" s="14">
        <v>45005</v>
      </c>
      <c r="I271" s="8">
        <f>INT((MONTH(Таблица3[[#This Row],[Дата продажи]])+2)/3)</f>
        <v>1</v>
      </c>
      <c r="J271" s="5">
        <f>INDEX(Склад!$A$3:$M$8, MATCH(Таблица3[[#This Row],[Наименование товара]], Склад!$A$3:$A$8, 0), 9)</f>
        <v>97.2</v>
      </c>
      <c r="K27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1" s="5">
        <v>0</v>
      </c>
      <c r="N271" s="5">
        <f>CEILING((Таблица3[[#This Row],[Цена за единицу (с учетом наценки продавца), руб.]] - Таблица3[[#This Row],[Цена за единицу (с учетом наценки продавца), руб.]]*M271),1)</f>
        <v>619</v>
      </c>
      <c r="O271" s="21">
        <f>VLOOKUP(Таблица3[[#This Row],[Менеджер по продажам]],'Справочная информация'!B$2:C$6,2,0)</f>
        <v>0.15</v>
      </c>
      <c r="P271" s="5">
        <f>Таблица3[[#This Row],[Цена продажи с учетом персональной скидки, руб.]]*O271</f>
        <v>92.85</v>
      </c>
      <c r="Q271" s="61"/>
    </row>
    <row r="272" spans="1:17" x14ac:dyDescent="0.25">
      <c r="A272" s="10">
        <f t="shared" si="4"/>
        <v>271</v>
      </c>
      <c r="B272" s="5" t="s">
        <v>421</v>
      </c>
      <c r="C272" s="5">
        <f>IF(OR(B272="Гаврилов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2" s="5" t="s">
        <v>225</v>
      </c>
      <c r="E272" s="5" t="s">
        <v>9</v>
      </c>
      <c r="F272" s="4" t="s">
        <v>8</v>
      </c>
      <c r="G272" s="5" t="str">
        <f>VLOOKUP(Таблица3[[#This Row],[Наименование товара]],Склад!$A$3:$B$8,2,1)</f>
        <v>Colisto</v>
      </c>
      <c r="H272" s="14">
        <v>44973</v>
      </c>
      <c r="I272" s="8">
        <f>INT((MONTH(Таблица3[[#This Row],[Дата продажи]])+2)/3)</f>
        <v>1</v>
      </c>
      <c r="J272" s="5">
        <f>INDEX(Склад!$A$3:$M$8, MATCH(Таблица3[[#This Row],[Наименование товара]], Склад!$A$3:$A$8, 0), 9)</f>
        <v>97.2</v>
      </c>
      <c r="K27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2" s="5">
        <v>0</v>
      </c>
      <c r="N272" s="5">
        <f>CEILING((Таблица3[[#This Row],[Цена за единицу (с учетом наценки продавца), руб.]] - Таблица3[[#This Row],[Цена за единицу (с учетом наценки продавца), руб.]]*M272),1)</f>
        <v>619</v>
      </c>
      <c r="O272" s="21">
        <f>VLOOKUP(Таблица3[[#This Row],[Менеджер по продажам]],'Справочная информация'!B$2:C$6,2,0)</f>
        <v>0.15</v>
      </c>
      <c r="P272" s="5">
        <f>Таблица3[[#This Row],[Цена продажи с учетом персональной скидки, руб.]]*O272</f>
        <v>92.85</v>
      </c>
      <c r="Q272" s="61"/>
    </row>
    <row r="273" spans="1:17" x14ac:dyDescent="0.25">
      <c r="A273" s="10">
        <f t="shared" si="4"/>
        <v>272</v>
      </c>
      <c r="B273" s="5" t="s">
        <v>421</v>
      </c>
      <c r="C273" s="5">
        <f>IF(OR(B273="Гаврилов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3" s="5" t="s">
        <v>342</v>
      </c>
      <c r="E273" s="5" t="s">
        <v>9</v>
      </c>
      <c r="F273" s="4" t="s">
        <v>8</v>
      </c>
      <c r="G273" s="5" t="str">
        <f>VLOOKUP(Таблица3[[#This Row],[Наименование товара]],Склад!$A$3:$B$8,2,1)</f>
        <v>Colisto</v>
      </c>
      <c r="H273" s="14">
        <v>45001</v>
      </c>
      <c r="I273" s="8">
        <f>INT((MONTH(Таблица3[[#This Row],[Дата продажи]])+2)/3)</f>
        <v>1</v>
      </c>
      <c r="J273" s="5">
        <f>INDEX(Склад!$A$3:$M$8, MATCH(Таблица3[[#This Row],[Наименование товара]], Склад!$A$3:$A$8, 0), 9)</f>
        <v>97.2</v>
      </c>
      <c r="K27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3" s="5">
        <v>0</v>
      </c>
      <c r="N273" s="5">
        <f>CEILING((Таблица3[[#This Row],[Цена за единицу (с учетом наценки продавца), руб.]] - Таблица3[[#This Row],[Цена за единицу (с учетом наценки продавца), руб.]]*M273),1)</f>
        <v>619</v>
      </c>
      <c r="O273" s="21">
        <f>VLOOKUP(Таблица3[[#This Row],[Менеджер по продажам]],'Справочная информация'!B$2:C$6,2,0)</f>
        <v>0.15</v>
      </c>
      <c r="P273" s="5">
        <f>Таблица3[[#This Row],[Цена продажи с учетом персональной скидки, руб.]]*O273</f>
        <v>92.85</v>
      </c>
      <c r="Q273" s="61"/>
    </row>
    <row r="274" spans="1:17" x14ac:dyDescent="0.25">
      <c r="A274" s="10">
        <f t="shared" si="4"/>
        <v>273</v>
      </c>
      <c r="B274" s="5" t="s">
        <v>421</v>
      </c>
      <c r="C274" s="5">
        <f>IF(OR(B274="Гаврилов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4" s="5" t="s">
        <v>327</v>
      </c>
      <c r="E274" s="5" t="s">
        <v>9</v>
      </c>
      <c r="F274" s="4" t="s">
        <v>8</v>
      </c>
      <c r="G274" s="5" t="str">
        <f>VLOOKUP(Таблица3[[#This Row],[Наименование товара]],Склад!$A$3:$B$8,2,1)</f>
        <v>Colisto</v>
      </c>
      <c r="H274" s="14">
        <v>44998</v>
      </c>
      <c r="I274" s="8">
        <f>INT((MONTH(Таблица3[[#This Row],[Дата продажи]])+2)/3)</f>
        <v>1</v>
      </c>
      <c r="J274" s="5">
        <f>INDEX(Склад!$A$3:$M$8, MATCH(Таблица3[[#This Row],[Наименование товара]], Склад!$A$3:$A$8, 0), 9)</f>
        <v>97.2</v>
      </c>
      <c r="K27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4" s="5">
        <v>0</v>
      </c>
      <c r="N274" s="5">
        <f>CEILING((Таблица3[[#This Row],[Цена за единицу (с учетом наценки продавца), руб.]] - Таблица3[[#This Row],[Цена за единицу (с учетом наценки продавца), руб.]]*M274),1)</f>
        <v>619</v>
      </c>
      <c r="O274" s="21">
        <f>VLOOKUP(Таблица3[[#This Row],[Менеджер по продажам]],'Справочная информация'!B$2:C$6,2,0)</f>
        <v>0.15</v>
      </c>
      <c r="P274" s="5">
        <f>Таблица3[[#This Row],[Цена продажи с учетом персональной скидки, руб.]]*O274</f>
        <v>92.85</v>
      </c>
      <c r="Q274" s="61"/>
    </row>
    <row r="275" spans="1:17" x14ac:dyDescent="0.25">
      <c r="A275" s="10">
        <f t="shared" si="4"/>
        <v>274</v>
      </c>
      <c r="B275" s="5" t="s">
        <v>421</v>
      </c>
      <c r="C275" s="5">
        <f>IF(OR(B275="Гаврилов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5" s="5" t="s">
        <v>412</v>
      </c>
      <c r="E275" s="5" t="s">
        <v>356</v>
      </c>
      <c r="F275" s="4" t="s">
        <v>8</v>
      </c>
      <c r="G275" s="5" t="str">
        <f>VLOOKUP(Таблица3[[#This Row],[Наименование товара]],Склад!$A$3:$B$8,2,1)</f>
        <v>Colisto</v>
      </c>
      <c r="H275" s="14">
        <v>45015</v>
      </c>
      <c r="I275" s="8">
        <f>INT((MONTH(Таблица3[[#This Row],[Дата продажи]])+2)/3)</f>
        <v>1</v>
      </c>
      <c r="J275" s="5">
        <f>INDEX(Склад!$A$3:$M$8, MATCH(Таблица3[[#This Row],[Наименование товара]], Склад!$A$3:$A$8, 0), 9)</f>
        <v>97.2</v>
      </c>
      <c r="K27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5" s="5">
        <v>0</v>
      </c>
      <c r="N275" s="5">
        <f>CEILING((Таблица3[[#This Row],[Цена за единицу (с учетом наценки продавца), руб.]] - Таблица3[[#This Row],[Цена за единицу (с учетом наценки продавца), руб.]]*M275),1)</f>
        <v>619</v>
      </c>
      <c r="O275" s="21">
        <f>VLOOKUP(Таблица3[[#This Row],[Менеджер по продажам]],'Справочная информация'!B$2:C$6,2,0)</f>
        <v>0.15</v>
      </c>
      <c r="P275" s="5">
        <f>Таблица3[[#This Row],[Цена продажи с учетом персональной скидки, руб.]]*O275</f>
        <v>92.85</v>
      </c>
      <c r="Q275" s="61"/>
    </row>
    <row r="276" spans="1:17" x14ac:dyDescent="0.25">
      <c r="A276" s="10">
        <f t="shared" si="4"/>
        <v>275</v>
      </c>
      <c r="B276" s="5" t="s">
        <v>421</v>
      </c>
      <c r="C276" s="5">
        <f>IF(OR(B276="Гаврилов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6" s="5" t="s">
        <v>281</v>
      </c>
      <c r="E276" s="5" t="s">
        <v>113</v>
      </c>
      <c r="F276" s="4" t="s">
        <v>8</v>
      </c>
      <c r="G276" s="5" t="str">
        <f>VLOOKUP(Таблица3[[#This Row],[Наименование товара]],Склад!$A$3:$B$8,2,1)</f>
        <v>Colisto</v>
      </c>
      <c r="H276" s="14">
        <v>44988</v>
      </c>
      <c r="I276" s="8">
        <f>INT((MONTH(Таблица3[[#This Row],[Дата продажи]])+2)/3)</f>
        <v>1</v>
      </c>
      <c r="J276" s="5">
        <f>INDEX(Склад!$A$3:$M$8, MATCH(Таблица3[[#This Row],[Наименование товара]], Склад!$A$3:$A$8, 0), 9)</f>
        <v>97.2</v>
      </c>
      <c r="K27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6" s="5">
        <v>0</v>
      </c>
      <c r="N276" s="5">
        <f>CEILING((Таблица3[[#This Row],[Цена за единицу (с учетом наценки продавца), руб.]] - Таблица3[[#This Row],[Цена за единицу (с учетом наценки продавца), руб.]]*M276),1)</f>
        <v>619</v>
      </c>
      <c r="O276" s="21">
        <f>VLOOKUP(Таблица3[[#This Row],[Менеджер по продажам]],'Справочная информация'!B$2:C$6,2,0)</f>
        <v>0.15</v>
      </c>
      <c r="P276" s="5">
        <f>Таблица3[[#This Row],[Цена продажи с учетом персональной скидки, руб.]]*O276</f>
        <v>92.85</v>
      </c>
      <c r="Q276" s="61"/>
    </row>
    <row r="277" spans="1:17" x14ac:dyDescent="0.25">
      <c r="A277" s="10">
        <f t="shared" si="4"/>
        <v>276</v>
      </c>
      <c r="B277" s="5" t="s">
        <v>421</v>
      </c>
      <c r="C277" s="5">
        <f>IF(OR(B277="Гаврилов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7" s="5" t="s">
        <v>140</v>
      </c>
      <c r="E277" s="5" t="s">
        <v>9</v>
      </c>
      <c r="F277" s="4" t="s">
        <v>8</v>
      </c>
      <c r="G277" s="5" t="str">
        <f>VLOOKUP(Таблица3[[#This Row],[Наименование товара]],Склад!$A$3:$B$8,2,1)</f>
        <v>Colisto</v>
      </c>
      <c r="H277" s="14">
        <v>44955</v>
      </c>
      <c r="I277" s="8">
        <f>INT((MONTH(Таблица3[[#This Row],[Дата продажи]])+2)/3)</f>
        <v>1</v>
      </c>
      <c r="J277" s="5">
        <f>INDEX(Склад!$A$3:$M$8, MATCH(Таблица3[[#This Row],[Наименование товара]], Склад!$A$3:$A$8, 0), 9)</f>
        <v>97.2</v>
      </c>
      <c r="K27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7" s="5">
        <v>0</v>
      </c>
      <c r="N277" s="5">
        <f>CEILING((Таблица3[[#This Row],[Цена за единицу (с учетом наценки продавца), руб.]] - Таблица3[[#This Row],[Цена за единицу (с учетом наценки продавца), руб.]]*M277),1)</f>
        <v>619</v>
      </c>
      <c r="O277" s="21">
        <f>VLOOKUP(Таблица3[[#This Row],[Менеджер по продажам]],'Справочная информация'!B$2:C$6,2,0)</f>
        <v>0.15</v>
      </c>
      <c r="P277" s="5">
        <f>Таблица3[[#This Row],[Цена продажи с учетом персональной скидки, руб.]]*O277</f>
        <v>92.85</v>
      </c>
      <c r="Q277" s="61"/>
    </row>
    <row r="278" spans="1:17" x14ac:dyDescent="0.25">
      <c r="A278" s="10">
        <f t="shared" si="4"/>
        <v>277</v>
      </c>
      <c r="B278" s="5" t="s">
        <v>421</v>
      </c>
      <c r="C278" s="5">
        <f>IF(OR(B278="Гаврилов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8" s="5" t="s">
        <v>195</v>
      </c>
      <c r="E278" s="5" t="s">
        <v>34</v>
      </c>
      <c r="F278" s="4" t="s">
        <v>8</v>
      </c>
      <c r="G278" s="5" t="str">
        <f>VLOOKUP(Таблица3[[#This Row],[Наименование товара]],Склад!$A$3:$B$8,2,1)</f>
        <v>Colisto</v>
      </c>
      <c r="H278" s="14">
        <v>44966</v>
      </c>
      <c r="I278" s="8">
        <f>INT((MONTH(Таблица3[[#This Row],[Дата продажи]])+2)/3)</f>
        <v>1</v>
      </c>
      <c r="J278" s="5">
        <f>INDEX(Склад!$A$3:$M$8, MATCH(Таблица3[[#This Row],[Наименование товара]], Склад!$A$3:$A$8, 0), 9)</f>
        <v>97.2</v>
      </c>
      <c r="K27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8" s="5">
        <v>0</v>
      </c>
      <c r="N278" s="5">
        <f>CEILING((Таблица3[[#This Row],[Цена за единицу (с учетом наценки продавца), руб.]] - Таблица3[[#This Row],[Цена за единицу (с учетом наценки продавца), руб.]]*M278),1)</f>
        <v>619</v>
      </c>
      <c r="O278" s="21">
        <f>VLOOKUP(Таблица3[[#This Row],[Менеджер по продажам]],'Справочная информация'!B$2:C$6,2,0)</f>
        <v>0.15</v>
      </c>
      <c r="P278" s="5">
        <f>Таблица3[[#This Row],[Цена продажи с учетом персональной скидки, руб.]]*O278</f>
        <v>92.85</v>
      </c>
      <c r="Q278" s="61"/>
    </row>
    <row r="279" spans="1:17" x14ac:dyDescent="0.25">
      <c r="A279" s="10">
        <f t="shared" si="4"/>
        <v>278</v>
      </c>
      <c r="B279" s="5" t="s">
        <v>421</v>
      </c>
      <c r="C279" s="5">
        <f>IF(OR(B279="Гаврилов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79" s="5" t="s">
        <v>54</v>
      </c>
      <c r="E279" s="5" t="s">
        <v>20</v>
      </c>
      <c r="F279" s="4" t="s">
        <v>8</v>
      </c>
      <c r="G279" s="5" t="str">
        <f>VLOOKUP(Таблица3[[#This Row],[Наименование товара]],Склад!$A$3:$B$8,2,1)</f>
        <v>Colisto</v>
      </c>
      <c r="H279" s="14">
        <v>44936</v>
      </c>
      <c r="I279" s="8">
        <f>INT((MONTH(Таблица3[[#This Row],[Дата продажи]])+2)/3)</f>
        <v>1</v>
      </c>
      <c r="J279" s="5">
        <f>INDEX(Склад!$A$3:$M$8, MATCH(Таблица3[[#This Row],[Наименование товара]], Склад!$A$3:$A$8, 0), 9)</f>
        <v>97.2</v>
      </c>
      <c r="K27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27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279" s="5">
        <v>0</v>
      </c>
      <c r="N279" s="5">
        <f>CEILING((Таблица3[[#This Row],[Цена за единицу (с учетом наценки продавца), руб.]] - Таблица3[[#This Row],[Цена за единицу (с учетом наценки продавца), руб.]]*M279),1)</f>
        <v>619</v>
      </c>
      <c r="O279" s="21">
        <f>VLOOKUP(Таблица3[[#This Row],[Менеджер по продажам]],'Справочная информация'!B$2:C$6,2,0)</f>
        <v>0.15</v>
      </c>
      <c r="P279" s="5">
        <f>Таблица3[[#This Row],[Цена продажи с учетом персональной скидки, руб.]]*O279</f>
        <v>92.85</v>
      </c>
      <c r="Q279" s="61"/>
    </row>
    <row r="280" spans="1:17" x14ac:dyDescent="0.25">
      <c r="A280" s="10">
        <f t="shared" si="4"/>
        <v>279</v>
      </c>
      <c r="B280" s="5" t="s">
        <v>421</v>
      </c>
      <c r="C280" s="5">
        <f>IF(OR(B280="Гаврилов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0" s="5" t="s">
        <v>398</v>
      </c>
      <c r="E280" s="5" t="s">
        <v>356</v>
      </c>
      <c r="F280" s="4" t="s">
        <v>22</v>
      </c>
      <c r="G280" s="5" t="str">
        <f>VLOOKUP(Таблица3[[#This Row],[Наименование товара]],Склад!$A$3:$B$8,2,1)</f>
        <v>Porto</v>
      </c>
      <c r="H280" s="14">
        <v>45012</v>
      </c>
      <c r="I280" s="8">
        <f>INT((MONTH(Таблица3[[#This Row],[Дата продажи]])+2)/3)</f>
        <v>1</v>
      </c>
      <c r="J280" s="5">
        <f>INDEX(Склад!$A$3:$M$8, MATCH(Таблица3[[#This Row],[Наименование товара]], Склад!$A$3:$A$8, 0), 9)</f>
        <v>119.43</v>
      </c>
      <c r="K280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0" s="5">
        <v>0</v>
      </c>
      <c r="N280" s="5">
        <f>CEILING((Таблица3[[#This Row],[Цена за единицу (с учетом наценки продавца), руб.]] - Таблица3[[#This Row],[Цена за единицу (с учетом наценки продавца), руб.]]*M280),1)</f>
        <v>696</v>
      </c>
      <c r="O280" s="21">
        <f>VLOOKUP(Таблица3[[#This Row],[Менеджер по продажам]],'Справочная информация'!B$2:C$6,2,0)</f>
        <v>0.15</v>
      </c>
      <c r="P280" s="5">
        <f>Таблица3[[#This Row],[Цена продажи с учетом персональной скидки, руб.]]*O280</f>
        <v>104.39999999999999</v>
      </c>
      <c r="Q280" s="61"/>
    </row>
    <row r="281" spans="1:17" x14ac:dyDescent="0.25">
      <c r="A281" s="10">
        <f t="shared" si="4"/>
        <v>280</v>
      </c>
      <c r="B281" s="5" t="s">
        <v>421</v>
      </c>
      <c r="C281" s="5">
        <f>IF(OR(B281="Гаврилов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1" s="5" t="s">
        <v>110</v>
      </c>
      <c r="E281" s="5" t="s">
        <v>9</v>
      </c>
      <c r="F281" s="4" t="s">
        <v>22</v>
      </c>
      <c r="G281" s="5" t="str">
        <f>VLOOKUP(Таблица3[[#This Row],[Наименование товара]],Склад!$A$3:$B$8,2,1)</f>
        <v>Porto</v>
      </c>
      <c r="H281" s="14">
        <v>44949</v>
      </c>
      <c r="I281" s="8">
        <f>INT((MONTH(Таблица3[[#This Row],[Дата продажи]])+2)/3)</f>
        <v>1</v>
      </c>
      <c r="J281" s="5">
        <f>INDEX(Склад!$A$3:$M$8, MATCH(Таблица3[[#This Row],[Наименование товара]], Склад!$A$3:$A$8, 0), 9)</f>
        <v>119.43</v>
      </c>
      <c r="K281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1" s="5">
        <v>0</v>
      </c>
      <c r="N281" s="5">
        <f>CEILING((Таблица3[[#This Row],[Цена за единицу (с учетом наценки продавца), руб.]] - Таблица3[[#This Row],[Цена за единицу (с учетом наценки продавца), руб.]]*M281),1)</f>
        <v>696</v>
      </c>
      <c r="O281" s="21">
        <f>VLOOKUP(Таблица3[[#This Row],[Менеджер по продажам]],'Справочная информация'!B$2:C$6,2,0)</f>
        <v>0.15</v>
      </c>
      <c r="P281" s="5">
        <f>Таблица3[[#This Row],[Цена продажи с учетом персональной скидки, руб.]]*O281</f>
        <v>104.39999999999999</v>
      </c>
      <c r="Q281" s="61"/>
    </row>
    <row r="282" spans="1:17" x14ac:dyDescent="0.25">
      <c r="A282" s="10">
        <f t="shared" si="4"/>
        <v>281</v>
      </c>
      <c r="B282" s="5" t="s">
        <v>421</v>
      </c>
      <c r="C282" s="5">
        <f>IF(OR(B282="Гаврилов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2" s="5" t="s">
        <v>163</v>
      </c>
      <c r="E282" s="5" t="s">
        <v>113</v>
      </c>
      <c r="F282" s="4" t="s">
        <v>22</v>
      </c>
      <c r="G282" s="5" t="str">
        <f>VLOOKUP(Таблица3[[#This Row],[Наименование товара]],Склад!$A$3:$B$8,2,1)</f>
        <v>Porto</v>
      </c>
      <c r="H282" s="14">
        <v>44961</v>
      </c>
      <c r="I282" s="8">
        <f>INT((MONTH(Таблица3[[#This Row],[Дата продажи]])+2)/3)</f>
        <v>1</v>
      </c>
      <c r="J282" s="5">
        <f>INDEX(Склад!$A$3:$M$8, MATCH(Таблица3[[#This Row],[Наименование товара]], Склад!$A$3:$A$8, 0), 9)</f>
        <v>119.43</v>
      </c>
      <c r="K282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2" s="5">
        <v>0</v>
      </c>
      <c r="N282" s="5">
        <f>CEILING((Таблица3[[#This Row],[Цена за единицу (с учетом наценки продавца), руб.]] - Таблица3[[#This Row],[Цена за единицу (с учетом наценки продавца), руб.]]*M282),1)</f>
        <v>696</v>
      </c>
      <c r="O282" s="21">
        <f>VLOOKUP(Таблица3[[#This Row],[Менеджер по продажам]],'Справочная информация'!B$2:C$6,2,0)</f>
        <v>0.15</v>
      </c>
      <c r="P282" s="5">
        <f>Таблица3[[#This Row],[Цена продажи с учетом персональной скидки, руб.]]*O282</f>
        <v>104.39999999999999</v>
      </c>
      <c r="Q282" s="61"/>
    </row>
    <row r="283" spans="1:17" x14ac:dyDescent="0.25">
      <c r="A283" s="10">
        <f t="shared" si="4"/>
        <v>282</v>
      </c>
      <c r="B283" s="5" t="s">
        <v>421</v>
      </c>
      <c r="C283" s="5">
        <f>IF(OR(B283="Гаврилов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3" s="5" t="s">
        <v>248</v>
      </c>
      <c r="E283" s="5" t="s">
        <v>18</v>
      </c>
      <c r="F283" s="4" t="s">
        <v>22</v>
      </c>
      <c r="G283" s="5" t="str">
        <f>VLOOKUP(Таблица3[[#This Row],[Наименование товара]],Склад!$A$3:$B$8,2,1)</f>
        <v>Porto</v>
      </c>
      <c r="H283" s="14">
        <v>44980</v>
      </c>
      <c r="I283" s="8">
        <f>INT((MONTH(Таблица3[[#This Row],[Дата продажи]])+2)/3)</f>
        <v>1</v>
      </c>
      <c r="J283" s="5">
        <f>INDEX(Склад!$A$3:$M$8, MATCH(Таблица3[[#This Row],[Наименование товара]], Склад!$A$3:$A$8, 0), 9)</f>
        <v>119.43</v>
      </c>
      <c r="K283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3" s="5">
        <v>0</v>
      </c>
      <c r="N283" s="5">
        <f>CEILING((Таблица3[[#This Row],[Цена за единицу (с учетом наценки продавца), руб.]] - Таблица3[[#This Row],[Цена за единицу (с учетом наценки продавца), руб.]]*M283),1)</f>
        <v>696</v>
      </c>
      <c r="O283" s="21">
        <f>VLOOKUP(Таблица3[[#This Row],[Менеджер по продажам]],'Справочная информация'!B$2:C$6,2,0)</f>
        <v>0.15</v>
      </c>
      <c r="P283" s="5">
        <f>Таблица3[[#This Row],[Цена продажи с учетом персональной скидки, руб.]]*O283</f>
        <v>104.39999999999999</v>
      </c>
      <c r="Q283" s="61"/>
    </row>
    <row r="284" spans="1:17" x14ac:dyDescent="0.25">
      <c r="A284" s="10">
        <f t="shared" si="4"/>
        <v>283</v>
      </c>
      <c r="B284" s="5" t="s">
        <v>421</v>
      </c>
      <c r="C284" s="5">
        <f>IF(OR(B284="Гаврилов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4" s="5" t="s">
        <v>354</v>
      </c>
      <c r="E284" s="5" t="s">
        <v>113</v>
      </c>
      <c r="F284" s="4" t="s">
        <v>22</v>
      </c>
      <c r="G284" s="5" t="str">
        <f>VLOOKUP(Таблица3[[#This Row],[Наименование товара]],Склад!$A$3:$B$8,2,1)</f>
        <v>Porto</v>
      </c>
      <c r="H284" s="14">
        <v>45004</v>
      </c>
      <c r="I284" s="8">
        <f>INT((MONTH(Таблица3[[#This Row],[Дата продажи]])+2)/3)</f>
        <v>1</v>
      </c>
      <c r="J284" s="5">
        <f>INDEX(Склад!$A$3:$M$8, MATCH(Таблица3[[#This Row],[Наименование товара]], Склад!$A$3:$A$8, 0), 9)</f>
        <v>119.43</v>
      </c>
      <c r="K28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4" s="5">
        <v>0</v>
      </c>
      <c r="N284" s="5">
        <f>CEILING((Таблица3[[#This Row],[Цена за единицу (с учетом наценки продавца), руб.]] - Таблица3[[#This Row],[Цена за единицу (с учетом наценки продавца), руб.]]*M284),1)</f>
        <v>696</v>
      </c>
      <c r="O284" s="21">
        <f>VLOOKUP(Таблица3[[#This Row],[Менеджер по продажам]],'Справочная информация'!B$2:C$6,2,0)</f>
        <v>0.15</v>
      </c>
      <c r="P284" s="5">
        <f>Таблица3[[#This Row],[Цена продажи с учетом персональной скидки, руб.]]*O284</f>
        <v>104.39999999999999</v>
      </c>
      <c r="Q284" s="61"/>
    </row>
    <row r="285" spans="1:17" x14ac:dyDescent="0.25">
      <c r="A285" s="10">
        <f t="shared" si="4"/>
        <v>284</v>
      </c>
      <c r="B285" s="5" t="s">
        <v>421</v>
      </c>
      <c r="C285" s="5">
        <f>IF(OR(B285="Гаврилов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5" s="5" t="s">
        <v>228</v>
      </c>
      <c r="E285" s="5" t="s">
        <v>113</v>
      </c>
      <c r="F285" s="4" t="s">
        <v>22</v>
      </c>
      <c r="G285" s="5" t="str">
        <f>VLOOKUP(Таблица3[[#This Row],[Наименование товара]],Склад!$A$3:$B$8,2,1)</f>
        <v>Porto</v>
      </c>
      <c r="H285" s="14">
        <v>44975</v>
      </c>
      <c r="I285" s="8">
        <f>INT((MONTH(Таблица3[[#This Row],[Дата продажи]])+2)/3)</f>
        <v>1</v>
      </c>
      <c r="J285" s="5">
        <f>INDEX(Склад!$A$3:$M$8, MATCH(Таблица3[[#This Row],[Наименование товара]], Склад!$A$3:$A$8, 0), 9)</f>
        <v>119.43</v>
      </c>
      <c r="K285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5" s="5">
        <v>0</v>
      </c>
      <c r="N285" s="5">
        <f>CEILING((Таблица3[[#This Row],[Цена за единицу (с учетом наценки продавца), руб.]] - Таблица3[[#This Row],[Цена за единицу (с учетом наценки продавца), руб.]]*M285),1)</f>
        <v>696</v>
      </c>
      <c r="O285" s="21">
        <f>VLOOKUP(Таблица3[[#This Row],[Менеджер по продажам]],'Справочная информация'!B$2:C$6,2,0)</f>
        <v>0.15</v>
      </c>
      <c r="P285" s="5">
        <f>Таблица3[[#This Row],[Цена продажи с учетом персональной скидки, руб.]]*O285</f>
        <v>104.39999999999999</v>
      </c>
      <c r="Q285" s="61"/>
    </row>
    <row r="286" spans="1:17" x14ac:dyDescent="0.25">
      <c r="A286" s="10">
        <f t="shared" si="4"/>
        <v>285</v>
      </c>
      <c r="B286" s="5" t="s">
        <v>421</v>
      </c>
      <c r="C286" s="5">
        <f>IF(OR(B286="Гаврилов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6" s="5" t="s">
        <v>258</v>
      </c>
      <c r="E286" s="5" t="s">
        <v>9</v>
      </c>
      <c r="F286" s="4" t="s">
        <v>22</v>
      </c>
      <c r="G286" s="5" t="str">
        <f>VLOOKUP(Таблица3[[#This Row],[Наименование товара]],Склад!$A$3:$B$8,2,1)</f>
        <v>Porto</v>
      </c>
      <c r="H286" s="14">
        <v>44983</v>
      </c>
      <c r="I286" s="8">
        <f>INT((MONTH(Таблица3[[#This Row],[Дата продажи]])+2)/3)</f>
        <v>1</v>
      </c>
      <c r="J286" s="5">
        <f>INDEX(Склад!$A$3:$M$8, MATCH(Таблица3[[#This Row],[Наименование товара]], Склад!$A$3:$A$8, 0), 9)</f>
        <v>119.43</v>
      </c>
      <c r="K286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6" s="5">
        <v>0</v>
      </c>
      <c r="N286" s="5">
        <f>CEILING((Таблица3[[#This Row],[Цена за единицу (с учетом наценки продавца), руб.]] - Таблица3[[#This Row],[Цена за единицу (с учетом наценки продавца), руб.]]*M286),1)</f>
        <v>696</v>
      </c>
      <c r="O286" s="21">
        <f>VLOOKUP(Таблица3[[#This Row],[Менеджер по продажам]],'Справочная информация'!B$2:C$6,2,0)</f>
        <v>0.15</v>
      </c>
      <c r="P286" s="5">
        <f>Таблица3[[#This Row],[Цена продажи с учетом персональной скидки, руб.]]*O286</f>
        <v>104.39999999999999</v>
      </c>
      <c r="Q286" s="61"/>
    </row>
    <row r="287" spans="1:17" x14ac:dyDescent="0.25">
      <c r="A287" s="10">
        <f t="shared" si="4"/>
        <v>286</v>
      </c>
      <c r="B287" s="5" t="s">
        <v>421</v>
      </c>
      <c r="C287" s="5">
        <f>IF(OR(B287="Гаврилов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7" s="5" t="s">
        <v>175</v>
      </c>
      <c r="E287" s="5" t="s">
        <v>113</v>
      </c>
      <c r="F287" s="4" t="s">
        <v>22</v>
      </c>
      <c r="G287" s="5" t="str">
        <f>VLOOKUP(Таблица3[[#This Row],[Наименование товара]],Склад!$A$3:$B$8,2,1)</f>
        <v>Porto</v>
      </c>
      <c r="H287" s="14">
        <v>44962</v>
      </c>
      <c r="I287" s="8">
        <f>INT((MONTH(Таблица3[[#This Row],[Дата продажи]])+2)/3)</f>
        <v>1</v>
      </c>
      <c r="J287" s="5">
        <f>INDEX(Склад!$A$3:$M$8, MATCH(Таблица3[[#This Row],[Наименование товара]], Склад!$A$3:$A$8, 0), 9)</f>
        <v>119.43</v>
      </c>
      <c r="K287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7" s="5">
        <v>0</v>
      </c>
      <c r="N287" s="5">
        <f>CEILING((Таблица3[[#This Row],[Цена за единицу (с учетом наценки продавца), руб.]] - Таблица3[[#This Row],[Цена за единицу (с учетом наценки продавца), руб.]]*M287),1)</f>
        <v>696</v>
      </c>
      <c r="O287" s="21">
        <f>VLOOKUP(Таблица3[[#This Row],[Менеджер по продажам]],'Справочная информация'!B$2:C$6,2,0)</f>
        <v>0.15</v>
      </c>
      <c r="P287" s="5">
        <f>Таблица3[[#This Row],[Цена продажи с учетом персональной скидки, руб.]]*O287</f>
        <v>104.39999999999999</v>
      </c>
      <c r="Q287" s="61"/>
    </row>
    <row r="288" spans="1:17" x14ac:dyDescent="0.25">
      <c r="A288" s="10">
        <f t="shared" si="4"/>
        <v>287</v>
      </c>
      <c r="B288" s="5" t="s">
        <v>421</v>
      </c>
      <c r="C288" s="5">
        <f>IF(OR(B288="Гаврилов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8" s="5" t="s">
        <v>331</v>
      </c>
      <c r="E288" s="5" t="s">
        <v>18</v>
      </c>
      <c r="F288" s="4" t="s">
        <v>22</v>
      </c>
      <c r="G288" s="5" t="str">
        <f>VLOOKUP(Таблица3[[#This Row],[Наименование товара]],Склад!$A$3:$B$8,2,1)</f>
        <v>Porto</v>
      </c>
      <c r="H288" s="14">
        <v>44999</v>
      </c>
      <c r="I288" s="8">
        <f>INT((MONTH(Таблица3[[#This Row],[Дата продажи]])+2)/3)</f>
        <v>1</v>
      </c>
      <c r="J288" s="5">
        <f>INDEX(Склад!$A$3:$M$8, MATCH(Таблица3[[#This Row],[Наименование товара]], Склад!$A$3:$A$8, 0), 9)</f>
        <v>119.43</v>
      </c>
      <c r="K288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8" s="5">
        <v>0</v>
      </c>
      <c r="N288" s="5">
        <f>CEILING((Таблица3[[#This Row],[Цена за единицу (с учетом наценки продавца), руб.]] - Таблица3[[#This Row],[Цена за единицу (с учетом наценки продавца), руб.]]*M288),1)</f>
        <v>696</v>
      </c>
      <c r="O288" s="21">
        <f>VLOOKUP(Таблица3[[#This Row],[Менеджер по продажам]],'Справочная информация'!B$2:C$6,2,0)</f>
        <v>0.15</v>
      </c>
      <c r="P288" s="5">
        <f>Таблица3[[#This Row],[Цена продажи с учетом персональной скидки, руб.]]*O288</f>
        <v>104.39999999999999</v>
      </c>
      <c r="Q288" s="61"/>
    </row>
    <row r="289" spans="1:17" x14ac:dyDescent="0.25">
      <c r="A289" s="10">
        <f t="shared" si="4"/>
        <v>288</v>
      </c>
      <c r="B289" s="5" t="s">
        <v>421</v>
      </c>
      <c r="C289" s="5">
        <f>IF(OR(B289="Гаврилов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89" s="5" t="s">
        <v>89</v>
      </c>
      <c r="E289" s="5" t="s">
        <v>20</v>
      </c>
      <c r="F289" s="4" t="s">
        <v>22</v>
      </c>
      <c r="G289" s="5" t="str">
        <f>VLOOKUP(Таблица3[[#This Row],[Наименование товара]],Склад!$A$3:$B$8,2,1)</f>
        <v>Porto</v>
      </c>
      <c r="H289" s="14">
        <v>44944</v>
      </c>
      <c r="I289" s="8">
        <f>INT((MONTH(Таблица3[[#This Row],[Дата продажи]])+2)/3)</f>
        <v>1</v>
      </c>
      <c r="J289" s="5">
        <f>INDEX(Склад!$A$3:$M$8, MATCH(Таблица3[[#This Row],[Наименование товара]], Склад!$A$3:$A$8, 0), 9)</f>
        <v>119.43</v>
      </c>
      <c r="K289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8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89" s="5">
        <v>0</v>
      </c>
      <c r="N289" s="5">
        <f>CEILING((Таблица3[[#This Row],[Цена за единицу (с учетом наценки продавца), руб.]] - Таблица3[[#This Row],[Цена за единицу (с учетом наценки продавца), руб.]]*M289),1)</f>
        <v>696</v>
      </c>
      <c r="O289" s="21">
        <f>VLOOKUP(Таблица3[[#This Row],[Менеджер по продажам]],'Справочная информация'!B$2:C$6,2,0)</f>
        <v>0.15</v>
      </c>
      <c r="P289" s="5">
        <f>Таблица3[[#This Row],[Цена продажи с учетом персональной скидки, руб.]]*O289</f>
        <v>104.39999999999999</v>
      </c>
      <c r="Q289" s="61"/>
    </row>
    <row r="290" spans="1:17" x14ac:dyDescent="0.25">
      <c r="A290" s="10">
        <f t="shared" si="4"/>
        <v>289</v>
      </c>
      <c r="B290" s="5" t="s">
        <v>421</v>
      </c>
      <c r="C290" s="5">
        <f>IF(OR(B290="Гаврилов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0" s="5" t="s">
        <v>249</v>
      </c>
      <c r="E290" s="5" t="s">
        <v>18</v>
      </c>
      <c r="F290" s="4" t="s">
        <v>22</v>
      </c>
      <c r="G290" s="5" t="str">
        <f>VLOOKUP(Таблица3[[#This Row],[Наименование товара]],Склад!$A$3:$B$8,2,1)</f>
        <v>Porto</v>
      </c>
      <c r="H290" s="14">
        <v>44980</v>
      </c>
      <c r="I290" s="8">
        <f>INT((MONTH(Таблица3[[#This Row],[Дата продажи]])+2)/3)</f>
        <v>1</v>
      </c>
      <c r="J290" s="5">
        <f>INDEX(Склад!$A$3:$M$8, MATCH(Таблица3[[#This Row],[Наименование товара]], Склад!$A$3:$A$8, 0), 9)</f>
        <v>119.43</v>
      </c>
      <c r="K290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9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90" s="5">
        <v>0</v>
      </c>
      <c r="N290" s="5">
        <f>CEILING((Таблица3[[#This Row],[Цена за единицу (с учетом наценки продавца), руб.]] - Таблица3[[#This Row],[Цена за единицу (с учетом наценки продавца), руб.]]*M290),1)</f>
        <v>696</v>
      </c>
      <c r="O290" s="21">
        <f>VLOOKUP(Таблица3[[#This Row],[Менеджер по продажам]],'Справочная информация'!B$2:C$6,2,0)</f>
        <v>0.15</v>
      </c>
      <c r="P290" s="5">
        <f>Таблица3[[#This Row],[Цена продажи с учетом персональной скидки, руб.]]*O290</f>
        <v>104.39999999999999</v>
      </c>
      <c r="Q290" s="61"/>
    </row>
    <row r="291" spans="1:17" x14ac:dyDescent="0.25">
      <c r="A291" s="10">
        <f t="shared" si="4"/>
        <v>290</v>
      </c>
      <c r="B291" s="5" t="s">
        <v>421</v>
      </c>
      <c r="C291" s="5">
        <f>IF(OR(B291="Гаврилов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1" s="5" t="s">
        <v>168</v>
      </c>
      <c r="E291" s="5" t="s">
        <v>18</v>
      </c>
      <c r="F291" s="4" t="s">
        <v>22</v>
      </c>
      <c r="G291" s="5" t="str">
        <f>VLOOKUP(Таблица3[[#This Row],[Наименование товара]],Склад!$A$3:$B$8,2,1)</f>
        <v>Porto</v>
      </c>
      <c r="H291" s="14">
        <v>44961</v>
      </c>
      <c r="I291" s="8">
        <f>INT((MONTH(Таблица3[[#This Row],[Дата продажи]])+2)/3)</f>
        <v>1</v>
      </c>
      <c r="J291" s="5">
        <f>INDEX(Склад!$A$3:$M$8, MATCH(Таблица3[[#This Row],[Наименование товара]], Склад!$A$3:$A$8, 0), 9)</f>
        <v>119.43</v>
      </c>
      <c r="K291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9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91" s="5">
        <v>0</v>
      </c>
      <c r="N291" s="5">
        <f>CEILING((Таблица3[[#This Row],[Цена за единицу (с учетом наценки продавца), руб.]] - Таблица3[[#This Row],[Цена за единицу (с учетом наценки продавца), руб.]]*M291),1)</f>
        <v>696</v>
      </c>
      <c r="O291" s="21">
        <f>VLOOKUP(Таблица3[[#This Row],[Менеджер по продажам]],'Справочная информация'!B$2:C$6,2,0)</f>
        <v>0.15</v>
      </c>
      <c r="P291" s="5">
        <f>Таблица3[[#This Row],[Цена продажи с учетом персональной скидки, руб.]]*O291</f>
        <v>104.39999999999999</v>
      </c>
      <c r="Q291" s="61"/>
    </row>
    <row r="292" spans="1:17" x14ac:dyDescent="0.25">
      <c r="A292" s="10">
        <f t="shared" si="4"/>
        <v>291</v>
      </c>
      <c r="B292" s="5" t="s">
        <v>421</v>
      </c>
      <c r="C292" s="5">
        <f>IF(OR(B292="Гаврилов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2" s="5" t="s">
        <v>45</v>
      </c>
      <c r="E292" s="5" t="s">
        <v>9</v>
      </c>
      <c r="F292" s="4" t="s">
        <v>22</v>
      </c>
      <c r="G292" s="5" t="str">
        <f>VLOOKUP(Таблица3[[#This Row],[Наименование товара]],Склад!$A$3:$B$8,2,1)</f>
        <v>Porto</v>
      </c>
      <c r="H292" s="14">
        <v>44934</v>
      </c>
      <c r="I292" s="8">
        <f>INT((MONTH(Таблица3[[#This Row],[Дата продажи]])+2)/3)</f>
        <v>1</v>
      </c>
      <c r="J292" s="5">
        <f>INDEX(Склад!$A$3:$M$8, MATCH(Таблица3[[#This Row],[Наименование товара]], Склад!$A$3:$A$8, 0), 9)</f>
        <v>119.43</v>
      </c>
      <c r="K292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29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292" s="5">
        <v>0.02</v>
      </c>
      <c r="N292" s="5">
        <f>CEILING((Таблица3[[#This Row],[Цена за единицу (с учетом наценки продавца), руб.]] - Таблица3[[#This Row],[Цена за единицу (с учетом наценки продавца), руб.]]*M292),1)</f>
        <v>683</v>
      </c>
      <c r="O292" s="21">
        <f>VLOOKUP(Таблица3[[#This Row],[Менеджер по продажам]],'Справочная информация'!B$2:C$6,2,0)</f>
        <v>0.15</v>
      </c>
      <c r="P292" s="5">
        <f>Таблица3[[#This Row],[Цена продажи с учетом персональной скидки, руб.]]*O292</f>
        <v>102.45</v>
      </c>
      <c r="Q292" s="61"/>
    </row>
    <row r="293" spans="1:17" x14ac:dyDescent="0.25">
      <c r="A293" s="10">
        <f t="shared" si="4"/>
        <v>292</v>
      </c>
      <c r="B293" s="5" t="s">
        <v>421</v>
      </c>
      <c r="C293" s="5">
        <f>IF(OR(B293="Гаврилов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3" s="5" t="s">
        <v>360</v>
      </c>
      <c r="E293" s="5" t="s">
        <v>356</v>
      </c>
      <c r="F293" s="4" t="s">
        <v>37</v>
      </c>
      <c r="G293" s="5" t="str">
        <f>VLOOKUP(Таблица3[[#This Row],[Наименование товара]],Склад!$A$3:$B$8,2,1)</f>
        <v>Porto</v>
      </c>
      <c r="H293" s="14">
        <v>45005</v>
      </c>
      <c r="I293" s="8">
        <f>INT((MONTH(Таблица3[[#This Row],[Дата продажи]])+2)/3)</f>
        <v>1</v>
      </c>
      <c r="J293" s="5">
        <f>INDEX(Склад!$A$3:$M$8, MATCH(Таблица3[[#This Row],[Наименование товара]], Склад!$A$3:$A$8, 0), 9)</f>
        <v>109.24000000000001</v>
      </c>
      <c r="K293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3" s="5">
        <v>0</v>
      </c>
      <c r="N293" s="5">
        <f>CEILING((Таблица3[[#This Row],[Цена за единицу (с учетом наценки продавца), руб.]] - Таблица3[[#This Row],[Цена за единицу (с учетом наценки продавца), руб.]]*M293),1)</f>
        <v>681</v>
      </c>
      <c r="O293" s="21">
        <f>VLOOKUP(Таблица3[[#This Row],[Менеджер по продажам]],'Справочная информация'!B$2:C$6,2,0)</f>
        <v>0.15</v>
      </c>
      <c r="P293" s="5">
        <f>Таблица3[[#This Row],[Цена продажи с учетом персональной скидки, руб.]]*O293</f>
        <v>102.14999999999999</v>
      </c>
      <c r="Q293" s="61"/>
    </row>
    <row r="294" spans="1:17" x14ac:dyDescent="0.25">
      <c r="A294" s="10">
        <f t="shared" si="4"/>
        <v>293</v>
      </c>
      <c r="B294" s="5" t="s">
        <v>421</v>
      </c>
      <c r="C294" s="5">
        <f>IF(OR(B294="Гаврилов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4" s="5" t="s">
        <v>178</v>
      </c>
      <c r="E294" s="5" t="s">
        <v>18</v>
      </c>
      <c r="F294" s="4" t="s">
        <v>37</v>
      </c>
      <c r="G294" s="5" t="str">
        <f>VLOOKUP(Таблица3[[#This Row],[Наименование товара]],Склад!$A$3:$B$8,2,1)</f>
        <v>Porto</v>
      </c>
      <c r="H294" s="14">
        <v>44963</v>
      </c>
      <c r="I294" s="8">
        <f>INT((MONTH(Таблица3[[#This Row],[Дата продажи]])+2)/3)</f>
        <v>1</v>
      </c>
      <c r="J294" s="5">
        <f>INDEX(Склад!$A$3:$M$8, MATCH(Таблица3[[#This Row],[Наименование товара]], Склад!$A$3:$A$8, 0), 9)</f>
        <v>109.24000000000001</v>
      </c>
      <c r="K294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4" s="5">
        <v>0</v>
      </c>
      <c r="N294" s="5">
        <f>CEILING((Таблица3[[#This Row],[Цена за единицу (с учетом наценки продавца), руб.]] - Таблица3[[#This Row],[Цена за единицу (с учетом наценки продавца), руб.]]*M294),1)</f>
        <v>681</v>
      </c>
      <c r="O294" s="21">
        <f>VLOOKUP(Таблица3[[#This Row],[Менеджер по продажам]],'Справочная информация'!B$2:C$6,2,0)</f>
        <v>0.15</v>
      </c>
      <c r="P294" s="5">
        <f>Таблица3[[#This Row],[Цена продажи с учетом персональной скидки, руб.]]*O294</f>
        <v>102.14999999999999</v>
      </c>
      <c r="Q294" s="61"/>
    </row>
    <row r="295" spans="1:17" x14ac:dyDescent="0.25">
      <c r="A295" s="10">
        <f t="shared" si="4"/>
        <v>294</v>
      </c>
      <c r="B295" s="5" t="s">
        <v>421</v>
      </c>
      <c r="C295" s="5">
        <f>IF(OR(B295="Гаврилов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5" s="5" t="s">
        <v>189</v>
      </c>
      <c r="E295" s="5" t="s">
        <v>9</v>
      </c>
      <c r="F295" s="4" t="s">
        <v>37</v>
      </c>
      <c r="G295" s="5" t="str">
        <f>VLOOKUP(Таблица3[[#This Row],[Наименование товара]],Склад!$A$3:$B$8,2,1)</f>
        <v>Porto</v>
      </c>
      <c r="H295" s="14">
        <v>44965</v>
      </c>
      <c r="I295" s="8">
        <f>INT((MONTH(Таблица3[[#This Row],[Дата продажи]])+2)/3)</f>
        <v>1</v>
      </c>
      <c r="J295" s="5">
        <f>INDEX(Склад!$A$3:$M$8, MATCH(Таблица3[[#This Row],[Наименование товара]], Склад!$A$3:$A$8, 0), 9)</f>
        <v>109.24000000000001</v>
      </c>
      <c r="K295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5" s="5">
        <v>0.05</v>
      </c>
      <c r="N295" s="5">
        <f>CEILING((Таблица3[[#This Row],[Цена за единицу (с учетом наценки продавца), руб.]] - Таблица3[[#This Row],[Цена за единицу (с учетом наценки продавца), руб.]]*M295),1)</f>
        <v>647</v>
      </c>
      <c r="O295" s="21">
        <f>VLOOKUP(Таблица3[[#This Row],[Менеджер по продажам]],'Справочная информация'!B$2:C$6,2,0)</f>
        <v>0.15</v>
      </c>
      <c r="P295" s="5">
        <f>Таблица3[[#This Row],[Цена продажи с учетом персональной скидки, руб.]]*O295</f>
        <v>97.05</v>
      </c>
      <c r="Q295" s="61"/>
    </row>
    <row r="296" spans="1:17" x14ac:dyDescent="0.25">
      <c r="A296" s="10">
        <f t="shared" si="4"/>
        <v>295</v>
      </c>
      <c r="B296" s="5" t="s">
        <v>421</v>
      </c>
      <c r="C296" s="5">
        <f>IF(OR(B296="Гаврилов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6" s="5" t="s">
        <v>264</v>
      </c>
      <c r="E296" s="5" t="s">
        <v>18</v>
      </c>
      <c r="F296" s="4" t="s">
        <v>37</v>
      </c>
      <c r="G296" s="5" t="str">
        <f>VLOOKUP(Таблица3[[#This Row],[Наименование товара]],Склад!$A$3:$B$8,2,1)</f>
        <v>Porto</v>
      </c>
      <c r="H296" s="14">
        <v>44985</v>
      </c>
      <c r="I296" s="8">
        <f>INT((MONTH(Таблица3[[#This Row],[Дата продажи]])+2)/3)</f>
        <v>1</v>
      </c>
      <c r="J296" s="5">
        <f>INDEX(Склад!$A$3:$M$8, MATCH(Таблица3[[#This Row],[Наименование товара]], Склад!$A$3:$A$8, 0), 9)</f>
        <v>109.24000000000001</v>
      </c>
      <c r="K296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6" s="5">
        <v>0</v>
      </c>
      <c r="N296" s="5">
        <f>CEILING((Таблица3[[#This Row],[Цена за единицу (с учетом наценки продавца), руб.]] - Таблица3[[#This Row],[Цена за единицу (с учетом наценки продавца), руб.]]*M296),1)</f>
        <v>681</v>
      </c>
      <c r="O296" s="21">
        <f>VLOOKUP(Таблица3[[#This Row],[Менеджер по продажам]],'Справочная информация'!B$2:C$6,2,0)</f>
        <v>0.15</v>
      </c>
      <c r="P296" s="5">
        <f>Таблица3[[#This Row],[Цена продажи с учетом персональной скидки, руб.]]*O296</f>
        <v>102.14999999999999</v>
      </c>
      <c r="Q296" s="61"/>
    </row>
    <row r="297" spans="1:17" x14ac:dyDescent="0.25">
      <c r="A297" s="10">
        <f t="shared" si="4"/>
        <v>296</v>
      </c>
      <c r="B297" s="5" t="s">
        <v>421</v>
      </c>
      <c r="C297" s="5">
        <f>IF(OR(B297="Гаврилов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7" s="5" t="s">
        <v>285</v>
      </c>
      <c r="E297" s="5" t="s">
        <v>113</v>
      </c>
      <c r="F297" s="4" t="s">
        <v>37</v>
      </c>
      <c r="G297" s="5" t="str">
        <f>VLOOKUP(Таблица3[[#This Row],[Наименование товара]],Склад!$A$3:$B$8,2,1)</f>
        <v>Porto</v>
      </c>
      <c r="H297" s="14">
        <v>44989</v>
      </c>
      <c r="I297" s="8">
        <f>INT((MONTH(Таблица3[[#This Row],[Дата продажи]])+2)/3)</f>
        <v>1</v>
      </c>
      <c r="J297" s="5">
        <f>INDEX(Склад!$A$3:$M$8, MATCH(Таблица3[[#This Row],[Наименование товара]], Склад!$A$3:$A$8, 0), 9)</f>
        <v>109.24000000000001</v>
      </c>
      <c r="K297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7" s="5">
        <v>0</v>
      </c>
      <c r="N297" s="5">
        <f>CEILING((Таблица3[[#This Row],[Цена за единицу (с учетом наценки продавца), руб.]] - Таблица3[[#This Row],[Цена за единицу (с учетом наценки продавца), руб.]]*M297),1)</f>
        <v>681</v>
      </c>
      <c r="O297" s="21">
        <f>VLOOKUP(Таблица3[[#This Row],[Менеджер по продажам]],'Справочная информация'!B$2:C$6,2,0)</f>
        <v>0.15</v>
      </c>
      <c r="P297" s="5">
        <f>Таблица3[[#This Row],[Цена продажи с учетом персональной скидки, руб.]]*O297</f>
        <v>102.14999999999999</v>
      </c>
      <c r="Q297" s="61"/>
    </row>
    <row r="298" spans="1:17" x14ac:dyDescent="0.25">
      <c r="A298" s="10">
        <f t="shared" si="4"/>
        <v>297</v>
      </c>
      <c r="B298" s="5" t="s">
        <v>421</v>
      </c>
      <c r="C298" s="5">
        <f>IF(OR(B298="Гаврилов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8" s="5" t="s">
        <v>321</v>
      </c>
      <c r="E298" s="5" t="s">
        <v>9</v>
      </c>
      <c r="F298" s="4" t="s">
        <v>37</v>
      </c>
      <c r="G298" s="5" t="str">
        <f>VLOOKUP(Таблица3[[#This Row],[Наименование товара]],Склад!$A$3:$B$8,2,1)</f>
        <v>Porto</v>
      </c>
      <c r="H298" s="14">
        <v>44997</v>
      </c>
      <c r="I298" s="8">
        <f>INT((MONTH(Таблица3[[#This Row],[Дата продажи]])+2)/3)</f>
        <v>1</v>
      </c>
      <c r="J298" s="5">
        <f>INDEX(Склад!$A$3:$M$8, MATCH(Таблица3[[#This Row],[Наименование товара]], Склад!$A$3:$A$8, 0), 9)</f>
        <v>109.24000000000001</v>
      </c>
      <c r="K298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8" s="5">
        <v>0</v>
      </c>
      <c r="N298" s="5">
        <f>CEILING((Таблица3[[#This Row],[Цена за единицу (с учетом наценки продавца), руб.]] - Таблица3[[#This Row],[Цена за единицу (с учетом наценки продавца), руб.]]*M298),1)</f>
        <v>681</v>
      </c>
      <c r="O298" s="21">
        <f>VLOOKUP(Таблица3[[#This Row],[Менеджер по продажам]],'Справочная информация'!B$2:C$6,2,0)</f>
        <v>0.15</v>
      </c>
      <c r="P298" s="5">
        <f>Таблица3[[#This Row],[Цена продажи с учетом персональной скидки, руб.]]*O298</f>
        <v>102.14999999999999</v>
      </c>
      <c r="Q298" s="61"/>
    </row>
    <row r="299" spans="1:17" x14ac:dyDescent="0.25">
      <c r="A299" s="10">
        <f t="shared" si="4"/>
        <v>298</v>
      </c>
      <c r="B299" s="5" t="s">
        <v>421</v>
      </c>
      <c r="C299" s="5">
        <f>IF(OR(B299="Гаврилов Н.А.",Таблица3[[#This Row],[Менеджер по продажам]]="Никифорова В.М."),1,IF(Таблица3[[#This Row],[Менеджер по продажам]]="Соколов Г.П.",3,2))</f>
        <v>2</v>
      </c>
      <c r="D299" s="5" t="s">
        <v>70</v>
      </c>
      <c r="E299" s="5" t="s">
        <v>9</v>
      </c>
      <c r="F299" s="4" t="s">
        <v>37</v>
      </c>
      <c r="G299" s="5" t="str">
        <f>VLOOKUP(Таблица3[[#This Row],[Наименование товара]],Склад!$A$3:$B$8,2,1)</f>
        <v>Porto</v>
      </c>
      <c r="H299" s="14">
        <v>44939</v>
      </c>
      <c r="I299" s="8">
        <f>INT((MONTH(Таблица3[[#This Row],[Дата продажи]])+2)/3)</f>
        <v>1</v>
      </c>
      <c r="J299" s="5">
        <f>INDEX(Склад!$A$3:$M$8, MATCH(Таблица3[[#This Row],[Наименование товара]], Склад!$A$3:$A$8, 0), 9)</f>
        <v>109.24000000000001</v>
      </c>
      <c r="K299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29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299" s="5">
        <v>0</v>
      </c>
      <c r="N299" s="5">
        <f>CEILING((Таблица3[[#This Row],[Цена за единицу (с учетом наценки продавца), руб.]] - Таблица3[[#This Row],[Цена за единицу (с учетом наценки продавца), руб.]]*M299),1)</f>
        <v>681</v>
      </c>
      <c r="O299" s="21">
        <f>VLOOKUP(Таблица3[[#This Row],[Менеджер по продажам]],'Справочная информация'!B$2:C$6,2,0)</f>
        <v>0.15</v>
      </c>
      <c r="P299" s="5">
        <f>Таблица3[[#This Row],[Цена продажи с учетом персональной скидки, руб.]]*O299</f>
        <v>102.14999999999999</v>
      </c>
      <c r="Q299" s="61"/>
    </row>
    <row r="300" spans="1:17" x14ac:dyDescent="0.25">
      <c r="A300" s="10">
        <f t="shared" si="4"/>
        <v>299</v>
      </c>
      <c r="B300" s="5" t="s">
        <v>421</v>
      </c>
      <c r="C300" s="5">
        <f>IF(OR(B300="Гаврилов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0" s="5" t="s">
        <v>160</v>
      </c>
      <c r="E300" s="5" t="s">
        <v>20</v>
      </c>
      <c r="F300" s="4" t="s">
        <v>37</v>
      </c>
      <c r="G300" s="5" t="str">
        <f>VLOOKUP(Таблица3[[#This Row],[Наименование товара]],Склад!$A$3:$B$8,2,1)</f>
        <v>Porto</v>
      </c>
      <c r="H300" s="14">
        <v>44960</v>
      </c>
      <c r="I300" s="8">
        <f>INT((MONTH(Таблица3[[#This Row],[Дата продажи]])+2)/3)</f>
        <v>1</v>
      </c>
      <c r="J300" s="5">
        <f>INDEX(Склад!$A$3:$M$8, MATCH(Таблица3[[#This Row],[Наименование товара]], Склад!$A$3:$A$8, 0), 9)</f>
        <v>109.24000000000001</v>
      </c>
      <c r="K300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0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00" s="5">
        <v>0</v>
      </c>
      <c r="N300" s="5">
        <f>CEILING((Таблица3[[#This Row],[Цена за единицу (с учетом наценки продавца), руб.]] - Таблица3[[#This Row],[Цена за единицу (с учетом наценки продавца), руб.]]*M300),1)</f>
        <v>681</v>
      </c>
      <c r="O300" s="21">
        <f>VLOOKUP(Таблица3[[#This Row],[Менеджер по продажам]],'Справочная информация'!B$2:C$6,2,0)</f>
        <v>0.15</v>
      </c>
      <c r="P300" s="5">
        <f>Таблица3[[#This Row],[Цена продажи с учетом персональной скидки, руб.]]*O300</f>
        <v>102.14999999999999</v>
      </c>
      <c r="Q300" s="61"/>
    </row>
    <row r="301" spans="1:17" x14ac:dyDescent="0.25">
      <c r="A301" s="10">
        <f t="shared" si="4"/>
        <v>300</v>
      </c>
      <c r="B301" s="5" t="s">
        <v>421</v>
      </c>
      <c r="C301" s="5">
        <f>IF(OR(B301="Гаврилов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1" s="5" t="s">
        <v>397</v>
      </c>
      <c r="E301" s="5" t="s">
        <v>356</v>
      </c>
      <c r="F301" s="4" t="s">
        <v>37</v>
      </c>
      <c r="G301" s="5" t="str">
        <f>VLOOKUP(Таблица3[[#This Row],[Наименование товара]],Склад!$A$3:$B$8,2,1)</f>
        <v>Porto</v>
      </c>
      <c r="H301" s="14">
        <v>45011</v>
      </c>
      <c r="I301" s="8">
        <f>INT((MONTH(Таблица3[[#This Row],[Дата продажи]])+2)/3)</f>
        <v>1</v>
      </c>
      <c r="J301" s="5">
        <f>INDEX(Склад!$A$3:$M$8, MATCH(Таблица3[[#This Row],[Наименование товара]], Склад!$A$3:$A$8, 0), 9)</f>
        <v>109.24000000000001</v>
      </c>
      <c r="K301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0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01" s="5">
        <v>0</v>
      </c>
      <c r="N301" s="5">
        <f>CEILING((Таблица3[[#This Row],[Цена за единицу (с учетом наценки продавца), руб.]] - Таблица3[[#This Row],[Цена за единицу (с учетом наценки продавца), руб.]]*M301),1)</f>
        <v>681</v>
      </c>
      <c r="O301" s="21">
        <f>VLOOKUP(Таблица3[[#This Row],[Менеджер по продажам]],'Справочная информация'!B$2:C$6,2,0)</f>
        <v>0.15</v>
      </c>
      <c r="P301" s="5">
        <f>Таблица3[[#This Row],[Цена продажи с учетом персональной скидки, руб.]]*O301</f>
        <v>102.14999999999999</v>
      </c>
      <c r="Q301" s="61"/>
    </row>
    <row r="302" spans="1:17" x14ac:dyDescent="0.25">
      <c r="A302" s="10">
        <f t="shared" si="4"/>
        <v>301</v>
      </c>
      <c r="B302" s="5" t="s">
        <v>421</v>
      </c>
      <c r="C302" s="5">
        <f>IF(OR(B302="Гаврилов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2" s="5" t="s">
        <v>185</v>
      </c>
      <c r="E302" s="5" t="s">
        <v>20</v>
      </c>
      <c r="F302" s="4" t="s">
        <v>37</v>
      </c>
      <c r="G302" s="5" t="str">
        <f>VLOOKUP(Таблица3[[#This Row],[Наименование товара]],Склад!$A$3:$B$8,2,1)</f>
        <v>Porto</v>
      </c>
      <c r="H302" s="14">
        <v>44964</v>
      </c>
      <c r="I302" s="8">
        <f>INT((MONTH(Таблица3[[#This Row],[Дата продажи]])+2)/3)</f>
        <v>1</v>
      </c>
      <c r="J302" s="5">
        <f>INDEX(Склад!$A$3:$M$8, MATCH(Таблица3[[#This Row],[Наименование товара]], Склад!$A$3:$A$8, 0), 9)</f>
        <v>109.24000000000001</v>
      </c>
      <c r="K302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0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02" s="5">
        <v>0</v>
      </c>
      <c r="N302" s="5">
        <f>CEILING((Таблица3[[#This Row],[Цена за единицу (с учетом наценки продавца), руб.]] - Таблица3[[#This Row],[Цена за единицу (с учетом наценки продавца), руб.]]*M302),1)</f>
        <v>681</v>
      </c>
      <c r="O302" s="21">
        <f>VLOOKUP(Таблица3[[#This Row],[Менеджер по продажам]],'Справочная информация'!B$2:C$6,2,0)</f>
        <v>0.15</v>
      </c>
      <c r="P302" s="5">
        <f>Таблица3[[#This Row],[Цена продажи с учетом персональной скидки, руб.]]*O302</f>
        <v>102.14999999999999</v>
      </c>
      <c r="Q302" s="61"/>
    </row>
    <row r="303" spans="1:17" x14ac:dyDescent="0.25">
      <c r="A303" s="10">
        <f t="shared" si="4"/>
        <v>302</v>
      </c>
      <c r="B303" s="5" t="s">
        <v>421</v>
      </c>
      <c r="C303" s="5">
        <f>IF(OR(B303="Гаврилов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3" s="5" t="s">
        <v>230</v>
      </c>
      <c r="E303" s="5" t="s">
        <v>9</v>
      </c>
      <c r="F303" s="4" t="s">
        <v>17</v>
      </c>
      <c r="G303" s="5" t="str">
        <f>VLOOKUP(Таблица3[[#This Row],[Наименование товара]],Склад!$A$3:$B$8,2,1)</f>
        <v>Porto</v>
      </c>
      <c r="H303" s="14">
        <v>44976</v>
      </c>
      <c r="I303" s="8">
        <f>INT((MONTH(Таблица3[[#This Row],[Дата продажи]])+2)/3)</f>
        <v>1</v>
      </c>
      <c r="J303" s="5">
        <f>INDEX(Склад!$A$3:$M$8, MATCH(Таблица3[[#This Row],[Наименование товара]], Склад!$A$3:$A$8, 0), 9)</f>
        <v>131.76999999999998</v>
      </c>
      <c r="K30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3" s="5">
        <v>0</v>
      </c>
      <c r="N303" s="5">
        <f>CEILING((Таблица3[[#This Row],[Цена за единицу (с учетом наценки продавца), руб.]] - Таблица3[[#This Row],[Цена за единицу (с учетом наценки продавца), руб.]]*M303),1)</f>
        <v>715</v>
      </c>
      <c r="O303" s="21">
        <f>VLOOKUP(Таблица3[[#This Row],[Менеджер по продажам]],'Справочная информация'!B$2:C$6,2,0)</f>
        <v>0.15</v>
      </c>
      <c r="P303" s="5">
        <f>Таблица3[[#This Row],[Цена продажи с учетом персональной скидки, руб.]]*O303</f>
        <v>107.25</v>
      </c>
      <c r="Q303" s="61"/>
    </row>
    <row r="304" spans="1:17" x14ac:dyDescent="0.25">
      <c r="A304" s="10">
        <f t="shared" si="4"/>
        <v>303</v>
      </c>
      <c r="B304" s="5" t="s">
        <v>421</v>
      </c>
      <c r="C304" s="5">
        <f>IF(OR(B304="Гаврилов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4" s="5" t="s">
        <v>292</v>
      </c>
      <c r="E304" s="5" t="s">
        <v>9</v>
      </c>
      <c r="F304" s="4" t="s">
        <v>17</v>
      </c>
      <c r="G304" s="5" t="str">
        <f>VLOOKUP(Таблица3[[#This Row],[Наименование товара]],Склад!$A$3:$B$8,2,1)</f>
        <v>Porto</v>
      </c>
      <c r="H304" s="14">
        <v>44991</v>
      </c>
      <c r="I304" s="8">
        <f>INT((MONTH(Таблица3[[#This Row],[Дата продажи]])+2)/3)</f>
        <v>1</v>
      </c>
      <c r="J304" s="5">
        <f>INDEX(Склад!$A$3:$M$8, MATCH(Таблица3[[#This Row],[Наименование товара]], Склад!$A$3:$A$8, 0), 9)</f>
        <v>131.76999999999998</v>
      </c>
      <c r="K30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4" s="5">
        <v>0</v>
      </c>
      <c r="N304" s="5">
        <f>CEILING((Таблица3[[#This Row],[Цена за единицу (с учетом наценки продавца), руб.]] - Таблица3[[#This Row],[Цена за единицу (с учетом наценки продавца), руб.]]*M304),1)</f>
        <v>715</v>
      </c>
      <c r="O304" s="21">
        <f>VLOOKUP(Таблица3[[#This Row],[Менеджер по продажам]],'Справочная информация'!B$2:C$6,2,0)</f>
        <v>0.15</v>
      </c>
      <c r="P304" s="5">
        <f>Таблица3[[#This Row],[Цена продажи с учетом персональной скидки, руб.]]*O304</f>
        <v>107.25</v>
      </c>
      <c r="Q304" s="61"/>
    </row>
    <row r="305" spans="1:17" x14ac:dyDescent="0.25">
      <c r="A305" s="10">
        <f t="shared" si="4"/>
        <v>304</v>
      </c>
      <c r="B305" s="5" t="s">
        <v>421</v>
      </c>
      <c r="C305" s="5">
        <f>IF(OR(B305="Гаврилов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5" s="5" t="s">
        <v>198</v>
      </c>
      <c r="E305" s="5" t="s">
        <v>9</v>
      </c>
      <c r="F305" s="4" t="s">
        <v>17</v>
      </c>
      <c r="G305" s="5" t="str">
        <f>VLOOKUP(Таблица3[[#This Row],[Наименование товара]],Склад!$A$3:$B$8,2,1)</f>
        <v>Porto</v>
      </c>
      <c r="H305" s="14">
        <v>44967</v>
      </c>
      <c r="I305" s="8">
        <f>INT((MONTH(Таблица3[[#This Row],[Дата продажи]])+2)/3)</f>
        <v>1</v>
      </c>
      <c r="J305" s="5">
        <f>INDEX(Склад!$A$3:$M$8, MATCH(Таблица3[[#This Row],[Наименование товара]], Склад!$A$3:$A$8, 0), 9)</f>
        <v>131.76999999999998</v>
      </c>
      <c r="K30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5" s="5">
        <v>0</v>
      </c>
      <c r="N305" s="5">
        <f>CEILING((Таблица3[[#This Row],[Цена за единицу (с учетом наценки продавца), руб.]] - Таблица3[[#This Row],[Цена за единицу (с учетом наценки продавца), руб.]]*M305),1)</f>
        <v>715</v>
      </c>
      <c r="O305" s="21">
        <f>VLOOKUP(Таблица3[[#This Row],[Менеджер по продажам]],'Справочная информация'!B$2:C$6,2,0)</f>
        <v>0.15</v>
      </c>
      <c r="P305" s="5">
        <f>Таблица3[[#This Row],[Цена продажи с учетом персональной скидки, руб.]]*O305</f>
        <v>107.25</v>
      </c>
      <c r="Q305" s="61"/>
    </row>
    <row r="306" spans="1:17" x14ac:dyDescent="0.25">
      <c r="A306" s="10">
        <f t="shared" si="4"/>
        <v>305</v>
      </c>
      <c r="B306" s="5" t="s">
        <v>421</v>
      </c>
      <c r="C306" s="5">
        <f>IF(OR(B306="Гаврилов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6" s="5" t="s">
        <v>273</v>
      </c>
      <c r="E306" s="5" t="s">
        <v>20</v>
      </c>
      <c r="F306" s="4" t="s">
        <v>17</v>
      </c>
      <c r="G306" s="5" t="str">
        <f>VLOOKUP(Таблица3[[#This Row],[Наименование товара]],Склад!$A$3:$B$8,2,1)</f>
        <v>Porto</v>
      </c>
      <c r="H306" s="14">
        <v>44987</v>
      </c>
      <c r="I306" s="8">
        <f>INT((MONTH(Таблица3[[#This Row],[Дата продажи]])+2)/3)</f>
        <v>1</v>
      </c>
      <c r="J306" s="5">
        <f>INDEX(Склад!$A$3:$M$8, MATCH(Таблица3[[#This Row],[Наименование товара]], Склад!$A$3:$A$8, 0), 9)</f>
        <v>131.76999999999998</v>
      </c>
      <c r="K30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6" s="5">
        <v>0</v>
      </c>
      <c r="N306" s="5">
        <f>CEILING((Таблица3[[#This Row],[Цена за единицу (с учетом наценки продавца), руб.]] - Таблица3[[#This Row],[Цена за единицу (с учетом наценки продавца), руб.]]*M306),1)</f>
        <v>715</v>
      </c>
      <c r="O306" s="21">
        <f>VLOOKUP(Таблица3[[#This Row],[Менеджер по продажам]],'Справочная информация'!B$2:C$6,2,0)</f>
        <v>0.15</v>
      </c>
      <c r="P306" s="5">
        <f>Таблица3[[#This Row],[Цена продажи с учетом персональной скидки, руб.]]*O306</f>
        <v>107.25</v>
      </c>
      <c r="Q306" s="61"/>
    </row>
    <row r="307" spans="1:17" x14ac:dyDescent="0.25">
      <c r="A307" s="10">
        <f t="shared" si="4"/>
        <v>306</v>
      </c>
      <c r="B307" s="5" t="s">
        <v>421</v>
      </c>
      <c r="C307" s="5">
        <f>IF(OR(B307="Гаврилов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7" s="5" t="s">
        <v>210</v>
      </c>
      <c r="E307" s="5" t="s">
        <v>113</v>
      </c>
      <c r="F307" s="4" t="s">
        <v>17</v>
      </c>
      <c r="G307" s="5" t="str">
        <f>VLOOKUP(Таблица3[[#This Row],[Наименование товара]],Склад!$A$3:$B$8,2,1)</f>
        <v>Porto</v>
      </c>
      <c r="H307" s="14">
        <v>44970</v>
      </c>
      <c r="I307" s="8">
        <f>INT((MONTH(Таблица3[[#This Row],[Дата продажи]])+2)/3)</f>
        <v>1</v>
      </c>
      <c r="J307" s="5">
        <f>INDEX(Склад!$A$3:$M$8, MATCH(Таблица3[[#This Row],[Наименование товара]], Склад!$A$3:$A$8, 0), 9)</f>
        <v>131.76999999999998</v>
      </c>
      <c r="K30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7" s="5">
        <v>0</v>
      </c>
      <c r="N307" s="5">
        <f>CEILING((Таблица3[[#This Row],[Цена за единицу (с учетом наценки продавца), руб.]] - Таблица3[[#This Row],[Цена за единицу (с учетом наценки продавца), руб.]]*M307),1)</f>
        <v>715</v>
      </c>
      <c r="O307" s="21">
        <f>VLOOKUP(Таблица3[[#This Row],[Менеджер по продажам]],'Справочная информация'!B$2:C$6,2,0)</f>
        <v>0.15</v>
      </c>
      <c r="P307" s="5">
        <f>Таблица3[[#This Row],[Цена продажи с учетом персональной скидки, руб.]]*O307</f>
        <v>107.25</v>
      </c>
      <c r="Q307" s="61"/>
    </row>
    <row r="308" spans="1:17" x14ac:dyDescent="0.25">
      <c r="A308" s="10">
        <f t="shared" si="4"/>
        <v>307</v>
      </c>
      <c r="B308" s="5" t="s">
        <v>421</v>
      </c>
      <c r="C308" s="5">
        <f>IF(OR(B308="Гаврилов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8" s="5" t="s">
        <v>112</v>
      </c>
      <c r="E308" s="5" t="s">
        <v>113</v>
      </c>
      <c r="F308" s="4" t="s">
        <v>17</v>
      </c>
      <c r="G308" s="5" t="str">
        <f>VLOOKUP(Таблица3[[#This Row],[Наименование товара]],Склад!$A$3:$B$8,2,1)</f>
        <v>Porto</v>
      </c>
      <c r="H308" s="14">
        <v>44949</v>
      </c>
      <c r="I308" s="8">
        <f>INT((MONTH(Таблица3[[#This Row],[Дата продажи]])+2)/3)</f>
        <v>1</v>
      </c>
      <c r="J308" s="5">
        <f>INDEX(Склад!$A$3:$M$8, MATCH(Таблица3[[#This Row],[Наименование товара]], Склад!$A$3:$A$8, 0), 9)</f>
        <v>131.76999999999998</v>
      </c>
      <c r="K30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8" s="5">
        <v>0</v>
      </c>
      <c r="N308" s="5">
        <f>CEILING((Таблица3[[#This Row],[Цена за единицу (с учетом наценки продавца), руб.]] - Таблица3[[#This Row],[Цена за единицу (с учетом наценки продавца), руб.]]*M308),1)</f>
        <v>715</v>
      </c>
      <c r="O308" s="21">
        <f>VLOOKUP(Таблица3[[#This Row],[Менеджер по продажам]],'Справочная информация'!B$2:C$6,2,0)</f>
        <v>0.15</v>
      </c>
      <c r="P308" s="5">
        <f>Таблица3[[#This Row],[Цена продажи с учетом персональной скидки, руб.]]*O308</f>
        <v>107.25</v>
      </c>
      <c r="Q308" s="61"/>
    </row>
    <row r="309" spans="1:17" x14ac:dyDescent="0.25">
      <c r="A309" s="10">
        <f t="shared" si="4"/>
        <v>308</v>
      </c>
      <c r="B309" s="5" t="s">
        <v>421</v>
      </c>
      <c r="C309" s="5">
        <f>IF(OR(B309="Гаврилов Н.А.",Таблица3[[#This Row],[Менеджер по продажам]]="Никифорова В.М."),1,IF(Таблица3[[#This Row],[Менеджер по продажам]]="Соколов Г.П.",3,2))</f>
        <v>2</v>
      </c>
      <c r="D309" s="5" t="s">
        <v>172</v>
      </c>
      <c r="E309" s="5" t="s">
        <v>9</v>
      </c>
      <c r="F309" s="4" t="s">
        <v>17</v>
      </c>
      <c r="G309" s="5" t="str">
        <f>VLOOKUP(Таблица3[[#This Row],[Наименование товара]],Склад!$A$3:$B$8,2,1)</f>
        <v>Porto</v>
      </c>
      <c r="H309" s="14">
        <v>44962</v>
      </c>
      <c r="I309" s="8">
        <f>INT((MONTH(Таблица3[[#This Row],[Дата продажи]])+2)/3)</f>
        <v>1</v>
      </c>
      <c r="J309" s="5">
        <f>INDEX(Склад!$A$3:$M$8, MATCH(Таблица3[[#This Row],[Наименование товара]], Склад!$A$3:$A$8, 0), 9)</f>
        <v>131.76999999999998</v>
      </c>
      <c r="K30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0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09" s="5">
        <v>0</v>
      </c>
      <c r="N309" s="5">
        <f>CEILING((Таблица3[[#This Row],[Цена за единицу (с учетом наценки продавца), руб.]] - Таблица3[[#This Row],[Цена за единицу (с учетом наценки продавца), руб.]]*M309),1)</f>
        <v>715</v>
      </c>
      <c r="O309" s="21">
        <f>VLOOKUP(Таблица3[[#This Row],[Менеджер по продажам]],'Справочная информация'!B$2:C$6,2,0)</f>
        <v>0.15</v>
      </c>
      <c r="P309" s="5">
        <f>Таблица3[[#This Row],[Цена продажи с учетом персональной скидки, руб.]]*O309</f>
        <v>107.25</v>
      </c>
      <c r="Q309" s="61"/>
    </row>
    <row r="310" spans="1:17" x14ac:dyDescent="0.25">
      <c r="A310" s="10">
        <f t="shared" si="4"/>
        <v>309</v>
      </c>
      <c r="B310" s="5" t="s">
        <v>421</v>
      </c>
      <c r="C310" s="5">
        <f>IF(OR(B310="Гаврилов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0" s="5" t="s">
        <v>215</v>
      </c>
      <c r="E310" s="5" t="s">
        <v>9</v>
      </c>
      <c r="F310" s="4" t="s">
        <v>17</v>
      </c>
      <c r="G310" s="5" t="str">
        <f>VLOOKUP(Таблица3[[#This Row],[Наименование товара]],Склад!$A$3:$B$8,2,1)</f>
        <v>Porto</v>
      </c>
      <c r="H310" s="14">
        <v>44971</v>
      </c>
      <c r="I310" s="8">
        <f>INT((MONTH(Таблица3[[#This Row],[Дата продажи]])+2)/3)</f>
        <v>1</v>
      </c>
      <c r="J310" s="5">
        <f>INDEX(Склад!$A$3:$M$8, MATCH(Таблица3[[#This Row],[Наименование товара]], Склад!$A$3:$A$8, 0), 9)</f>
        <v>131.76999999999998</v>
      </c>
      <c r="K31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0" s="5">
        <v>0</v>
      </c>
      <c r="N310" s="5">
        <f>CEILING((Таблица3[[#This Row],[Цена за единицу (с учетом наценки продавца), руб.]] - Таблица3[[#This Row],[Цена за единицу (с учетом наценки продавца), руб.]]*M310),1)</f>
        <v>715</v>
      </c>
      <c r="O310" s="21">
        <f>VLOOKUP(Таблица3[[#This Row],[Менеджер по продажам]],'Справочная информация'!B$2:C$6,2,0)</f>
        <v>0.15</v>
      </c>
      <c r="P310" s="5">
        <f>Таблица3[[#This Row],[Цена продажи с учетом персональной скидки, руб.]]*O310</f>
        <v>107.25</v>
      </c>
      <c r="Q310" s="61"/>
    </row>
    <row r="311" spans="1:17" x14ac:dyDescent="0.25">
      <c r="A311" s="10">
        <f t="shared" si="4"/>
        <v>310</v>
      </c>
      <c r="B311" s="5" t="s">
        <v>421</v>
      </c>
      <c r="C311" s="5">
        <f>IF(OR(B311="Гаврилов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1" s="5" t="s">
        <v>137</v>
      </c>
      <c r="E311" s="5" t="s">
        <v>18</v>
      </c>
      <c r="F311" s="4" t="s">
        <v>17</v>
      </c>
      <c r="G311" s="5" t="str">
        <f>VLOOKUP(Таблица3[[#This Row],[Наименование товара]],Склад!$A$3:$B$8,2,1)</f>
        <v>Porto</v>
      </c>
      <c r="H311" s="14">
        <v>44955</v>
      </c>
      <c r="I311" s="8">
        <f>INT((MONTH(Таблица3[[#This Row],[Дата продажи]])+2)/3)</f>
        <v>1</v>
      </c>
      <c r="J311" s="5">
        <f>INDEX(Склад!$A$3:$M$8, MATCH(Таблица3[[#This Row],[Наименование товара]], Склад!$A$3:$A$8, 0), 9)</f>
        <v>131.76999999999998</v>
      </c>
      <c r="K31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1" s="5">
        <v>0</v>
      </c>
      <c r="N311" s="5">
        <f>CEILING((Таблица3[[#This Row],[Цена за единицу (с учетом наценки продавца), руб.]] - Таблица3[[#This Row],[Цена за единицу (с учетом наценки продавца), руб.]]*M311),1)</f>
        <v>715</v>
      </c>
      <c r="O311" s="21">
        <f>VLOOKUP(Таблица3[[#This Row],[Менеджер по продажам]],'Справочная информация'!B$2:C$6,2,0)</f>
        <v>0.15</v>
      </c>
      <c r="P311" s="5">
        <f>Таблица3[[#This Row],[Цена продажи с учетом персональной скидки, руб.]]*O311</f>
        <v>107.25</v>
      </c>
      <c r="Q311" s="61"/>
    </row>
    <row r="312" spans="1:17" x14ac:dyDescent="0.25">
      <c r="A312" s="10">
        <f t="shared" si="4"/>
        <v>311</v>
      </c>
      <c r="B312" s="5" t="s">
        <v>421</v>
      </c>
      <c r="C312" s="5">
        <f>IF(OR(B312="Гаврилов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2" s="5" t="s">
        <v>16</v>
      </c>
      <c r="E312" s="5" t="s">
        <v>18</v>
      </c>
      <c r="F312" s="4" t="s">
        <v>17</v>
      </c>
      <c r="G312" s="5" t="str">
        <f>VLOOKUP(Таблица3[[#This Row],[Наименование товара]],Склад!$A$3:$B$8,2,1)</f>
        <v>Porto</v>
      </c>
      <c r="H312" s="14">
        <v>44928</v>
      </c>
      <c r="I312" s="8">
        <f>INT((MONTH(Таблица3[[#This Row],[Дата продажи]])+2)/3)</f>
        <v>1</v>
      </c>
      <c r="J312" s="5">
        <f>INDEX(Склад!$A$3:$M$8, MATCH(Таблица3[[#This Row],[Наименование товара]], Склад!$A$3:$A$8, 0), 9)</f>
        <v>131.76999999999998</v>
      </c>
      <c r="K31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2" s="5">
        <v>0</v>
      </c>
      <c r="N312" s="5">
        <f>CEILING((Таблица3[[#This Row],[Цена за единицу (с учетом наценки продавца), руб.]] - Таблица3[[#This Row],[Цена за единицу (с учетом наценки продавца), руб.]]*M312),1)</f>
        <v>715</v>
      </c>
      <c r="O312" s="21">
        <f>VLOOKUP(Таблица3[[#This Row],[Менеджер по продажам]],'Справочная информация'!B$2:C$6,2,0)</f>
        <v>0.15</v>
      </c>
      <c r="P312" s="5">
        <f>Таблица3[[#This Row],[Цена продажи с учетом персональной скидки, руб.]]*O312</f>
        <v>107.25</v>
      </c>
      <c r="Q312" s="61"/>
    </row>
    <row r="313" spans="1:17" x14ac:dyDescent="0.25">
      <c r="A313" s="10">
        <f t="shared" si="4"/>
        <v>312</v>
      </c>
      <c r="B313" s="5" t="s">
        <v>421</v>
      </c>
      <c r="C313" s="5">
        <f>IF(OR(B313="Гаврилов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3" s="5" t="s">
        <v>255</v>
      </c>
      <c r="E313" s="5" t="s">
        <v>9</v>
      </c>
      <c r="F313" s="4" t="s">
        <v>17</v>
      </c>
      <c r="G313" s="5" t="str">
        <f>VLOOKUP(Таблица3[[#This Row],[Наименование товара]],Склад!$A$3:$B$8,2,1)</f>
        <v>Porto</v>
      </c>
      <c r="H313" s="14">
        <v>44982</v>
      </c>
      <c r="I313" s="8">
        <f>INT((MONTH(Таблица3[[#This Row],[Дата продажи]])+2)/3)</f>
        <v>1</v>
      </c>
      <c r="J313" s="5">
        <f>INDEX(Склад!$A$3:$M$8, MATCH(Таблица3[[#This Row],[Наименование товара]], Склад!$A$3:$A$8, 0), 9)</f>
        <v>131.76999999999998</v>
      </c>
      <c r="K31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3" s="5">
        <v>0</v>
      </c>
      <c r="N313" s="5">
        <f>CEILING((Таблица3[[#This Row],[Цена за единицу (с учетом наценки продавца), руб.]] - Таблица3[[#This Row],[Цена за единицу (с учетом наценки продавца), руб.]]*M313),1)</f>
        <v>715</v>
      </c>
      <c r="O313" s="21">
        <f>VLOOKUP(Таблица3[[#This Row],[Менеджер по продажам]],'Справочная информация'!B$2:C$6,2,0)</f>
        <v>0.15</v>
      </c>
      <c r="P313" s="5">
        <f>Таблица3[[#This Row],[Цена продажи с учетом персональной скидки, руб.]]*O313</f>
        <v>107.25</v>
      </c>
      <c r="Q313" s="61"/>
    </row>
    <row r="314" spans="1:17" x14ac:dyDescent="0.25">
      <c r="A314" s="10">
        <f t="shared" si="4"/>
        <v>313</v>
      </c>
      <c r="B314" s="5" t="s">
        <v>421</v>
      </c>
      <c r="C314" s="5">
        <f>IF(OR(B314="Гаврилов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4" s="5" t="s">
        <v>101</v>
      </c>
      <c r="E314" s="5" t="s">
        <v>9</v>
      </c>
      <c r="F314" s="4" t="s">
        <v>17</v>
      </c>
      <c r="G314" s="5" t="str">
        <f>VLOOKUP(Таблица3[[#This Row],[Наименование товара]],Склад!$A$3:$B$8,2,1)</f>
        <v>Porto</v>
      </c>
      <c r="H314" s="14">
        <v>44947</v>
      </c>
      <c r="I314" s="8">
        <f>INT((MONTH(Таблица3[[#This Row],[Дата продажи]])+2)/3)</f>
        <v>1</v>
      </c>
      <c r="J314" s="5">
        <f>INDEX(Склад!$A$3:$M$8, MATCH(Таблица3[[#This Row],[Наименование товара]], Склад!$A$3:$A$8, 0), 9)</f>
        <v>131.76999999999998</v>
      </c>
      <c r="K31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4" s="5">
        <v>0</v>
      </c>
      <c r="N314" s="5">
        <f>CEILING((Таблица3[[#This Row],[Цена за единицу (с учетом наценки продавца), руб.]] - Таблица3[[#This Row],[Цена за единицу (с учетом наценки продавца), руб.]]*M314),1)</f>
        <v>715</v>
      </c>
      <c r="O314" s="21">
        <f>VLOOKUP(Таблица3[[#This Row],[Менеджер по продажам]],'Справочная информация'!B$2:C$6,2,0)</f>
        <v>0.15</v>
      </c>
      <c r="P314" s="5">
        <f>Таблица3[[#This Row],[Цена продажи с учетом персональной скидки, руб.]]*O314</f>
        <v>107.25</v>
      </c>
      <c r="Q314" s="61"/>
    </row>
    <row r="315" spans="1:17" x14ac:dyDescent="0.25">
      <c r="A315" s="10">
        <f t="shared" si="4"/>
        <v>314</v>
      </c>
      <c r="B315" s="5" t="s">
        <v>421</v>
      </c>
      <c r="C315" s="5">
        <f>IF(OR(B315="Гаврилов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5" s="5" t="s">
        <v>95</v>
      </c>
      <c r="E315" s="5" t="s">
        <v>18</v>
      </c>
      <c r="F315" s="4" t="s">
        <v>17</v>
      </c>
      <c r="G315" s="5" t="str">
        <f>VLOOKUP(Таблица3[[#This Row],[Наименование товара]],Склад!$A$3:$B$8,2,1)</f>
        <v>Porto</v>
      </c>
      <c r="H315" s="14">
        <v>44945</v>
      </c>
      <c r="I315" s="8">
        <f>INT((MONTH(Таблица3[[#This Row],[Дата продажи]])+2)/3)</f>
        <v>1</v>
      </c>
      <c r="J315" s="5">
        <f>INDEX(Склад!$A$3:$M$8, MATCH(Таблица3[[#This Row],[Наименование товара]], Склад!$A$3:$A$8, 0), 9)</f>
        <v>131.76999999999998</v>
      </c>
      <c r="K31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5" s="5">
        <v>0</v>
      </c>
      <c r="N315" s="5">
        <f>CEILING((Таблица3[[#This Row],[Цена за единицу (с учетом наценки продавца), руб.]] - Таблица3[[#This Row],[Цена за единицу (с учетом наценки продавца), руб.]]*M315),1)</f>
        <v>715</v>
      </c>
      <c r="O315" s="21">
        <f>VLOOKUP(Таблица3[[#This Row],[Менеджер по продажам]],'Справочная информация'!B$2:C$6,2,0)</f>
        <v>0.15</v>
      </c>
      <c r="P315" s="5">
        <f>Таблица3[[#This Row],[Цена продажи с учетом персональной скидки, руб.]]*O315</f>
        <v>107.25</v>
      </c>
      <c r="Q315" s="61"/>
    </row>
    <row r="316" spans="1:17" x14ac:dyDescent="0.25">
      <c r="A316" s="10">
        <f t="shared" si="4"/>
        <v>315</v>
      </c>
      <c r="B316" s="5" t="s">
        <v>421</v>
      </c>
      <c r="C316" s="5">
        <f>IF(OR(B316="Гаврилов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6" s="5" t="s">
        <v>322</v>
      </c>
      <c r="E316" s="5" t="s">
        <v>20</v>
      </c>
      <c r="F316" s="4" t="s">
        <v>17</v>
      </c>
      <c r="G316" s="5" t="str">
        <f>VLOOKUP(Таблица3[[#This Row],[Наименование товара]],Склад!$A$3:$B$8,2,1)</f>
        <v>Porto</v>
      </c>
      <c r="H316" s="14">
        <v>44997</v>
      </c>
      <c r="I316" s="8">
        <f>INT((MONTH(Таблица3[[#This Row],[Дата продажи]])+2)/3)</f>
        <v>1</v>
      </c>
      <c r="J316" s="5">
        <f>INDEX(Склад!$A$3:$M$8, MATCH(Таблица3[[#This Row],[Наименование товара]], Склад!$A$3:$A$8, 0), 9)</f>
        <v>131.76999999999998</v>
      </c>
      <c r="K31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6" s="5">
        <v>0</v>
      </c>
      <c r="N316" s="5">
        <f>CEILING((Таблица3[[#This Row],[Цена за единицу (с учетом наценки продавца), руб.]] - Таблица3[[#This Row],[Цена за единицу (с учетом наценки продавца), руб.]]*M316),1)</f>
        <v>715</v>
      </c>
      <c r="O316" s="21">
        <f>VLOOKUP(Таблица3[[#This Row],[Менеджер по продажам]],'Справочная информация'!B$2:C$6,2,0)</f>
        <v>0.15</v>
      </c>
      <c r="P316" s="5">
        <f>Таблица3[[#This Row],[Цена продажи с учетом персональной скидки, руб.]]*O316</f>
        <v>107.25</v>
      </c>
      <c r="Q316" s="61"/>
    </row>
    <row r="317" spans="1:17" x14ac:dyDescent="0.25">
      <c r="A317" s="10">
        <f t="shared" si="4"/>
        <v>316</v>
      </c>
      <c r="B317" s="5" t="s">
        <v>421</v>
      </c>
      <c r="C317" s="5">
        <f>IF(OR(B317="Гаврилов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7" s="5" t="s">
        <v>92</v>
      </c>
      <c r="E317" s="5" t="s">
        <v>18</v>
      </c>
      <c r="F317" s="4" t="s">
        <v>17</v>
      </c>
      <c r="G317" s="5" t="str">
        <f>VLOOKUP(Таблица3[[#This Row],[Наименование товара]],Склад!$A$3:$B$8,2,1)</f>
        <v>Porto</v>
      </c>
      <c r="H317" s="14">
        <v>44944</v>
      </c>
      <c r="I317" s="8">
        <f>INT((MONTH(Таблица3[[#This Row],[Дата продажи]])+2)/3)</f>
        <v>1</v>
      </c>
      <c r="J317" s="5">
        <f>INDEX(Склад!$A$3:$M$8, MATCH(Таблица3[[#This Row],[Наименование товара]], Склад!$A$3:$A$8, 0), 9)</f>
        <v>131.76999999999998</v>
      </c>
      <c r="K31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7" s="5">
        <v>0</v>
      </c>
      <c r="N317" s="5">
        <f>CEILING((Таблица3[[#This Row],[Цена за единицу (с учетом наценки продавца), руб.]] - Таблица3[[#This Row],[Цена за единицу (с учетом наценки продавца), руб.]]*M317),1)</f>
        <v>715</v>
      </c>
      <c r="O317" s="21">
        <f>VLOOKUP(Таблица3[[#This Row],[Менеджер по продажам]],'Справочная информация'!B$2:C$6,2,0)</f>
        <v>0.15</v>
      </c>
      <c r="P317" s="5">
        <f>Таблица3[[#This Row],[Цена продажи с учетом персональной скидки, руб.]]*O317</f>
        <v>107.25</v>
      </c>
      <c r="Q317" s="61"/>
    </row>
    <row r="318" spans="1:17" x14ac:dyDescent="0.25">
      <c r="A318" s="10">
        <f t="shared" si="4"/>
        <v>317</v>
      </c>
      <c r="B318" s="5" t="s">
        <v>421</v>
      </c>
      <c r="C318" s="5">
        <f>IF(OR(B318="Гаврилов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8" s="5" t="s">
        <v>247</v>
      </c>
      <c r="E318" s="5" t="s">
        <v>34</v>
      </c>
      <c r="F318" s="4" t="s">
        <v>17</v>
      </c>
      <c r="G318" s="5" t="str">
        <f>VLOOKUP(Таблица3[[#This Row],[Наименование товара]],Склад!$A$3:$B$8,2,1)</f>
        <v>Porto</v>
      </c>
      <c r="H318" s="14">
        <v>44979</v>
      </c>
      <c r="I318" s="8">
        <f>INT((MONTH(Таблица3[[#This Row],[Дата продажи]])+2)/3)</f>
        <v>1</v>
      </c>
      <c r="J318" s="5">
        <f>INDEX(Склад!$A$3:$M$8, MATCH(Таблица3[[#This Row],[Наименование товара]], Склад!$A$3:$A$8, 0), 9)</f>
        <v>131.76999999999998</v>
      </c>
      <c r="K31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1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18" s="5">
        <v>0.05</v>
      </c>
      <c r="N318" s="5">
        <f>CEILING((Таблица3[[#This Row],[Цена за единицу (с учетом наценки продавца), руб.]] - Таблица3[[#This Row],[Цена за единицу (с учетом наценки продавца), руб.]]*M318),1)</f>
        <v>680</v>
      </c>
      <c r="O318" s="21">
        <f>VLOOKUP(Таблица3[[#This Row],[Менеджер по продажам]],'Справочная информация'!B$2:C$6,2,0)</f>
        <v>0.15</v>
      </c>
      <c r="P318" s="5">
        <f>Таблица3[[#This Row],[Цена продажи с учетом персональной скидки, руб.]]*O318</f>
        <v>102</v>
      </c>
      <c r="Q318" s="61"/>
    </row>
    <row r="319" spans="1:17" x14ac:dyDescent="0.25">
      <c r="A319" s="10">
        <f t="shared" si="4"/>
        <v>318</v>
      </c>
      <c r="B319" s="5" t="s">
        <v>421</v>
      </c>
      <c r="C319" s="5">
        <f>IF(OR(B319="Гаврилов Н.А.",Таблица3[[#This Row],[Менеджер по продажам]]="Никифорова В.М."),1,IF(Таблица3[[#This Row],[Менеджер по продажам]]="Соколов Г.П.",3,2))</f>
        <v>2</v>
      </c>
      <c r="D319" s="5" t="s">
        <v>186</v>
      </c>
      <c r="E319" s="5" t="s">
        <v>9</v>
      </c>
      <c r="F319" s="4" t="s">
        <v>15</v>
      </c>
      <c r="G319" s="5" t="str">
        <f>VLOOKUP(Таблица3[[#This Row],[Наименование товара]],Склад!$A$3:$B$8,2,1)</f>
        <v>Gmt</v>
      </c>
      <c r="H319" s="14">
        <v>44965</v>
      </c>
      <c r="I319" s="8">
        <f>INT((MONTH(Таблица3[[#This Row],[Дата продажи]])+2)/3)</f>
        <v>1</v>
      </c>
      <c r="J319" s="5">
        <f>INDEX(Склад!$A$3:$M$8, MATCH(Таблица3[[#This Row],[Наименование товара]], Склад!$A$3:$A$8, 0), 9)</f>
        <v>314.15999999999997</v>
      </c>
      <c r="K319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1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19" s="5">
        <v>0</v>
      </c>
      <c r="N319" s="5">
        <f>CEILING((Таблица3[[#This Row],[Цена за единицу (с учетом наценки продавца), руб.]] - Таблица3[[#This Row],[Цена за единицу (с учетом наценки продавца), руб.]]*M319),1)</f>
        <v>1120</v>
      </c>
      <c r="O319" s="21">
        <f>VLOOKUP(Таблица3[[#This Row],[Менеджер по продажам]],'Справочная информация'!B$2:C$6,2,0)</f>
        <v>0.15</v>
      </c>
      <c r="P319" s="5">
        <f>Таблица3[[#This Row],[Цена продажи с учетом персональной скидки, руб.]]*O319</f>
        <v>168</v>
      </c>
      <c r="Q319" s="61"/>
    </row>
    <row r="320" spans="1:17" x14ac:dyDescent="0.25">
      <c r="A320" s="10">
        <f t="shared" si="4"/>
        <v>319</v>
      </c>
      <c r="B320" s="5" t="s">
        <v>421</v>
      </c>
      <c r="C320" s="5">
        <f>IF(OR(B320="Гаврилов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0" s="5" t="s">
        <v>239</v>
      </c>
      <c r="E320" s="5" t="s">
        <v>34</v>
      </c>
      <c r="F320" s="4" t="s">
        <v>15</v>
      </c>
      <c r="G320" s="5" t="str">
        <f>VLOOKUP(Таблица3[[#This Row],[Наименование товара]],Склад!$A$3:$B$8,2,1)</f>
        <v>Gmt</v>
      </c>
      <c r="H320" s="14">
        <v>44978</v>
      </c>
      <c r="I320" s="8">
        <f>INT((MONTH(Таблица3[[#This Row],[Дата продажи]])+2)/3)</f>
        <v>1</v>
      </c>
      <c r="J320" s="5">
        <f>INDEX(Склад!$A$3:$M$8, MATCH(Таблица3[[#This Row],[Наименование товара]], Склад!$A$3:$A$8, 0), 9)</f>
        <v>314.15999999999997</v>
      </c>
      <c r="K320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0" s="5">
        <v>0</v>
      </c>
      <c r="N320" s="5">
        <f>CEILING((Таблица3[[#This Row],[Цена за единицу (с учетом наценки продавца), руб.]] - Таблица3[[#This Row],[Цена за единицу (с учетом наценки продавца), руб.]]*M320),1)</f>
        <v>1120</v>
      </c>
      <c r="O320" s="21">
        <f>VLOOKUP(Таблица3[[#This Row],[Менеджер по продажам]],'Справочная информация'!B$2:C$6,2,0)</f>
        <v>0.15</v>
      </c>
      <c r="P320" s="5">
        <f>Таблица3[[#This Row],[Цена продажи с учетом персональной скидки, руб.]]*O320</f>
        <v>168</v>
      </c>
      <c r="Q320" s="61"/>
    </row>
    <row r="321" spans="1:17" x14ac:dyDescent="0.25">
      <c r="A321" s="10">
        <f t="shared" si="4"/>
        <v>320</v>
      </c>
      <c r="B321" s="5" t="s">
        <v>421</v>
      </c>
      <c r="C321" s="5">
        <f>IF(OR(B321="Гаврилов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1" s="5" t="s">
        <v>240</v>
      </c>
      <c r="E321" s="5" t="s">
        <v>18</v>
      </c>
      <c r="F321" s="4" t="s">
        <v>15</v>
      </c>
      <c r="G321" s="5" t="str">
        <f>VLOOKUP(Таблица3[[#This Row],[Наименование товара]],Склад!$A$3:$B$8,2,1)</f>
        <v>Gmt</v>
      </c>
      <c r="H321" s="14">
        <v>44978</v>
      </c>
      <c r="I321" s="8">
        <f>INT((MONTH(Таблица3[[#This Row],[Дата продажи]])+2)/3)</f>
        <v>1</v>
      </c>
      <c r="J321" s="5">
        <f>INDEX(Склад!$A$3:$M$8, MATCH(Таблица3[[#This Row],[Наименование товара]], Склад!$A$3:$A$8, 0), 9)</f>
        <v>314.15999999999997</v>
      </c>
      <c r="K321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1" s="5">
        <v>0</v>
      </c>
      <c r="N321" s="5">
        <f>CEILING((Таблица3[[#This Row],[Цена за единицу (с учетом наценки продавца), руб.]] - Таблица3[[#This Row],[Цена за единицу (с учетом наценки продавца), руб.]]*M321),1)</f>
        <v>1120</v>
      </c>
      <c r="O321" s="21">
        <f>VLOOKUP(Таблица3[[#This Row],[Менеджер по продажам]],'Справочная информация'!B$2:C$6,2,0)</f>
        <v>0.15</v>
      </c>
      <c r="P321" s="5">
        <f>Таблица3[[#This Row],[Цена продажи с учетом персональной скидки, руб.]]*O321</f>
        <v>168</v>
      </c>
      <c r="Q321" s="61"/>
    </row>
    <row r="322" spans="1:17" x14ac:dyDescent="0.25">
      <c r="A322" s="10">
        <f t="shared" si="4"/>
        <v>321</v>
      </c>
      <c r="B322" s="5" t="s">
        <v>421</v>
      </c>
      <c r="C322" s="5">
        <f>IF(OR(B322="Гаврилов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2" s="5" t="s">
        <v>319</v>
      </c>
      <c r="E322" s="5" t="s">
        <v>9</v>
      </c>
      <c r="F322" s="4" t="s">
        <v>15</v>
      </c>
      <c r="G322" s="5" t="str">
        <f>VLOOKUP(Таблица3[[#This Row],[Наименование товара]],Склад!$A$3:$B$8,2,1)</f>
        <v>Gmt</v>
      </c>
      <c r="H322" s="14">
        <v>44997</v>
      </c>
      <c r="I322" s="8">
        <f>INT((MONTH(Таблица3[[#This Row],[Дата продажи]])+2)/3)</f>
        <v>1</v>
      </c>
      <c r="J322" s="5">
        <f>INDEX(Склад!$A$3:$M$8, MATCH(Таблица3[[#This Row],[Наименование товара]], Склад!$A$3:$A$8, 0), 9)</f>
        <v>314.15999999999997</v>
      </c>
      <c r="K322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2" s="5">
        <v>0</v>
      </c>
      <c r="N322" s="5">
        <f>CEILING((Таблица3[[#This Row],[Цена за единицу (с учетом наценки продавца), руб.]] - Таблица3[[#This Row],[Цена за единицу (с учетом наценки продавца), руб.]]*M322),1)</f>
        <v>1120</v>
      </c>
      <c r="O322" s="21">
        <f>VLOOKUP(Таблица3[[#This Row],[Менеджер по продажам]],'Справочная информация'!B$2:C$6,2,0)</f>
        <v>0.15</v>
      </c>
      <c r="P322" s="5">
        <f>Таблица3[[#This Row],[Цена продажи с учетом персональной скидки, руб.]]*O322</f>
        <v>168</v>
      </c>
      <c r="Q322" s="61"/>
    </row>
    <row r="323" spans="1:17" x14ac:dyDescent="0.25">
      <c r="A323" s="10">
        <f t="shared" ref="A323:A386" si="5">ROW(A323)-1</f>
        <v>322</v>
      </c>
      <c r="B323" s="5" t="s">
        <v>421</v>
      </c>
      <c r="C323" s="5">
        <f>IF(OR(B323="Гаврилов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3" s="5" t="s">
        <v>367</v>
      </c>
      <c r="E323" s="5" t="s">
        <v>356</v>
      </c>
      <c r="F323" s="4" t="s">
        <v>15</v>
      </c>
      <c r="G323" s="5" t="str">
        <f>VLOOKUP(Таблица3[[#This Row],[Наименование товара]],Склад!$A$3:$B$8,2,1)</f>
        <v>Gmt</v>
      </c>
      <c r="H323" s="14">
        <v>45006</v>
      </c>
      <c r="I323" s="8">
        <f>INT((MONTH(Таблица3[[#This Row],[Дата продажи]])+2)/3)</f>
        <v>1</v>
      </c>
      <c r="J323" s="5">
        <f>INDEX(Склад!$A$3:$M$8, MATCH(Таблица3[[#This Row],[Наименование товара]], Склад!$A$3:$A$8, 0), 9)</f>
        <v>314.15999999999997</v>
      </c>
      <c r="K323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3" s="5">
        <v>0</v>
      </c>
      <c r="N323" s="5">
        <f>CEILING((Таблица3[[#This Row],[Цена за единицу (с учетом наценки продавца), руб.]] - Таблица3[[#This Row],[Цена за единицу (с учетом наценки продавца), руб.]]*M323),1)</f>
        <v>1120</v>
      </c>
      <c r="O323" s="21">
        <f>VLOOKUP(Таблица3[[#This Row],[Менеджер по продажам]],'Справочная информация'!B$2:C$6,2,0)</f>
        <v>0.15</v>
      </c>
      <c r="P323" s="5">
        <f>Таблица3[[#This Row],[Цена продажи с учетом персональной скидки, руб.]]*O323</f>
        <v>168</v>
      </c>
      <c r="Q323" s="61"/>
    </row>
    <row r="324" spans="1:17" x14ac:dyDescent="0.25">
      <c r="A324" s="10">
        <f t="shared" si="5"/>
        <v>323</v>
      </c>
      <c r="B324" s="5" t="s">
        <v>421</v>
      </c>
      <c r="C324" s="5">
        <f>IF(OR(B324="Гаврилов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4" s="5" t="s">
        <v>85</v>
      </c>
      <c r="E324" s="5" t="s">
        <v>20</v>
      </c>
      <c r="F324" s="4" t="s">
        <v>15</v>
      </c>
      <c r="G324" s="5" t="str">
        <f>VLOOKUP(Таблица3[[#This Row],[Наименование товара]],Склад!$A$3:$B$8,2,1)</f>
        <v>Gmt</v>
      </c>
      <c r="H324" s="14">
        <v>44943</v>
      </c>
      <c r="I324" s="8">
        <f>INT((MONTH(Таблица3[[#This Row],[Дата продажи]])+2)/3)</f>
        <v>1</v>
      </c>
      <c r="J324" s="5">
        <f>INDEX(Склад!$A$3:$M$8, MATCH(Таблица3[[#This Row],[Наименование товара]], Склад!$A$3:$A$8, 0), 9)</f>
        <v>314.15999999999997</v>
      </c>
      <c r="K324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4" s="5">
        <v>0</v>
      </c>
      <c r="N324" s="5">
        <f>CEILING((Таблица3[[#This Row],[Цена за единицу (с учетом наценки продавца), руб.]] - Таблица3[[#This Row],[Цена за единицу (с учетом наценки продавца), руб.]]*M324),1)</f>
        <v>1120</v>
      </c>
      <c r="O324" s="21">
        <f>VLOOKUP(Таблица3[[#This Row],[Менеджер по продажам]],'Справочная информация'!B$2:C$6,2,0)</f>
        <v>0.15</v>
      </c>
      <c r="P324" s="5">
        <f>Таблица3[[#This Row],[Цена продажи с учетом персональной скидки, руб.]]*O324</f>
        <v>168</v>
      </c>
      <c r="Q324" s="61"/>
    </row>
    <row r="325" spans="1:17" x14ac:dyDescent="0.25">
      <c r="A325" s="10">
        <f t="shared" si="5"/>
        <v>324</v>
      </c>
      <c r="B325" s="5" t="s">
        <v>421</v>
      </c>
      <c r="C325" s="5">
        <f>IF(OR(B325="Гаврилов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5" s="5" t="s">
        <v>263</v>
      </c>
      <c r="E325" s="5" t="s">
        <v>18</v>
      </c>
      <c r="F325" s="4" t="s">
        <v>15</v>
      </c>
      <c r="G325" s="5" t="str">
        <f>VLOOKUP(Таблица3[[#This Row],[Наименование товара]],Склад!$A$3:$B$8,2,1)</f>
        <v>Gmt</v>
      </c>
      <c r="H325" s="14">
        <v>44984</v>
      </c>
      <c r="I325" s="8">
        <f>INT((MONTH(Таблица3[[#This Row],[Дата продажи]])+2)/3)</f>
        <v>1</v>
      </c>
      <c r="J325" s="5">
        <f>INDEX(Склад!$A$3:$M$8, MATCH(Таблица3[[#This Row],[Наименование товара]], Склад!$A$3:$A$8, 0), 9)</f>
        <v>314.15999999999997</v>
      </c>
      <c r="K325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5" s="5">
        <v>0</v>
      </c>
      <c r="N325" s="5">
        <f>CEILING((Таблица3[[#This Row],[Цена за единицу (с учетом наценки продавца), руб.]] - Таблица3[[#This Row],[Цена за единицу (с учетом наценки продавца), руб.]]*M325),1)</f>
        <v>1120</v>
      </c>
      <c r="O325" s="21">
        <f>VLOOKUP(Таблица3[[#This Row],[Менеджер по продажам]],'Справочная информация'!B$2:C$6,2,0)</f>
        <v>0.15</v>
      </c>
      <c r="P325" s="5">
        <f>Таблица3[[#This Row],[Цена продажи с учетом персональной скидки, руб.]]*O325</f>
        <v>168</v>
      </c>
      <c r="Q325" s="61"/>
    </row>
    <row r="326" spans="1:17" x14ac:dyDescent="0.25">
      <c r="A326" s="10">
        <f t="shared" si="5"/>
        <v>325</v>
      </c>
      <c r="B326" s="5" t="s">
        <v>421</v>
      </c>
      <c r="C326" s="5">
        <f>IF(OR(B326="Гаврилов Н.А.",Таблица3[[#This Row],[Менеджер по продажам]]="Никифорова В.М."),1,IF(Таблица3[[#This Row],[Менеджер по продажам]]="Соколов Г.П.",3,2))</f>
        <v>2</v>
      </c>
      <c r="D326" s="5" t="s">
        <v>247</v>
      </c>
      <c r="E326" s="5" t="s">
        <v>34</v>
      </c>
      <c r="F326" s="4" t="s">
        <v>15</v>
      </c>
      <c r="G326" s="5" t="str">
        <f>VLOOKUP(Таблица3[[#This Row],[Наименование товара]],Склад!$A$3:$B$8,2,1)</f>
        <v>Gmt</v>
      </c>
      <c r="H326" s="14">
        <v>44979</v>
      </c>
      <c r="I326" s="8">
        <f>INT((MONTH(Таблица3[[#This Row],[Дата продажи]])+2)/3)</f>
        <v>1</v>
      </c>
      <c r="J326" s="5">
        <f>INDEX(Склад!$A$3:$M$8, MATCH(Таблица3[[#This Row],[Наименование товара]], Склад!$A$3:$A$8, 0), 9)</f>
        <v>314.15999999999997</v>
      </c>
      <c r="K326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2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26" s="5">
        <v>0</v>
      </c>
      <c r="N326" s="5">
        <f>CEILING((Таблица3[[#This Row],[Цена за единицу (с учетом наценки продавца), руб.]] - Таблица3[[#This Row],[Цена за единицу (с учетом наценки продавца), руб.]]*M326),1)</f>
        <v>1120</v>
      </c>
      <c r="O326" s="21">
        <f>VLOOKUP(Таблица3[[#This Row],[Менеджер по продажам]],'Справочная информация'!B$2:C$6,2,0)</f>
        <v>0.15</v>
      </c>
      <c r="P326" s="5">
        <f>Таблица3[[#This Row],[Цена продажи с учетом персональной скидки, руб.]]*O326</f>
        <v>168</v>
      </c>
      <c r="Q326" s="61"/>
    </row>
    <row r="327" spans="1:17" x14ac:dyDescent="0.25">
      <c r="A327" s="10">
        <f t="shared" si="5"/>
        <v>326</v>
      </c>
      <c r="B327" s="5" t="s">
        <v>422</v>
      </c>
      <c r="C327" s="5">
        <f>IF(OR(B327="Гаврилов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27" s="5" t="s">
        <v>395</v>
      </c>
      <c r="E327" s="5" t="s">
        <v>6</v>
      </c>
      <c r="F327" s="4" t="s">
        <v>5</v>
      </c>
      <c r="G327" s="5" t="str">
        <f>VLOOKUP(Таблица3[[#This Row],[Наименование товара]],Склад!$A$3:$B$8,2,1)</f>
        <v>Person</v>
      </c>
      <c r="H327" s="14">
        <v>45011</v>
      </c>
      <c r="I327" s="8">
        <f>INT((MONTH(Таблица3[[#This Row],[Дата продажи]])+2)/3)</f>
        <v>1</v>
      </c>
      <c r="J327" s="5">
        <f>INDEX(Склад!$A$3:$M$8, MATCH(Таблица3[[#This Row],[Наименование товара]], Склад!$A$3:$A$8, 0), 9)</f>
        <v>163.13</v>
      </c>
      <c r="K32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2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27" s="5">
        <v>0</v>
      </c>
      <c r="N327" s="5">
        <f>CEILING((Таблица3[[#This Row],[Цена за единицу (с учетом наценки продавца), руб.]] - Таблица3[[#This Row],[Цена за единицу (с учетом наценки продавца), руб.]]*M327),1)</f>
        <v>762</v>
      </c>
      <c r="O327" s="21">
        <f>VLOOKUP(Таблица3[[#This Row],[Менеджер по продажам]],'Справочная информация'!B$2:C$6,2,0)</f>
        <v>0.1</v>
      </c>
      <c r="P327" s="5">
        <f>Таблица3[[#This Row],[Цена продажи с учетом персональной скидки, руб.]]*O327</f>
        <v>76.2</v>
      </c>
      <c r="Q327" s="61"/>
    </row>
    <row r="328" spans="1:17" x14ac:dyDescent="0.25">
      <c r="A328" s="10">
        <f t="shared" si="5"/>
        <v>327</v>
      </c>
      <c r="B328" s="5" t="s">
        <v>422</v>
      </c>
      <c r="C328" s="5">
        <f>IF(OR(B328="Гаврилов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28" s="5" t="s">
        <v>96</v>
      </c>
      <c r="E328" s="5" t="s">
        <v>29</v>
      </c>
      <c r="F328" s="4" t="s">
        <v>5</v>
      </c>
      <c r="G328" s="5" t="str">
        <f>VLOOKUP(Таблица3[[#This Row],[Наименование товара]],Склад!$A$3:$B$8,2,1)</f>
        <v>Person</v>
      </c>
      <c r="H328" s="14">
        <v>44946</v>
      </c>
      <c r="I328" s="8">
        <f>INT((MONTH(Таблица3[[#This Row],[Дата продажи]])+2)/3)</f>
        <v>1</v>
      </c>
      <c r="J328" s="5">
        <f>INDEX(Склад!$A$3:$M$8, MATCH(Таблица3[[#This Row],[Наименование товара]], Склад!$A$3:$A$8, 0), 9)</f>
        <v>163.13</v>
      </c>
      <c r="K32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2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28" s="5">
        <v>0</v>
      </c>
      <c r="N328" s="5">
        <f>CEILING((Таблица3[[#This Row],[Цена за единицу (с учетом наценки продавца), руб.]] - Таблица3[[#This Row],[Цена за единицу (с учетом наценки продавца), руб.]]*M328),1)</f>
        <v>762</v>
      </c>
      <c r="O328" s="21">
        <f>VLOOKUP(Таблица3[[#This Row],[Менеджер по продажам]],'Справочная информация'!B$2:C$6,2,0)</f>
        <v>0.1</v>
      </c>
      <c r="P328" s="5">
        <f>Таблица3[[#This Row],[Цена продажи с учетом персональной скидки, руб.]]*O328</f>
        <v>76.2</v>
      </c>
      <c r="Q328" s="61"/>
    </row>
    <row r="329" spans="1:17" x14ac:dyDescent="0.25">
      <c r="A329" s="10">
        <f t="shared" si="5"/>
        <v>328</v>
      </c>
      <c r="B329" s="5" t="s">
        <v>422</v>
      </c>
      <c r="C329" s="5">
        <f>IF(OR(B329="Гаврилов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29" s="5" t="s">
        <v>97</v>
      </c>
      <c r="E329" s="5" t="s">
        <v>23</v>
      </c>
      <c r="F329" s="4" t="s">
        <v>5</v>
      </c>
      <c r="G329" s="5" t="str">
        <f>VLOOKUP(Таблица3[[#This Row],[Наименование товара]],Склад!$A$3:$B$8,2,1)</f>
        <v>Person</v>
      </c>
      <c r="H329" s="14">
        <v>44946</v>
      </c>
      <c r="I329" s="8">
        <f>INT((MONTH(Таблица3[[#This Row],[Дата продажи]])+2)/3)</f>
        <v>1</v>
      </c>
      <c r="J329" s="5">
        <f>INDEX(Склад!$A$3:$M$8, MATCH(Таблица3[[#This Row],[Наименование товара]], Склад!$A$3:$A$8, 0), 9)</f>
        <v>163.13</v>
      </c>
      <c r="K32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2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29" s="5">
        <v>0</v>
      </c>
      <c r="N329" s="5">
        <f>CEILING((Таблица3[[#This Row],[Цена за единицу (с учетом наценки продавца), руб.]] - Таблица3[[#This Row],[Цена за единицу (с учетом наценки продавца), руб.]]*M329),1)</f>
        <v>762</v>
      </c>
      <c r="O329" s="21">
        <f>VLOOKUP(Таблица3[[#This Row],[Менеджер по продажам]],'Справочная информация'!B$2:C$6,2,0)</f>
        <v>0.1</v>
      </c>
      <c r="P329" s="5">
        <f>Таблица3[[#This Row],[Цена продажи с учетом персональной скидки, руб.]]*O329</f>
        <v>76.2</v>
      </c>
      <c r="Q329" s="61"/>
    </row>
    <row r="330" spans="1:17" x14ac:dyDescent="0.25">
      <c r="A330" s="10">
        <f t="shared" si="5"/>
        <v>329</v>
      </c>
      <c r="B330" s="5" t="s">
        <v>422</v>
      </c>
      <c r="C330" s="5">
        <f>IF(OR(B330="Гаврилов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0" s="5" t="s">
        <v>374</v>
      </c>
      <c r="E330" s="5" t="s">
        <v>29</v>
      </c>
      <c r="F330" s="4" t="s">
        <v>5</v>
      </c>
      <c r="G330" s="5" t="str">
        <f>VLOOKUP(Таблица3[[#This Row],[Наименование товара]],Склад!$A$3:$B$8,2,1)</f>
        <v>Person</v>
      </c>
      <c r="H330" s="14">
        <v>45008</v>
      </c>
      <c r="I330" s="8">
        <f>INT((MONTH(Таблица3[[#This Row],[Дата продажи]])+2)/3)</f>
        <v>1</v>
      </c>
      <c r="J330" s="5">
        <f>INDEX(Склад!$A$3:$M$8, MATCH(Таблица3[[#This Row],[Наименование товара]], Склад!$A$3:$A$8, 0), 9)</f>
        <v>163.13</v>
      </c>
      <c r="K33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0" s="5">
        <v>0</v>
      </c>
      <c r="N330" s="5">
        <f>CEILING((Таблица3[[#This Row],[Цена за единицу (с учетом наценки продавца), руб.]] - Таблица3[[#This Row],[Цена за единицу (с учетом наценки продавца), руб.]]*M330),1)</f>
        <v>762</v>
      </c>
      <c r="O330" s="21">
        <f>VLOOKUP(Таблица3[[#This Row],[Менеджер по продажам]],'Справочная информация'!B$2:C$6,2,0)</f>
        <v>0.1</v>
      </c>
      <c r="P330" s="5">
        <f>Таблица3[[#This Row],[Цена продажи с учетом персональной скидки, руб.]]*O330</f>
        <v>76.2</v>
      </c>
      <c r="Q330" s="61"/>
    </row>
    <row r="331" spans="1:17" x14ac:dyDescent="0.25">
      <c r="A331" s="10">
        <f t="shared" si="5"/>
        <v>330</v>
      </c>
      <c r="B331" s="5" t="s">
        <v>422</v>
      </c>
      <c r="C331" s="5">
        <f>IF(OR(B331="Гаврилов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1" s="5" t="s">
        <v>4</v>
      </c>
      <c r="E331" s="5" t="s">
        <v>6</v>
      </c>
      <c r="F331" s="4" t="s">
        <v>5</v>
      </c>
      <c r="G331" s="5" t="str">
        <f>VLOOKUP(Таблица3[[#This Row],[Наименование товара]],Склад!$A$3:$B$8,2,1)</f>
        <v>Person</v>
      </c>
      <c r="H331" s="14">
        <v>44927</v>
      </c>
      <c r="I331" s="8">
        <f>INT((MONTH(Таблица3[[#This Row],[Дата продажи]])+2)/3)</f>
        <v>1</v>
      </c>
      <c r="J331" s="5">
        <f>INDEX(Склад!$A$3:$M$8, MATCH(Таблица3[[#This Row],[Наименование товара]], Склад!$A$3:$A$8, 0), 9)</f>
        <v>163.13</v>
      </c>
      <c r="K33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1" s="5">
        <v>0</v>
      </c>
      <c r="N331" s="5">
        <f>CEILING((Таблица3[[#This Row],[Цена за единицу (с учетом наценки продавца), руб.]] - Таблица3[[#This Row],[Цена за единицу (с учетом наценки продавца), руб.]]*M331),1)</f>
        <v>762</v>
      </c>
      <c r="O331" s="21">
        <f>VLOOKUP(Таблица3[[#This Row],[Менеджер по продажам]],'Справочная информация'!B$2:C$6,2,0)</f>
        <v>0.1</v>
      </c>
      <c r="P331" s="5">
        <f>Таблица3[[#This Row],[Цена продажи с учетом персональной скидки, руб.]]*O331</f>
        <v>76.2</v>
      </c>
      <c r="Q331" s="61"/>
    </row>
    <row r="332" spans="1:17" x14ac:dyDescent="0.25">
      <c r="A332" s="10">
        <f t="shared" si="5"/>
        <v>331</v>
      </c>
      <c r="B332" s="5" t="s">
        <v>422</v>
      </c>
      <c r="C332" s="5">
        <f>IF(OR(B332="Гаврилов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2" s="5" t="s">
        <v>378</v>
      </c>
      <c r="E332" s="5" t="s">
        <v>23</v>
      </c>
      <c r="F332" s="4" t="s">
        <v>5</v>
      </c>
      <c r="G332" s="5" t="str">
        <f>VLOOKUP(Таблица3[[#This Row],[Наименование товара]],Склад!$A$3:$B$8,2,1)</f>
        <v>Person</v>
      </c>
      <c r="H332" s="14">
        <v>45009</v>
      </c>
      <c r="I332" s="8">
        <f>INT((MONTH(Таблица3[[#This Row],[Дата продажи]])+2)/3)</f>
        <v>1</v>
      </c>
      <c r="J332" s="5">
        <f>INDEX(Склад!$A$3:$M$8, MATCH(Таблица3[[#This Row],[Наименование товара]], Склад!$A$3:$A$8, 0), 9)</f>
        <v>163.13</v>
      </c>
      <c r="K33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2" s="5">
        <v>0</v>
      </c>
      <c r="N332" s="5">
        <f>CEILING((Таблица3[[#This Row],[Цена за единицу (с учетом наценки продавца), руб.]] - Таблица3[[#This Row],[Цена за единицу (с учетом наценки продавца), руб.]]*M332),1)</f>
        <v>762</v>
      </c>
      <c r="O332" s="21">
        <f>VLOOKUP(Таблица3[[#This Row],[Менеджер по продажам]],'Справочная информация'!B$2:C$6,2,0)</f>
        <v>0.1</v>
      </c>
      <c r="P332" s="5">
        <f>Таблица3[[#This Row],[Цена продажи с учетом персональной скидки, руб.]]*O332</f>
        <v>76.2</v>
      </c>
      <c r="Q332" s="61"/>
    </row>
    <row r="333" spans="1:17" x14ac:dyDescent="0.25">
      <c r="A333" s="10">
        <f t="shared" si="5"/>
        <v>332</v>
      </c>
      <c r="B333" s="5" t="s">
        <v>422</v>
      </c>
      <c r="C333" s="5">
        <f>IF(OR(B333="Гаврилов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3" s="5" t="s">
        <v>82</v>
      </c>
      <c r="E333" s="5" t="s">
        <v>29</v>
      </c>
      <c r="F333" s="4" t="s">
        <v>5</v>
      </c>
      <c r="G333" s="5" t="str">
        <f>VLOOKUP(Таблица3[[#This Row],[Наименование товара]],Склад!$A$3:$B$8,2,1)</f>
        <v>Person</v>
      </c>
      <c r="H333" s="14">
        <v>44942</v>
      </c>
      <c r="I333" s="8">
        <f>INT((MONTH(Таблица3[[#This Row],[Дата продажи]])+2)/3)</f>
        <v>1</v>
      </c>
      <c r="J333" s="5">
        <f>INDEX(Склад!$A$3:$M$8, MATCH(Таблица3[[#This Row],[Наименование товара]], Склад!$A$3:$A$8, 0), 9)</f>
        <v>163.13</v>
      </c>
      <c r="K33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3" s="5">
        <v>0</v>
      </c>
      <c r="N333" s="5">
        <f>CEILING((Таблица3[[#This Row],[Цена за единицу (с учетом наценки продавца), руб.]] - Таблица3[[#This Row],[Цена за единицу (с учетом наценки продавца), руб.]]*M333),1)</f>
        <v>762</v>
      </c>
      <c r="O333" s="21">
        <f>VLOOKUP(Таблица3[[#This Row],[Менеджер по продажам]],'Справочная информация'!B$2:C$6,2,0)</f>
        <v>0.1</v>
      </c>
      <c r="P333" s="5">
        <f>Таблица3[[#This Row],[Цена продажи с учетом персональной скидки, руб.]]*O333</f>
        <v>76.2</v>
      </c>
      <c r="Q333" s="61"/>
    </row>
    <row r="334" spans="1:17" x14ac:dyDescent="0.25">
      <c r="A334" s="10">
        <f t="shared" si="5"/>
        <v>333</v>
      </c>
      <c r="B334" s="5" t="s">
        <v>422</v>
      </c>
      <c r="C334" s="5">
        <f>IF(OR(B334="Гаврилов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4" s="5" t="s">
        <v>307</v>
      </c>
      <c r="E334" s="5" t="s">
        <v>29</v>
      </c>
      <c r="F334" s="4" t="s">
        <v>5</v>
      </c>
      <c r="G334" s="5" t="str">
        <f>VLOOKUP(Таблица3[[#This Row],[Наименование товара]],Склад!$A$3:$B$8,2,1)</f>
        <v>Person</v>
      </c>
      <c r="H334" s="14">
        <v>44994</v>
      </c>
      <c r="I334" s="8">
        <f>INT((MONTH(Таблица3[[#This Row],[Дата продажи]])+2)/3)</f>
        <v>1</v>
      </c>
      <c r="J334" s="5">
        <f>INDEX(Склад!$A$3:$M$8, MATCH(Таблица3[[#This Row],[Наименование товара]], Склад!$A$3:$A$8, 0), 9)</f>
        <v>163.13</v>
      </c>
      <c r="K33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4" s="5">
        <v>0</v>
      </c>
      <c r="N334" s="5">
        <f>CEILING((Таблица3[[#This Row],[Цена за единицу (с учетом наценки продавца), руб.]] - Таблица3[[#This Row],[Цена за единицу (с учетом наценки продавца), руб.]]*M334),1)</f>
        <v>762</v>
      </c>
      <c r="O334" s="21">
        <f>VLOOKUP(Таблица3[[#This Row],[Менеджер по продажам]],'Справочная информация'!B$2:C$6,2,0)</f>
        <v>0.1</v>
      </c>
      <c r="P334" s="5">
        <f>Таблица3[[#This Row],[Цена продажи с учетом персональной скидки, руб.]]*O334</f>
        <v>76.2</v>
      </c>
      <c r="Q334" s="61"/>
    </row>
    <row r="335" spans="1:17" x14ac:dyDescent="0.25">
      <c r="A335" s="10">
        <f t="shared" si="5"/>
        <v>334</v>
      </c>
      <c r="B335" s="5" t="s">
        <v>422</v>
      </c>
      <c r="C335" s="5">
        <f>IF(OR(B335="Гаврилов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5" s="5" t="s">
        <v>394</v>
      </c>
      <c r="E335" s="5" t="s">
        <v>29</v>
      </c>
      <c r="F335" s="4" t="s">
        <v>5</v>
      </c>
      <c r="G335" s="5" t="str">
        <f>VLOOKUP(Таблица3[[#This Row],[Наименование товара]],Склад!$A$3:$B$8,2,1)</f>
        <v>Person</v>
      </c>
      <c r="H335" s="14">
        <v>45010</v>
      </c>
      <c r="I335" s="8">
        <f>INT((MONTH(Таблица3[[#This Row],[Дата продажи]])+2)/3)</f>
        <v>1</v>
      </c>
      <c r="J335" s="5">
        <f>INDEX(Склад!$A$3:$M$8, MATCH(Таблица3[[#This Row],[Наименование товара]], Склад!$A$3:$A$8, 0), 9)</f>
        <v>163.13</v>
      </c>
      <c r="K33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5" s="5">
        <v>0</v>
      </c>
      <c r="N335" s="5">
        <f>CEILING((Таблица3[[#This Row],[Цена за единицу (с учетом наценки продавца), руб.]] - Таблица3[[#This Row],[Цена за единицу (с учетом наценки продавца), руб.]]*M335),1)</f>
        <v>762</v>
      </c>
      <c r="O335" s="21">
        <f>VLOOKUP(Таблица3[[#This Row],[Менеджер по продажам]],'Справочная информация'!B$2:C$6,2,0)</f>
        <v>0.1</v>
      </c>
      <c r="P335" s="5">
        <f>Таблица3[[#This Row],[Цена продажи с учетом персональной скидки, руб.]]*O335</f>
        <v>76.2</v>
      </c>
      <c r="Q335" s="61"/>
    </row>
    <row r="336" spans="1:17" x14ac:dyDescent="0.25">
      <c r="A336" s="10">
        <f t="shared" si="5"/>
        <v>335</v>
      </c>
      <c r="B336" s="5" t="s">
        <v>422</v>
      </c>
      <c r="C336" s="5">
        <f>IF(OR(B336="Гаврилов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6" s="5" t="s">
        <v>381</v>
      </c>
      <c r="E336" s="5" t="s">
        <v>6</v>
      </c>
      <c r="F336" s="4" t="s">
        <v>5</v>
      </c>
      <c r="G336" s="5" t="str">
        <f>VLOOKUP(Таблица3[[#This Row],[Наименование товара]],Склад!$A$3:$B$8,2,1)</f>
        <v>Person</v>
      </c>
      <c r="H336" s="14">
        <v>45009</v>
      </c>
      <c r="I336" s="8">
        <f>INT((MONTH(Таблица3[[#This Row],[Дата продажи]])+2)/3)</f>
        <v>1</v>
      </c>
      <c r="J336" s="5">
        <f>INDEX(Склад!$A$3:$M$8, MATCH(Таблица3[[#This Row],[Наименование товара]], Склад!$A$3:$A$8, 0), 9)</f>
        <v>163.13</v>
      </c>
      <c r="K33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6" s="5">
        <v>0</v>
      </c>
      <c r="N336" s="5">
        <f>CEILING((Таблица3[[#This Row],[Цена за единицу (с учетом наценки продавца), руб.]] - Таблица3[[#This Row],[Цена за единицу (с учетом наценки продавца), руб.]]*M336),1)</f>
        <v>762</v>
      </c>
      <c r="O336" s="21">
        <f>VLOOKUP(Таблица3[[#This Row],[Менеджер по продажам]],'Справочная информация'!B$2:C$6,2,0)</f>
        <v>0.1</v>
      </c>
      <c r="P336" s="5">
        <f>Таблица3[[#This Row],[Цена продажи с учетом персональной скидки, руб.]]*O336</f>
        <v>76.2</v>
      </c>
      <c r="Q336" s="61"/>
    </row>
    <row r="337" spans="1:17" x14ac:dyDescent="0.25">
      <c r="A337" s="10">
        <f t="shared" si="5"/>
        <v>336</v>
      </c>
      <c r="B337" s="5" t="s">
        <v>422</v>
      </c>
      <c r="C337" s="5">
        <f>IF(OR(B337="Гаврилов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7" s="5" t="s">
        <v>363</v>
      </c>
      <c r="E337" s="5" t="s">
        <v>29</v>
      </c>
      <c r="F337" s="4" t="s">
        <v>5</v>
      </c>
      <c r="G337" s="5" t="str">
        <f>VLOOKUP(Таблица3[[#This Row],[Наименование товара]],Склад!$A$3:$B$8,2,1)</f>
        <v>Person</v>
      </c>
      <c r="H337" s="14">
        <v>45005</v>
      </c>
      <c r="I337" s="8">
        <f>INT((MONTH(Таблица3[[#This Row],[Дата продажи]])+2)/3)</f>
        <v>1</v>
      </c>
      <c r="J337" s="5">
        <f>INDEX(Склад!$A$3:$M$8, MATCH(Таблица3[[#This Row],[Наименование товара]], Склад!$A$3:$A$8, 0), 9)</f>
        <v>163.13</v>
      </c>
      <c r="K33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7" s="5">
        <v>0</v>
      </c>
      <c r="N337" s="5">
        <f>CEILING((Таблица3[[#This Row],[Цена за единицу (с учетом наценки продавца), руб.]] - Таблица3[[#This Row],[Цена за единицу (с учетом наценки продавца), руб.]]*M337),1)</f>
        <v>762</v>
      </c>
      <c r="O337" s="21">
        <f>VLOOKUP(Таблица3[[#This Row],[Менеджер по продажам]],'Справочная информация'!B$2:C$6,2,0)</f>
        <v>0.1</v>
      </c>
      <c r="P337" s="5">
        <f>Таблица3[[#This Row],[Цена продажи с учетом персональной скидки, руб.]]*O337</f>
        <v>76.2</v>
      </c>
      <c r="Q337" s="61"/>
    </row>
    <row r="338" spans="1:17" x14ac:dyDescent="0.25">
      <c r="A338" s="10">
        <f t="shared" si="5"/>
        <v>337</v>
      </c>
      <c r="B338" s="5" t="s">
        <v>422</v>
      </c>
      <c r="C338" s="5">
        <f>IF(OR(B338="Гаврилов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8" s="5" t="s">
        <v>277</v>
      </c>
      <c r="E338" s="5" t="s">
        <v>29</v>
      </c>
      <c r="F338" s="4" t="s">
        <v>5</v>
      </c>
      <c r="G338" s="5" t="str">
        <f>VLOOKUP(Таблица3[[#This Row],[Наименование товара]],Склад!$A$3:$B$8,2,1)</f>
        <v>Person</v>
      </c>
      <c r="H338" s="14">
        <v>44987</v>
      </c>
      <c r="I338" s="8">
        <f>INT((MONTH(Таблица3[[#This Row],[Дата продажи]])+2)/3)</f>
        <v>1</v>
      </c>
      <c r="J338" s="5">
        <f>INDEX(Склад!$A$3:$M$8, MATCH(Таблица3[[#This Row],[Наименование товара]], Склад!$A$3:$A$8, 0), 9)</f>
        <v>163.13</v>
      </c>
      <c r="K33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8" s="5">
        <v>0</v>
      </c>
      <c r="N338" s="5">
        <f>CEILING((Таблица3[[#This Row],[Цена за единицу (с учетом наценки продавца), руб.]] - Таблица3[[#This Row],[Цена за единицу (с учетом наценки продавца), руб.]]*M338),1)</f>
        <v>762</v>
      </c>
      <c r="O338" s="21">
        <f>VLOOKUP(Таблица3[[#This Row],[Менеджер по продажам]],'Справочная информация'!B$2:C$6,2,0)</f>
        <v>0.1</v>
      </c>
      <c r="P338" s="5">
        <f>Таблица3[[#This Row],[Цена продажи с учетом персональной скидки, руб.]]*O338</f>
        <v>76.2</v>
      </c>
      <c r="Q338" s="61"/>
    </row>
    <row r="339" spans="1:17" x14ac:dyDescent="0.25">
      <c r="A339" s="10">
        <f t="shared" si="5"/>
        <v>338</v>
      </c>
      <c r="B339" s="5" t="s">
        <v>422</v>
      </c>
      <c r="C339" s="5">
        <f>IF(OR(B339="Гаврилов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39" s="5" t="s">
        <v>261</v>
      </c>
      <c r="E339" s="5" t="s">
        <v>29</v>
      </c>
      <c r="F339" s="4" t="s">
        <v>5</v>
      </c>
      <c r="G339" s="5" t="str">
        <f>VLOOKUP(Таблица3[[#This Row],[Наименование товара]],Склад!$A$3:$B$8,2,1)</f>
        <v>Person</v>
      </c>
      <c r="H339" s="14">
        <v>44984</v>
      </c>
      <c r="I339" s="8">
        <f>INT((MONTH(Таблица3[[#This Row],[Дата продажи]])+2)/3)</f>
        <v>1</v>
      </c>
      <c r="J339" s="5">
        <f>INDEX(Склад!$A$3:$M$8, MATCH(Таблица3[[#This Row],[Наименование товара]], Склад!$A$3:$A$8, 0), 9)</f>
        <v>163.13</v>
      </c>
      <c r="K33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3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39" s="5">
        <v>0</v>
      </c>
      <c r="N339" s="5">
        <f>CEILING((Таблица3[[#This Row],[Цена за единицу (с учетом наценки продавца), руб.]] - Таблица3[[#This Row],[Цена за единицу (с учетом наценки продавца), руб.]]*M339),1)</f>
        <v>762</v>
      </c>
      <c r="O339" s="21">
        <f>VLOOKUP(Таблица3[[#This Row],[Менеджер по продажам]],'Справочная информация'!B$2:C$6,2,0)</f>
        <v>0.1</v>
      </c>
      <c r="P339" s="5">
        <f>Таблица3[[#This Row],[Цена продажи с учетом персональной скидки, руб.]]*O339</f>
        <v>76.2</v>
      </c>
      <c r="Q339" s="61"/>
    </row>
    <row r="340" spans="1:17" x14ac:dyDescent="0.25">
      <c r="A340" s="10">
        <f t="shared" si="5"/>
        <v>339</v>
      </c>
      <c r="B340" s="5" t="s">
        <v>422</v>
      </c>
      <c r="C340" s="5">
        <f>IF(OR(B340="Гаврилов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0" s="5" t="s">
        <v>271</v>
      </c>
      <c r="E340" s="5" t="s">
        <v>29</v>
      </c>
      <c r="F340" s="4" t="s">
        <v>5</v>
      </c>
      <c r="G340" s="5" t="str">
        <f>VLOOKUP(Таблица3[[#This Row],[Наименование товара]],Склад!$A$3:$B$8,2,1)</f>
        <v>Person</v>
      </c>
      <c r="H340" s="14">
        <v>44986</v>
      </c>
      <c r="I340" s="8">
        <f>INT((MONTH(Таблица3[[#This Row],[Дата продажи]])+2)/3)</f>
        <v>1</v>
      </c>
      <c r="J340" s="5">
        <f>INDEX(Склад!$A$3:$M$8, MATCH(Таблица3[[#This Row],[Наименование товара]], Склад!$A$3:$A$8, 0), 9)</f>
        <v>163.13</v>
      </c>
      <c r="K340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0" s="5">
        <v>0</v>
      </c>
      <c r="N340" s="5">
        <f>CEILING((Таблица3[[#This Row],[Цена за единицу (с учетом наценки продавца), руб.]] - Таблица3[[#This Row],[Цена за единицу (с учетом наценки продавца), руб.]]*M340),1)</f>
        <v>762</v>
      </c>
      <c r="O340" s="21">
        <f>VLOOKUP(Таблица3[[#This Row],[Менеджер по продажам]],'Справочная информация'!B$2:C$6,2,0)</f>
        <v>0.1</v>
      </c>
      <c r="P340" s="5">
        <f>Таблица3[[#This Row],[Цена продажи с учетом персональной скидки, руб.]]*O340</f>
        <v>76.2</v>
      </c>
      <c r="Q340" s="61"/>
    </row>
    <row r="341" spans="1:17" x14ac:dyDescent="0.25">
      <c r="A341" s="10">
        <f t="shared" si="5"/>
        <v>340</v>
      </c>
      <c r="B341" s="5" t="s">
        <v>422</v>
      </c>
      <c r="C341" s="5">
        <f>IF(OR(B341="Гаврилов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1" s="5" t="s">
        <v>76</v>
      </c>
      <c r="E341" s="5" t="s">
        <v>6</v>
      </c>
      <c r="F341" s="4" t="s">
        <v>5</v>
      </c>
      <c r="G341" s="5" t="str">
        <f>VLOOKUP(Таблица3[[#This Row],[Наименование товара]],Склад!$A$3:$B$8,2,1)</f>
        <v>Person</v>
      </c>
      <c r="H341" s="14">
        <v>44940</v>
      </c>
      <c r="I341" s="8">
        <f>INT((MONTH(Таблица3[[#This Row],[Дата продажи]])+2)/3)</f>
        <v>1</v>
      </c>
      <c r="J341" s="5">
        <f>INDEX(Склад!$A$3:$M$8, MATCH(Таблица3[[#This Row],[Наименование товара]], Склад!$A$3:$A$8, 0), 9)</f>
        <v>163.13</v>
      </c>
      <c r="K341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1" s="5">
        <v>0</v>
      </c>
      <c r="N341" s="5">
        <f>CEILING((Таблица3[[#This Row],[Цена за единицу (с учетом наценки продавца), руб.]] - Таблица3[[#This Row],[Цена за единицу (с учетом наценки продавца), руб.]]*M341),1)</f>
        <v>762</v>
      </c>
      <c r="O341" s="21">
        <f>VLOOKUP(Таблица3[[#This Row],[Менеджер по продажам]],'Справочная информация'!B$2:C$6,2,0)</f>
        <v>0.1</v>
      </c>
      <c r="P341" s="5">
        <f>Таблица3[[#This Row],[Цена продажи с учетом персональной скидки, руб.]]*O341</f>
        <v>76.2</v>
      </c>
      <c r="Q341" s="61"/>
    </row>
    <row r="342" spans="1:17" x14ac:dyDescent="0.25">
      <c r="A342" s="10">
        <f t="shared" si="5"/>
        <v>341</v>
      </c>
      <c r="B342" s="5" t="s">
        <v>422</v>
      </c>
      <c r="C342" s="5">
        <f>IF(OR(B342="Гаврилов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2" s="5" t="s">
        <v>262</v>
      </c>
      <c r="E342" s="5" t="s">
        <v>29</v>
      </c>
      <c r="F342" s="4" t="s">
        <v>5</v>
      </c>
      <c r="G342" s="5" t="str">
        <f>VLOOKUP(Таблица3[[#This Row],[Наименование товара]],Склад!$A$3:$B$8,2,1)</f>
        <v>Person</v>
      </c>
      <c r="H342" s="14">
        <v>44984</v>
      </c>
      <c r="I342" s="8">
        <f>INT((MONTH(Таблица3[[#This Row],[Дата продажи]])+2)/3)</f>
        <v>1</v>
      </c>
      <c r="J342" s="5">
        <f>INDEX(Склад!$A$3:$M$8, MATCH(Таблица3[[#This Row],[Наименование товара]], Склад!$A$3:$A$8, 0), 9)</f>
        <v>163.13</v>
      </c>
      <c r="K342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2" s="5">
        <v>0</v>
      </c>
      <c r="N342" s="5">
        <f>CEILING((Таблица3[[#This Row],[Цена за единицу (с учетом наценки продавца), руб.]] - Таблица3[[#This Row],[Цена за единицу (с учетом наценки продавца), руб.]]*M342),1)</f>
        <v>762</v>
      </c>
      <c r="O342" s="21">
        <f>VLOOKUP(Таблица3[[#This Row],[Менеджер по продажам]],'Справочная информация'!B$2:C$6,2,0)</f>
        <v>0.1</v>
      </c>
      <c r="P342" s="5">
        <f>Таблица3[[#This Row],[Цена продажи с учетом персональной скидки, руб.]]*O342</f>
        <v>76.2</v>
      </c>
      <c r="Q342" s="61"/>
    </row>
    <row r="343" spans="1:17" x14ac:dyDescent="0.25">
      <c r="A343" s="10">
        <f t="shared" si="5"/>
        <v>342</v>
      </c>
      <c r="B343" s="5" t="s">
        <v>422</v>
      </c>
      <c r="C343" s="5">
        <f>IF(OR(B343="Гаврилов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3" s="5" t="s">
        <v>259</v>
      </c>
      <c r="E343" s="5" t="s">
        <v>23</v>
      </c>
      <c r="F343" s="4" t="s">
        <v>5</v>
      </c>
      <c r="G343" s="5" t="str">
        <f>VLOOKUP(Таблица3[[#This Row],[Наименование товара]],Склад!$A$3:$B$8,2,1)</f>
        <v>Person</v>
      </c>
      <c r="H343" s="14">
        <v>44983</v>
      </c>
      <c r="I343" s="8">
        <f>INT((MONTH(Таблица3[[#This Row],[Дата продажи]])+2)/3)</f>
        <v>1</v>
      </c>
      <c r="J343" s="5">
        <f>INDEX(Склад!$A$3:$M$8, MATCH(Таблица3[[#This Row],[Наименование товара]], Склад!$A$3:$A$8, 0), 9)</f>
        <v>163.13</v>
      </c>
      <c r="K343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3" s="5">
        <v>0</v>
      </c>
      <c r="N343" s="5">
        <f>CEILING((Таблица3[[#This Row],[Цена за единицу (с учетом наценки продавца), руб.]] - Таблица3[[#This Row],[Цена за единицу (с учетом наценки продавца), руб.]]*M343),1)</f>
        <v>762</v>
      </c>
      <c r="O343" s="21">
        <f>VLOOKUP(Таблица3[[#This Row],[Менеджер по продажам]],'Справочная информация'!B$2:C$6,2,0)</f>
        <v>0.1</v>
      </c>
      <c r="P343" s="5">
        <f>Таблица3[[#This Row],[Цена продажи с учетом персональной скидки, руб.]]*O343</f>
        <v>76.2</v>
      </c>
      <c r="Q343" s="61"/>
    </row>
    <row r="344" spans="1:17" x14ac:dyDescent="0.25">
      <c r="A344" s="10">
        <f t="shared" si="5"/>
        <v>343</v>
      </c>
      <c r="B344" s="5" t="s">
        <v>422</v>
      </c>
      <c r="C344" s="5">
        <f>IF(OR(B344="Гаврилов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4" s="5" t="s">
        <v>250</v>
      </c>
      <c r="E344" s="5" t="s">
        <v>23</v>
      </c>
      <c r="F344" s="4" t="s">
        <v>5</v>
      </c>
      <c r="G344" s="5" t="str">
        <f>VLOOKUP(Таблица3[[#This Row],[Наименование товара]],Склад!$A$3:$B$8,2,1)</f>
        <v>Person</v>
      </c>
      <c r="H344" s="14">
        <v>44980</v>
      </c>
      <c r="I344" s="8">
        <f>INT((MONTH(Таблица3[[#This Row],[Дата продажи]])+2)/3)</f>
        <v>1</v>
      </c>
      <c r="J344" s="5">
        <f>INDEX(Склад!$A$3:$M$8, MATCH(Таблица3[[#This Row],[Наименование товара]], Склад!$A$3:$A$8, 0), 9)</f>
        <v>163.13</v>
      </c>
      <c r="K344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4" s="5">
        <v>0</v>
      </c>
      <c r="N344" s="5">
        <f>CEILING((Таблица3[[#This Row],[Цена за единицу (с учетом наценки продавца), руб.]] - Таблица3[[#This Row],[Цена за единицу (с учетом наценки продавца), руб.]]*M344),1)</f>
        <v>762</v>
      </c>
      <c r="O344" s="21">
        <f>VLOOKUP(Таблица3[[#This Row],[Менеджер по продажам]],'Справочная информация'!B$2:C$6,2,0)</f>
        <v>0.1</v>
      </c>
      <c r="P344" s="5">
        <f>Таблица3[[#This Row],[Цена продажи с учетом персональной скидки, руб.]]*O344</f>
        <v>76.2</v>
      </c>
      <c r="Q344" s="61"/>
    </row>
    <row r="345" spans="1:17" x14ac:dyDescent="0.25">
      <c r="A345" s="10">
        <f t="shared" si="5"/>
        <v>344</v>
      </c>
      <c r="B345" s="5" t="s">
        <v>422</v>
      </c>
      <c r="C345" s="5">
        <f>IF(OR(B345="Гаврилов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5" s="5" t="s">
        <v>128</v>
      </c>
      <c r="E345" s="5" t="s">
        <v>23</v>
      </c>
      <c r="F345" s="4" t="s">
        <v>5</v>
      </c>
      <c r="G345" s="5" t="str">
        <f>VLOOKUP(Таблица3[[#This Row],[Наименование товара]],Склад!$A$3:$B$8,2,1)</f>
        <v>Person</v>
      </c>
      <c r="H345" s="14">
        <v>44953</v>
      </c>
      <c r="I345" s="8">
        <f>INT((MONTH(Таблица3[[#This Row],[Дата продажи]])+2)/3)</f>
        <v>1</v>
      </c>
      <c r="J345" s="5">
        <f>INDEX(Склад!$A$3:$M$8, MATCH(Таблица3[[#This Row],[Наименование товара]], Склад!$A$3:$A$8, 0), 9)</f>
        <v>163.13</v>
      </c>
      <c r="K345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5" s="5">
        <v>0</v>
      </c>
      <c r="N345" s="5">
        <f>CEILING((Таблица3[[#This Row],[Цена за единицу (с учетом наценки продавца), руб.]] - Таблица3[[#This Row],[Цена за единицу (с учетом наценки продавца), руб.]]*M345),1)</f>
        <v>762</v>
      </c>
      <c r="O345" s="21">
        <f>VLOOKUP(Таблица3[[#This Row],[Менеджер по продажам]],'Справочная информация'!B$2:C$6,2,0)</f>
        <v>0.1</v>
      </c>
      <c r="P345" s="5">
        <f>Таблица3[[#This Row],[Цена продажи с учетом персональной скидки, руб.]]*O345</f>
        <v>76.2</v>
      </c>
      <c r="Q345" s="61"/>
    </row>
    <row r="346" spans="1:17" x14ac:dyDescent="0.25">
      <c r="A346" s="10">
        <f t="shared" si="5"/>
        <v>345</v>
      </c>
      <c r="B346" s="5" t="s">
        <v>422</v>
      </c>
      <c r="C346" s="5">
        <f>IF(OR(B346="Гаврилов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6" s="5" t="s">
        <v>129</v>
      </c>
      <c r="E346" s="5" t="s">
        <v>29</v>
      </c>
      <c r="F346" s="4" t="s">
        <v>5</v>
      </c>
      <c r="G346" s="5" t="str">
        <f>VLOOKUP(Таблица3[[#This Row],[Наименование товара]],Склад!$A$3:$B$8,2,1)</f>
        <v>Person</v>
      </c>
      <c r="H346" s="14">
        <v>44953</v>
      </c>
      <c r="I346" s="8">
        <f>INT((MONTH(Таблица3[[#This Row],[Дата продажи]])+2)/3)</f>
        <v>1</v>
      </c>
      <c r="J346" s="5">
        <f>INDEX(Склад!$A$3:$M$8, MATCH(Таблица3[[#This Row],[Наименование товара]], Склад!$A$3:$A$8, 0), 9)</f>
        <v>163.13</v>
      </c>
      <c r="K346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6" s="5">
        <v>0</v>
      </c>
      <c r="N346" s="5">
        <f>CEILING((Таблица3[[#This Row],[Цена за единицу (с учетом наценки продавца), руб.]] - Таблица3[[#This Row],[Цена за единицу (с учетом наценки продавца), руб.]]*M346),1)</f>
        <v>762</v>
      </c>
      <c r="O346" s="21">
        <f>VLOOKUP(Таблица3[[#This Row],[Менеджер по продажам]],'Справочная информация'!B$2:C$6,2,0)</f>
        <v>0.1</v>
      </c>
      <c r="P346" s="5">
        <f>Таблица3[[#This Row],[Цена продажи с учетом персональной скидки, руб.]]*O346</f>
        <v>76.2</v>
      </c>
      <c r="Q346" s="61"/>
    </row>
    <row r="347" spans="1:17" x14ac:dyDescent="0.25">
      <c r="A347" s="10">
        <f t="shared" si="5"/>
        <v>346</v>
      </c>
      <c r="B347" s="5" t="s">
        <v>422</v>
      </c>
      <c r="C347" s="5">
        <f>IF(OR(B347="Гаврилов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7" s="5" t="s">
        <v>336</v>
      </c>
      <c r="E347" s="5" t="s">
        <v>29</v>
      </c>
      <c r="F347" s="4" t="s">
        <v>5</v>
      </c>
      <c r="G347" s="5" t="str">
        <f>VLOOKUP(Таблица3[[#This Row],[Наименование товара]],Склад!$A$3:$B$8,2,1)</f>
        <v>Person</v>
      </c>
      <c r="H347" s="14">
        <v>45000</v>
      </c>
      <c r="I347" s="8">
        <f>INT((MONTH(Таблица3[[#This Row],[Дата продажи]])+2)/3)</f>
        <v>1</v>
      </c>
      <c r="J347" s="5">
        <f>INDEX(Склад!$A$3:$M$8, MATCH(Таблица3[[#This Row],[Наименование товара]], Склад!$A$3:$A$8, 0), 9)</f>
        <v>163.13</v>
      </c>
      <c r="K347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7" s="5">
        <v>0</v>
      </c>
      <c r="N347" s="5">
        <f>CEILING((Таблица3[[#This Row],[Цена за единицу (с учетом наценки продавца), руб.]] - Таблица3[[#This Row],[Цена за единицу (с учетом наценки продавца), руб.]]*M347),1)</f>
        <v>762</v>
      </c>
      <c r="O347" s="21">
        <f>VLOOKUP(Таблица3[[#This Row],[Менеджер по продажам]],'Справочная информация'!B$2:C$6,2,0)</f>
        <v>0.1</v>
      </c>
      <c r="P347" s="5">
        <f>Таблица3[[#This Row],[Цена продажи с учетом персональной скидки, руб.]]*O347</f>
        <v>76.2</v>
      </c>
      <c r="Q347" s="61"/>
    </row>
    <row r="348" spans="1:17" x14ac:dyDescent="0.25">
      <c r="A348" s="10">
        <f t="shared" si="5"/>
        <v>347</v>
      </c>
      <c r="B348" s="5" t="s">
        <v>422</v>
      </c>
      <c r="C348" s="5">
        <f>IF(OR(B348="Гаврилов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8" s="5" t="s">
        <v>81</v>
      </c>
      <c r="E348" s="5" t="s">
        <v>6</v>
      </c>
      <c r="F348" s="4" t="s">
        <v>5</v>
      </c>
      <c r="G348" s="5" t="str">
        <f>VLOOKUP(Таблица3[[#This Row],[Наименование товара]],Склад!$A$3:$B$8,2,1)</f>
        <v>Person</v>
      </c>
      <c r="H348" s="14">
        <v>44941</v>
      </c>
      <c r="I348" s="8">
        <f>INT((MONTH(Таблица3[[#This Row],[Дата продажи]])+2)/3)</f>
        <v>1</v>
      </c>
      <c r="J348" s="5">
        <f>INDEX(Склад!$A$3:$M$8, MATCH(Таблица3[[#This Row],[Наименование товара]], Склад!$A$3:$A$8, 0), 9)</f>
        <v>163.13</v>
      </c>
      <c r="K348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8" s="5">
        <v>0</v>
      </c>
      <c r="N348" s="5">
        <f>CEILING((Таблица3[[#This Row],[Цена за единицу (с учетом наценки продавца), руб.]] - Таблица3[[#This Row],[Цена за единицу (с учетом наценки продавца), руб.]]*M348),1)</f>
        <v>762</v>
      </c>
      <c r="O348" s="21">
        <f>VLOOKUP(Таблица3[[#This Row],[Менеджер по продажам]],'Справочная информация'!B$2:C$6,2,0)</f>
        <v>0.1</v>
      </c>
      <c r="P348" s="5">
        <f>Таблица3[[#This Row],[Цена продажи с учетом персональной скидки, руб.]]*O348</f>
        <v>76.2</v>
      </c>
      <c r="Q348" s="61"/>
    </row>
    <row r="349" spans="1:17" x14ac:dyDescent="0.25">
      <c r="A349" s="10">
        <f t="shared" si="5"/>
        <v>348</v>
      </c>
      <c r="B349" s="5" t="s">
        <v>422</v>
      </c>
      <c r="C349" s="5">
        <f>IF(OR(B349="Гаврилов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49" s="5" t="s">
        <v>28</v>
      </c>
      <c r="E349" s="5" t="s">
        <v>29</v>
      </c>
      <c r="F349" s="4" t="s">
        <v>5</v>
      </c>
      <c r="G349" s="5" t="str">
        <f>VLOOKUP(Таблица3[[#This Row],[Наименование товара]],Склад!$A$3:$B$8,2,1)</f>
        <v>Person</v>
      </c>
      <c r="H349" s="14">
        <v>44930</v>
      </c>
      <c r="I349" s="8">
        <f>INT((MONTH(Таблица3[[#This Row],[Дата продажи]])+2)/3)</f>
        <v>1</v>
      </c>
      <c r="J349" s="5">
        <f>INDEX(Склад!$A$3:$M$8, MATCH(Таблица3[[#This Row],[Наименование товара]], Склад!$A$3:$A$8, 0), 9)</f>
        <v>163.13</v>
      </c>
      <c r="K349" s="5">
        <f>Таблица3[[#This Row],[Валовая себестоимость, тс. единицы, руб]]+VLOOKUP(Таблица3[[#This Row],[Наименование товара]],'Справочная информация'!A$12:E$17,5,0)</f>
        <v>507.46</v>
      </c>
      <c r="L34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762</v>
      </c>
      <c r="M349" s="5">
        <v>0</v>
      </c>
      <c r="N349" s="5">
        <f>CEILING((Таблица3[[#This Row],[Цена за единицу (с учетом наценки продавца), руб.]] - Таблица3[[#This Row],[Цена за единицу (с учетом наценки продавца), руб.]]*M349),1)</f>
        <v>762</v>
      </c>
      <c r="O349" s="21">
        <f>VLOOKUP(Таблица3[[#This Row],[Менеджер по продажам]],'Справочная информация'!B$2:C$6,2,0)</f>
        <v>0.1</v>
      </c>
      <c r="P349" s="5">
        <f>Таблица3[[#This Row],[Цена продажи с учетом персональной скидки, руб.]]*O349</f>
        <v>76.2</v>
      </c>
      <c r="Q349" s="61"/>
    </row>
    <row r="350" spans="1:17" x14ac:dyDescent="0.25">
      <c r="A350" s="10">
        <f t="shared" si="5"/>
        <v>349</v>
      </c>
      <c r="B350" s="5" t="s">
        <v>422</v>
      </c>
      <c r="C350" s="5">
        <f>IF(OR(B350="Гаврилов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0" s="5" t="s">
        <v>40</v>
      </c>
      <c r="E350" s="5" t="s">
        <v>29</v>
      </c>
      <c r="F350" s="4" t="s">
        <v>8</v>
      </c>
      <c r="G350" s="5" t="str">
        <f>VLOOKUP(Таблица3[[#This Row],[Наименование товара]],Склад!$A$3:$B$8,2,1)</f>
        <v>Colisto</v>
      </c>
      <c r="H350" s="14">
        <v>44934</v>
      </c>
      <c r="I350" s="8">
        <f>INT((MONTH(Таблица3[[#This Row],[Дата продажи]])+2)/3)</f>
        <v>1</v>
      </c>
      <c r="J350" s="5">
        <f>INDEX(Склад!$A$3:$M$8, MATCH(Таблица3[[#This Row],[Наименование товара]], Склад!$A$3:$A$8, 0), 9)</f>
        <v>97.2</v>
      </c>
      <c r="K35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0" s="5">
        <v>0</v>
      </c>
      <c r="N350" s="5">
        <f>CEILING((Таблица3[[#This Row],[Цена за единицу (с учетом наценки продавца), руб.]] - Таблица3[[#This Row],[Цена за единицу (с учетом наценки продавца), руб.]]*M350),1)</f>
        <v>619</v>
      </c>
      <c r="O350" s="21">
        <f>VLOOKUP(Таблица3[[#This Row],[Менеджер по продажам]],'Справочная информация'!B$2:C$6,2,0)</f>
        <v>0.1</v>
      </c>
      <c r="P350" s="5">
        <f>Таблица3[[#This Row],[Цена продажи с учетом персональной скидки, руб.]]*O350</f>
        <v>61.900000000000006</v>
      </c>
      <c r="Q350" s="61"/>
    </row>
    <row r="351" spans="1:17" x14ac:dyDescent="0.25">
      <c r="A351" s="10">
        <f t="shared" si="5"/>
        <v>350</v>
      </c>
      <c r="B351" s="5" t="s">
        <v>422</v>
      </c>
      <c r="C351" s="5">
        <f>IF(OR(B351="Гаврилов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1" s="5" t="s">
        <v>344</v>
      </c>
      <c r="E351" s="5" t="s">
        <v>23</v>
      </c>
      <c r="F351" s="4" t="s">
        <v>8</v>
      </c>
      <c r="G351" s="5" t="str">
        <f>VLOOKUP(Таблица3[[#This Row],[Наименование товара]],Склад!$A$3:$B$8,2,1)</f>
        <v>Colisto</v>
      </c>
      <c r="H351" s="14">
        <v>45002</v>
      </c>
      <c r="I351" s="8">
        <f>INT((MONTH(Таблица3[[#This Row],[Дата продажи]])+2)/3)</f>
        <v>1</v>
      </c>
      <c r="J351" s="5">
        <f>INDEX(Склад!$A$3:$M$8, MATCH(Таблица3[[#This Row],[Наименование товара]], Склад!$A$3:$A$8, 0), 9)</f>
        <v>97.2</v>
      </c>
      <c r="K35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1" s="5">
        <v>0</v>
      </c>
      <c r="N351" s="5">
        <f>CEILING((Таблица3[[#This Row],[Цена за единицу (с учетом наценки продавца), руб.]] - Таблица3[[#This Row],[Цена за единицу (с учетом наценки продавца), руб.]]*M351),1)</f>
        <v>619</v>
      </c>
      <c r="O351" s="21">
        <f>VLOOKUP(Таблица3[[#This Row],[Менеджер по продажам]],'Справочная информация'!B$2:C$6,2,0)</f>
        <v>0.1</v>
      </c>
      <c r="P351" s="5">
        <f>Таблица3[[#This Row],[Цена продажи с учетом персональной скидки, руб.]]*O351</f>
        <v>61.900000000000006</v>
      </c>
      <c r="Q351" s="61"/>
    </row>
    <row r="352" spans="1:17" x14ac:dyDescent="0.25">
      <c r="A352" s="10">
        <f t="shared" si="5"/>
        <v>351</v>
      </c>
      <c r="B352" s="5" t="s">
        <v>422</v>
      </c>
      <c r="C352" s="5">
        <f>IF(OR(B352="Гаврилов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2" s="5" t="s">
        <v>313</v>
      </c>
      <c r="E352" s="5" t="s">
        <v>29</v>
      </c>
      <c r="F352" s="4" t="s">
        <v>8</v>
      </c>
      <c r="G352" s="5" t="str">
        <f>VLOOKUP(Таблица3[[#This Row],[Наименование товара]],Склад!$A$3:$B$8,2,1)</f>
        <v>Colisto</v>
      </c>
      <c r="H352" s="14">
        <v>44996</v>
      </c>
      <c r="I352" s="8">
        <f>INT((MONTH(Таблица3[[#This Row],[Дата продажи]])+2)/3)</f>
        <v>1</v>
      </c>
      <c r="J352" s="5">
        <f>INDEX(Склад!$A$3:$M$8, MATCH(Таблица3[[#This Row],[Наименование товара]], Склад!$A$3:$A$8, 0), 9)</f>
        <v>97.2</v>
      </c>
      <c r="K35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2" s="5">
        <v>0</v>
      </c>
      <c r="N352" s="5">
        <f>CEILING((Таблица3[[#This Row],[Цена за единицу (с учетом наценки продавца), руб.]] - Таблица3[[#This Row],[Цена за единицу (с учетом наценки продавца), руб.]]*M352),1)</f>
        <v>619</v>
      </c>
      <c r="O352" s="21">
        <f>VLOOKUP(Таблица3[[#This Row],[Менеджер по продажам]],'Справочная информация'!B$2:C$6,2,0)</f>
        <v>0.1</v>
      </c>
      <c r="P352" s="5">
        <f>Таблица3[[#This Row],[Цена продажи с учетом персональной скидки, руб.]]*O352</f>
        <v>61.900000000000006</v>
      </c>
      <c r="Q352" s="61"/>
    </row>
    <row r="353" spans="1:17" x14ac:dyDescent="0.25">
      <c r="A353" s="10">
        <f t="shared" si="5"/>
        <v>352</v>
      </c>
      <c r="B353" s="5" t="s">
        <v>422</v>
      </c>
      <c r="C353" s="5">
        <f>IF(OR(B353="Гаврилов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3" s="5" t="s">
        <v>338</v>
      </c>
      <c r="E353" s="5" t="s">
        <v>29</v>
      </c>
      <c r="F353" s="4" t="s">
        <v>8</v>
      </c>
      <c r="G353" s="5" t="str">
        <f>VLOOKUP(Таблица3[[#This Row],[Наименование товара]],Склад!$A$3:$B$8,2,1)</f>
        <v>Colisto</v>
      </c>
      <c r="H353" s="14">
        <v>45001</v>
      </c>
      <c r="I353" s="8">
        <f>INT((MONTH(Таблица3[[#This Row],[Дата продажи]])+2)/3)</f>
        <v>1</v>
      </c>
      <c r="J353" s="5">
        <f>INDEX(Склад!$A$3:$M$8, MATCH(Таблица3[[#This Row],[Наименование товара]], Склад!$A$3:$A$8, 0), 9)</f>
        <v>97.2</v>
      </c>
      <c r="K35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3" s="5">
        <v>0</v>
      </c>
      <c r="N353" s="5">
        <f>CEILING((Таблица3[[#This Row],[Цена за единицу (с учетом наценки продавца), руб.]] - Таблица3[[#This Row],[Цена за единицу (с учетом наценки продавца), руб.]]*M353),1)</f>
        <v>619</v>
      </c>
      <c r="O353" s="21">
        <f>VLOOKUP(Таблица3[[#This Row],[Менеджер по продажам]],'Справочная информация'!B$2:C$6,2,0)</f>
        <v>0.1</v>
      </c>
      <c r="P353" s="5">
        <f>Таблица3[[#This Row],[Цена продажи с учетом персональной скидки, руб.]]*O353</f>
        <v>61.900000000000006</v>
      </c>
      <c r="Q353" s="61"/>
    </row>
    <row r="354" spans="1:17" x14ac:dyDescent="0.25">
      <c r="A354" s="10">
        <f t="shared" si="5"/>
        <v>353</v>
      </c>
      <c r="B354" s="5" t="s">
        <v>422</v>
      </c>
      <c r="C354" s="5">
        <f>IF(OR(B354="Гаврилов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4" s="5" t="s">
        <v>296</v>
      </c>
      <c r="E354" s="5" t="s">
        <v>23</v>
      </c>
      <c r="F354" s="4" t="s">
        <v>8</v>
      </c>
      <c r="G354" s="5" t="str">
        <f>VLOOKUP(Таблица3[[#This Row],[Наименование товара]],Склад!$A$3:$B$8,2,1)</f>
        <v>Colisto</v>
      </c>
      <c r="H354" s="14">
        <v>44992</v>
      </c>
      <c r="I354" s="8">
        <f>INT((MONTH(Таблица3[[#This Row],[Дата продажи]])+2)/3)</f>
        <v>1</v>
      </c>
      <c r="J354" s="5">
        <f>INDEX(Склад!$A$3:$M$8, MATCH(Таблица3[[#This Row],[Наименование товара]], Склад!$A$3:$A$8, 0), 9)</f>
        <v>97.2</v>
      </c>
      <c r="K35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4" s="5">
        <v>0</v>
      </c>
      <c r="N354" s="5">
        <f>CEILING((Таблица3[[#This Row],[Цена за единицу (с учетом наценки продавца), руб.]] - Таблица3[[#This Row],[Цена за единицу (с учетом наценки продавца), руб.]]*M354),1)</f>
        <v>619</v>
      </c>
      <c r="O354" s="21">
        <f>VLOOKUP(Таблица3[[#This Row],[Менеджер по продажам]],'Справочная информация'!B$2:C$6,2,0)</f>
        <v>0.1</v>
      </c>
      <c r="P354" s="5">
        <f>Таблица3[[#This Row],[Цена продажи с учетом персональной скидки, руб.]]*O354</f>
        <v>61.900000000000006</v>
      </c>
      <c r="Q354" s="61"/>
    </row>
    <row r="355" spans="1:17" x14ac:dyDescent="0.25">
      <c r="A355" s="10">
        <f t="shared" si="5"/>
        <v>354</v>
      </c>
      <c r="B355" s="5" t="s">
        <v>422</v>
      </c>
      <c r="C355" s="5">
        <f>IF(OR(B355="Гаврилов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5" s="5" t="s">
        <v>197</v>
      </c>
      <c r="E355" s="5" t="s">
        <v>29</v>
      </c>
      <c r="F355" s="4" t="s">
        <v>8</v>
      </c>
      <c r="G355" s="5" t="str">
        <f>VLOOKUP(Таблица3[[#This Row],[Наименование товара]],Склад!$A$3:$B$8,2,1)</f>
        <v>Colisto</v>
      </c>
      <c r="H355" s="14">
        <v>44967</v>
      </c>
      <c r="I355" s="8">
        <f>INT((MONTH(Таблица3[[#This Row],[Дата продажи]])+2)/3)</f>
        <v>1</v>
      </c>
      <c r="J355" s="5">
        <f>INDEX(Склад!$A$3:$M$8, MATCH(Таблица3[[#This Row],[Наименование товара]], Склад!$A$3:$A$8, 0), 9)</f>
        <v>97.2</v>
      </c>
      <c r="K35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5" s="5">
        <v>0</v>
      </c>
      <c r="N355" s="5">
        <f>CEILING((Таблица3[[#This Row],[Цена за единицу (с учетом наценки продавца), руб.]] - Таблица3[[#This Row],[Цена за единицу (с учетом наценки продавца), руб.]]*M355),1)</f>
        <v>619</v>
      </c>
      <c r="O355" s="21">
        <f>VLOOKUP(Таблица3[[#This Row],[Менеджер по продажам]],'Справочная информация'!B$2:C$6,2,0)</f>
        <v>0.1</v>
      </c>
      <c r="P355" s="5">
        <f>Таблица3[[#This Row],[Цена продажи с учетом персональной скидки, руб.]]*O355</f>
        <v>61.900000000000006</v>
      </c>
      <c r="Q355" s="61"/>
    </row>
    <row r="356" spans="1:17" x14ac:dyDescent="0.25">
      <c r="A356" s="10">
        <f t="shared" si="5"/>
        <v>355</v>
      </c>
      <c r="B356" s="5" t="s">
        <v>422</v>
      </c>
      <c r="C356" s="5">
        <f>IF(OR(B356="Гаврилов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6" s="5" t="s">
        <v>111</v>
      </c>
      <c r="E356" s="5" t="s">
        <v>29</v>
      </c>
      <c r="F356" s="4" t="s">
        <v>8</v>
      </c>
      <c r="G356" s="5" t="str">
        <f>VLOOKUP(Таблица3[[#This Row],[Наименование товара]],Склад!$A$3:$B$8,2,1)</f>
        <v>Colisto</v>
      </c>
      <c r="H356" s="14">
        <v>44949</v>
      </c>
      <c r="I356" s="8">
        <f>INT((MONTH(Таблица3[[#This Row],[Дата продажи]])+2)/3)</f>
        <v>1</v>
      </c>
      <c r="J356" s="5">
        <f>INDEX(Склад!$A$3:$M$8, MATCH(Таблица3[[#This Row],[Наименование товара]], Склад!$A$3:$A$8, 0), 9)</f>
        <v>97.2</v>
      </c>
      <c r="K35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6" s="5">
        <v>0</v>
      </c>
      <c r="N356" s="5">
        <f>CEILING((Таблица3[[#This Row],[Цена за единицу (с учетом наценки продавца), руб.]] - Таблица3[[#This Row],[Цена за единицу (с учетом наценки продавца), руб.]]*M356),1)</f>
        <v>619</v>
      </c>
      <c r="O356" s="21">
        <f>VLOOKUP(Таблица3[[#This Row],[Менеджер по продажам]],'Справочная информация'!B$2:C$6,2,0)</f>
        <v>0.1</v>
      </c>
      <c r="P356" s="5">
        <f>Таблица3[[#This Row],[Цена продажи с учетом персональной скидки, руб.]]*O356</f>
        <v>61.900000000000006</v>
      </c>
      <c r="Q356" s="61"/>
    </row>
    <row r="357" spans="1:17" x14ac:dyDescent="0.25">
      <c r="A357" s="10">
        <f t="shared" si="5"/>
        <v>356</v>
      </c>
      <c r="B357" s="5" t="s">
        <v>422</v>
      </c>
      <c r="C357" s="5">
        <f>IF(OR(B357="Гаврилов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7" s="5" t="s">
        <v>346</v>
      </c>
      <c r="E357" s="5" t="s">
        <v>23</v>
      </c>
      <c r="F357" s="4" t="s">
        <v>8</v>
      </c>
      <c r="G357" s="5" t="str">
        <f>VLOOKUP(Таблица3[[#This Row],[Наименование товара]],Склад!$A$3:$B$8,2,1)</f>
        <v>Colisto</v>
      </c>
      <c r="H357" s="14">
        <v>45002</v>
      </c>
      <c r="I357" s="8">
        <f>INT((MONTH(Таблица3[[#This Row],[Дата продажи]])+2)/3)</f>
        <v>1</v>
      </c>
      <c r="J357" s="5">
        <f>INDEX(Склад!$A$3:$M$8, MATCH(Таблица3[[#This Row],[Наименование товара]], Склад!$A$3:$A$8, 0), 9)</f>
        <v>97.2</v>
      </c>
      <c r="K357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7" s="5">
        <v>0</v>
      </c>
      <c r="N357" s="5">
        <f>CEILING((Таблица3[[#This Row],[Цена за единицу (с учетом наценки продавца), руб.]] - Таблица3[[#This Row],[Цена за единицу (с учетом наценки продавца), руб.]]*M357),1)</f>
        <v>619</v>
      </c>
      <c r="O357" s="21">
        <f>VLOOKUP(Таблица3[[#This Row],[Менеджер по продажам]],'Справочная информация'!B$2:C$6,2,0)</f>
        <v>0.1</v>
      </c>
      <c r="P357" s="5">
        <f>Таблица3[[#This Row],[Цена продажи с учетом персональной скидки, руб.]]*O357</f>
        <v>61.900000000000006</v>
      </c>
      <c r="Q357" s="61"/>
    </row>
    <row r="358" spans="1:17" x14ac:dyDescent="0.25">
      <c r="A358" s="10">
        <f t="shared" si="5"/>
        <v>357</v>
      </c>
      <c r="B358" s="5" t="s">
        <v>422</v>
      </c>
      <c r="C358" s="5">
        <f>IF(OR(B358="Гаврилов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8" s="5" t="s">
        <v>187</v>
      </c>
      <c r="E358" s="5" t="s">
        <v>23</v>
      </c>
      <c r="F358" s="4" t="s">
        <v>8</v>
      </c>
      <c r="G358" s="5" t="str">
        <f>VLOOKUP(Таблица3[[#This Row],[Наименование товара]],Склад!$A$3:$B$8,2,1)</f>
        <v>Colisto</v>
      </c>
      <c r="H358" s="14">
        <v>44965</v>
      </c>
      <c r="I358" s="8">
        <f>INT((MONTH(Таблица3[[#This Row],[Дата продажи]])+2)/3)</f>
        <v>1</v>
      </c>
      <c r="J358" s="5">
        <f>INDEX(Склад!$A$3:$M$8, MATCH(Таблица3[[#This Row],[Наименование товара]], Склад!$A$3:$A$8, 0), 9)</f>
        <v>97.2</v>
      </c>
      <c r="K358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8" s="5">
        <v>0</v>
      </c>
      <c r="N358" s="5">
        <f>CEILING((Таблица3[[#This Row],[Цена за единицу (с учетом наценки продавца), руб.]] - Таблица3[[#This Row],[Цена за единицу (с учетом наценки продавца), руб.]]*M358),1)</f>
        <v>619</v>
      </c>
      <c r="O358" s="21">
        <f>VLOOKUP(Таблица3[[#This Row],[Менеджер по продажам]],'Справочная информация'!B$2:C$6,2,0)</f>
        <v>0.1</v>
      </c>
      <c r="P358" s="5">
        <f>Таблица3[[#This Row],[Цена продажи с учетом персональной скидки, руб.]]*O358</f>
        <v>61.900000000000006</v>
      </c>
      <c r="Q358" s="61"/>
    </row>
    <row r="359" spans="1:17" x14ac:dyDescent="0.25">
      <c r="A359" s="10">
        <f t="shared" si="5"/>
        <v>358</v>
      </c>
      <c r="B359" s="5" t="s">
        <v>422</v>
      </c>
      <c r="C359" s="5">
        <f>IF(OR(B359="Гаврилов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59" s="5" t="s">
        <v>61</v>
      </c>
      <c r="E359" s="5" t="s">
        <v>29</v>
      </c>
      <c r="F359" s="4" t="s">
        <v>8</v>
      </c>
      <c r="G359" s="5" t="str">
        <f>VLOOKUP(Таблица3[[#This Row],[Наименование товара]],Склад!$A$3:$B$8,2,1)</f>
        <v>Colisto</v>
      </c>
      <c r="H359" s="14">
        <v>44938</v>
      </c>
      <c r="I359" s="8">
        <f>INT((MONTH(Таблица3[[#This Row],[Дата продажи]])+2)/3)</f>
        <v>1</v>
      </c>
      <c r="J359" s="5">
        <f>INDEX(Склад!$A$3:$M$8, MATCH(Таблица3[[#This Row],[Наименование товара]], Склад!$A$3:$A$8, 0), 9)</f>
        <v>97.2</v>
      </c>
      <c r="K359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5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59" s="5">
        <v>0</v>
      </c>
      <c r="N359" s="5">
        <f>CEILING((Таблица3[[#This Row],[Цена за единицу (с учетом наценки продавца), руб.]] - Таблица3[[#This Row],[Цена за единицу (с учетом наценки продавца), руб.]]*M359),1)</f>
        <v>619</v>
      </c>
      <c r="O359" s="21">
        <f>VLOOKUP(Таблица3[[#This Row],[Менеджер по продажам]],'Справочная информация'!B$2:C$6,2,0)</f>
        <v>0.1</v>
      </c>
      <c r="P359" s="5">
        <f>Таблица3[[#This Row],[Цена продажи с учетом персональной скидки, руб.]]*O359</f>
        <v>61.900000000000006</v>
      </c>
      <c r="Q359" s="61"/>
    </row>
    <row r="360" spans="1:17" x14ac:dyDescent="0.25">
      <c r="A360" s="10">
        <f t="shared" si="5"/>
        <v>359</v>
      </c>
      <c r="B360" s="5" t="s">
        <v>422</v>
      </c>
      <c r="C360" s="5">
        <f>IF(OR(B360="Гаврилов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0" s="5" t="s">
        <v>410</v>
      </c>
      <c r="E360" s="5" t="s">
        <v>6</v>
      </c>
      <c r="F360" s="4" t="s">
        <v>8</v>
      </c>
      <c r="G360" s="5" t="str">
        <f>VLOOKUP(Таблица3[[#This Row],[Наименование товара]],Склад!$A$3:$B$8,2,1)</f>
        <v>Colisto</v>
      </c>
      <c r="H360" s="14">
        <v>45015</v>
      </c>
      <c r="I360" s="8">
        <f>INT((MONTH(Таблица3[[#This Row],[Дата продажи]])+2)/3)</f>
        <v>1</v>
      </c>
      <c r="J360" s="5">
        <f>INDEX(Склад!$A$3:$M$8, MATCH(Таблица3[[#This Row],[Наименование товара]], Склад!$A$3:$A$8, 0), 9)</f>
        <v>97.2</v>
      </c>
      <c r="K360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0" s="5">
        <v>0</v>
      </c>
      <c r="N360" s="5">
        <f>CEILING((Таблица3[[#This Row],[Цена за единицу (с учетом наценки продавца), руб.]] - Таблица3[[#This Row],[Цена за единицу (с учетом наценки продавца), руб.]]*M360),1)</f>
        <v>619</v>
      </c>
      <c r="O360" s="21">
        <f>VLOOKUP(Таблица3[[#This Row],[Менеджер по продажам]],'Справочная информация'!B$2:C$6,2,0)</f>
        <v>0.1</v>
      </c>
      <c r="P360" s="5">
        <f>Таблица3[[#This Row],[Цена продажи с учетом персональной скидки, руб.]]*O360</f>
        <v>61.900000000000006</v>
      </c>
      <c r="Q360" s="61"/>
    </row>
    <row r="361" spans="1:17" x14ac:dyDescent="0.25">
      <c r="A361" s="10">
        <f t="shared" si="5"/>
        <v>360</v>
      </c>
      <c r="B361" s="5" t="s">
        <v>422</v>
      </c>
      <c r="C361" s="5">
        <f>IF(OR(B361="Гаврилов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1" s="5" t="s">
        <v>289</v>
      </c>
      <c r="E361" s="5" t="s">
        <v>29</v>
      </c>
      <c r="F361" s="4" t="s">
        <v>8</v>
      </c>
      <c r="G361" s="5" t="str">
        <f>VLOOKUP(Таблица3[[#This Row],[Наименование товара]],Склад!$A$3:$B$8,2,1)</f>
        <v>Colisto</v>
      </c>
      <c r="H361" s="14">
        <v>44990</v>
      </c>
      <c r="I361" s="8">
        <f>INT((MONTH(Таблица3[[#This Row],[Дата продажи]])+2)/3)</f>
        <v>1</v>
      </c>
      <c r="J361" s="5">
        <f>INDEX(Склад!$A$3:$M$8, MATCH(Таблица3[[#This Row],[Наименование товара]], Склад!$A$3:$A$8, 0), 9)</f>
        <v>97.2</v>
      </c>
      <c r="K361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1" s="5">
        <v>0</v>
      </c>
      <c r="N361" s="5">
        <f>CEILING((Таблица3[[#This Row],[Цена за единицу (с учетом наценки продавца), руб.]] - Таблица3[[#This Row],[Цена за единицу (с учетом наценки продавца), руб.]]*M361),1)</f>
        <v>619</v>
      </c>
      <c r="O361" s="21">
        <f>VLOOKUP(Таблица3[[#This Row],[Менеджер по продажам]],'Справочная информация'!B$2:C$6,2,0)</f>
        <v>0.1</v>
      </c>
      <c r="P361" s="5">
        <f>Таблица3[[#This Row],[Цена продажи с учетом персональной скидки, руб.]]*O361</f>
        <v>61.900000000000006</v>
      </c>
      <c r="Q361" s="61"/>
    </row>
    <row r="362" spans="1:17" x14ac:dyDescent="0.25">
      <c r="A362" s="10">
        <f t="shared" si="5"/>
        <v>361</v>
      </c>
      <c r="B362" s="5" t="s">
        <v>422</v>
      </c>
      <c r="C362" s="5">
        <f>IF(OR(B362="Гаврилов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2" s="5" t="s">
        <v>276</v>
      </c>
      <c r="E362" s="5" t="s">
        <v>23</v>
      </c>
      <c r="F362" s="4" t="s">
        <v>8</v>
      </c>
      <c r="G362" s="5" t="str">
        <f>VLOOKUP(Таблица3[[#This Row],[Наименование товара]],Склад!$A$3:$B$8,2,1)</f>
        <v>Colisto</v>
      </c>
      <c r="H362" s="14">
        <v>44987</v>
      </c>
      <c r="I362" s="8">
        <f>INT((MONTH(Таблица3[[#This Row],[Дата продажи]])+2)/3)</f>
        <v>1</v>
      </c>
      <c r="J362" s="5">
        <f>INDEX(Склад!$A$3:$M$8, MATCH(Таблица3[[#This Row],[Наименование товара]], Склад!$A$3:$A$8, 0), 9)</f>
        <v>97.2</v>
      </c>
      <c r="K362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2" s="5">
        <v>0</v>
      </c>
      <c r="N362" s="5">
        <f>CEILING((Таблица3[[#This Row],[Цена за единицу (с учетом наценки продавца), руб.]] - Таблица3[[#This Row],[Цена за единицу (с учетом наценки продавца), руб.]]*M362),1)</f>
        <v>619</v>
      </c>
      <c r="O362" s="21">
        <f>VLOOKUP(Таблица3[[#This Row],[Менеджер по продажам]],'Справочная информация'!B$2:C$6,2,0)</f>
        <v>0.1</v>
      </c>
      <c r="P362" s="5">
        <f>Таблица3[[#This Row],[Цена продажи с учетом персональной скидки, руб.]]*O362</f>
        <v>61.900000000000006</v>
      </c>
      <c r="Q362" s="61"/>
    </row>
    <row r="363" spans="1:17" x14ac:dyDescent="0.25">
      <c r="A363" s="10">
        <f t="shared" si="5"/>
        <v>362</v>
      </c>
      <c r="B363" s="5" t="s">
        <v>422</v>
      </c>
      <c r="C363" s="5">
        <f>IF(OR(B363="Гаврилов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3" s="5" t="s">
        <v>411</v>
      </c>
      <c r="E363" s="5" t="s">
        <v>6</v>
      </c>
      <c r="F363" s="4" t="s">
        <v>8</v>
      </c>
      <c r="G363" s="5" t="str">
        <f>VLOOKUP(Таблица3[[#This Row],[Наименование товара]],Склад!$A$3:$B$8,2,1)</f>
        <v>Colisto</v>
      </c>
      <c r="H363" s="14">
        <v>45015</v>
      </c>
      <c r="I363" s="8">
        <f>INT((MONTH(Таблица3[[#This Row],[Дата продажи]])+2)/3)</f>
        <v>1</v>
      </c>
      <c r="J363" s="5">
        <f>INDEX(Склад!$A$3:$M$8, MATCH(Таблица3[[#This Row],[Наименование товара]], Склад!$A$3:$A$8, 0), 9)</f>
        <v>97.2</v>
      </c>
      <c r="K363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3" s="5">
        <v>0</v>
      </c>
      <c r="N363" s="5">
        <f>CEILING((Таблица3[[#This Row],[Цена за единицу (с учетом наценки продавца), руб.]] - Таблица3[[#This Row],[Цена за единицу (с учетом наценки продавца), руб.]]*M363),1)</f>
        <v>619</v>
      </c>
      <c r="O363" s="21">
        <f>VLOOKUP(Таблица3[[#This Row],[Менеджер по продажам]],'Справочная информация'!B$2:C$6,2,0)</f>
        <v>0.1</v>
      </c>
      <c r="P363" s="5">
        <f>Таблица3[[#This Row],[Цена продажи с учетом персональной скидки, руб.]]*O363</f>
        <v>61.900000000000006</v>
      </c>
      <c r="Q363" s="61"/>
    </row>
    <row r="364" spans="1:17" x14ac:dyDescent="0.25">
      <c r="A364" s="10">
        <f t="shared" si="5"/>
        <v>363</v>
      </c>
      <c r="B364" s="5" t="s">
        <v>422</v>
      </c>
      <c r="C364" s="5">
        <f>IF(OR(B364="Гаврилов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4" s="5" t="s">
        <v>39</v>
      </c>
      <c r="E364" s="5" t="s">
        <v>6</v>
      </c>
      <c r="F364" s="4" t="s">
        <v>8</v>
      </c>
      <c r="G364" s="5" t="str">
        <f>VLOOKUP(Таблица3[[#This Row],[Наименование товара]],Склад!$A$3:$B$8,2,1)</f>
        <v>Colisto</v>
      </c>
      <c r="H364" s="14">
        <v>44933</v>
      </c>
      <c r="I364" s="8">
        <f>INT((MONTH(Таблица3[[#This Row],[Дата продажи]])+2)/3)</f>
        <v>1</v>
      </c>
      <c r="J364" s="5">
        <f>INDEX(Склад!$A$3:$M$8, MATCH(Таблица3[[#This Row],[Наименование товара]], Склад!$A$3:$A$8, 0), 9)</f>
        <v>97.2</v>
      </c>
      <c r="K364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4" s="5">
        <v>0</v>
      </c>
      <c r="N364" s="5">
        <f>CEILING((Таблица3[[#This Row],[Цена за единицу (с учетом наценки продавца), руб.]] - Таблица3[[#This Row],[Цена за единицу (с учетом наценки продавца), руб.]]*M364),1)</f>
        <v>619</v>
      </c>
      <c r="O364" s="21">
        <f>VLOOKUP(Таблица3[[#This Row],[Менеджер по продажам]],'Справочная информация'!B$2:C$6,2,0)</f>
        <v>0.1</v>
      </c>
      <c r="P364" s="5">
        <f>Таблица3[[#This Row],[Цена продажи с учетом персональной скидки, руб.]]*O364</f>
        <v>61.900000000000006</v>
      </c>
      <c r="Q364" s="61"/>
    </row>
    <row r="365" spans="1:17" x14ac:dyDescent="0.25">
      <c r="A365" s="10">
        <f t="shared" si="5"/>
        <v>364</v>
      </c>
      <c r="B365" s="5" t="s">
        <v>422</v>
      </c>
      <c r="C365" s="5">
        <f>IF(OR(B365="Гаврилов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5" s="5" t="s">
        <v>246</v>
      </c>
      <c r="E365" s="5" t="s">
        <v>6</v>
      </c>
      <c r="F365" s="4" t="s">
        <v>8</v>
      </c>
      <c r="G365" s="5" t="str">
        <f>VLOOKUP(Таблица3[[#This Row],[Наименование товара]],Склад!$A$3:$B$8,2,1)</f>
        <v>Colisto</v>
      </c>
      <c r="H365" s="14">
        <v>44979</v>
      </c>
      <c r="I365" s="8">
        <f>INT((MONTH(Таблица3[[#This Row],[Дата продажи]])+2)/3)</f>
        <v>1</v>
      </c>
      <c r="J365" s="5">
        <f>INDEX(Склад!$A$3:$M$8, MATCH(Таблица3[[#This Row],[Наименование товара]], Склад!$A$3:$A$8, 0), 9)</f>
        <v>97.2</v>
      </c>
      <c r="K365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5" s="5">
        <v>0</v>
      </c>
      <c r="N365" s="5">
        <f>CEILING((Таблица3[[#This Row],[Цена за единицу (с учетом наценки продавца), руб.]] - Таблица3[[#This Row],[Цена за единицу (с учетом наценки продавца), руб.]]*M365),1)</f>
        <v>619</v>
      </c>
      <c r="O365" s="21">
        <f>VLOOKUP(Таблица3[[#This Row],[Менеджер по продажам]],'Справочная информация'!B$2:C$6,2,0)</f>
        <v>0.1</v>
      </c>
      <c r="P365" s="5">
        <f>Таблица3[[#This Row],[Цена продажи с учетом персональной скидки, руб.]]*O365</f>
        <v>61.900000000000006</v>
      </c>
      <c r="Q365" s="61"/>
    </row>
    <row r="366" spans="1:17" x14ac:dyDescent="0.25">
      <c r="A366" s="10">
        <f t="shared" si="5"/>
        <v>365</v>
      </c>
      <c r="B366" s="5" t="s">
        <v>422</v>
      </c>
      <c r="C366" s="5">
        <f>IF(OR(B366="Гаврилов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6" s="5" t="s">
        <v>144</v>
      </c>
      <c r="E366" s="5" t="s">
        <v>29</v>
      </c>
      <c r="F366" s="4" t="s">
        <v>8</v>
      </c>
      <c r="G366" s="5" t="str">
        <f>VLOOKUP(Таблица3[[#This Row],[Наименование товара]],Склад!$A$3:$B$8,2,1)</f>
        <v>Colisto</v>
      </c>
      <c r="H366" s="14">
        <v>44956</v>
      </c>
      <c r="I366" s="8">
        <f>INT((MONTH(Таблица3[[#This Row],[Дата продажи]])+2)/3)</f>
        <v>1</v>
      </c>
      <c r="J366" s="5">
        <f>INDEX(Склад!$A$3:$M$8, MATCH(Таблица3[[#This Row],[Наименование товара]], Склад!$A$3:$A$8, 0), 9)</f>
        <v>97.2</v>
      </c>
      <c r="K366" s="5">
        <f>Таблица3[[#This Row],[Валовая себестоимость, тс. единицы, руб]]+VLOOKUP(Таблица3[[#This Row],[Наименование товара]],'Справочная информация'!A$12:E$17,5,0)</f>
        <v>441.53</v>
      </c>
      <c r="L36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619</v>
      </c>
      <c r="M366" s="5">
        <v>0</v>
      </c>
      <c r="N366" s="5">
        <f>CEILING((Таблица3[[#This Row],[Цена за единицу (с учетом наценки продавца), руб.]] - Таблица3[[#This Row],[Цена за единицу (с учетом наценки продавца), руб.]]*M366),1)</f>
        <v>619</v>
      </c>
      <c r="O366" s="21">
        <f>VLOOKUP(Таблица3[[#This Row],[Менеджер по продажам]],'Справочная информация'!B$2:C$6,2,0)</f>
        <v>0.1</v>
      </c>
      <c r="P366" s="5">
        <f>Таблица3[[#This Row],[Цена продажи с учетом персональной скидки, руб.]]*O366</f>
        <v>61.900000000000006</v>
      </c>
      <c r="Q366" s="61"/>
    </row>
    <row r="367" spans="1:17" x14ac:dyDescent="0.25">
      <c r="A367" s="10">
        <f t="shared" si="5"/>
        <v>366</v>
      </c>
      <c r="B367" s="5" t="s">
        <v>422</v>
      </c>
      <c r="C367" s="5">
        <f>IF(OR(B367="Гаврилов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7" s="5" t="s">
        <v>317</v>
      </c>
      <c r="E367" s="5" t="s">
        <v>29</v>
      </c>
      <c r="F367" s="4" t="s">
        <v>22</v>
      </c>
      <c r="G367" s="5" t="str">
        <f>VLOOKUP(Таблица3[[#This Row],[Наименование товара]],Склад!$A$3:$B$8,2,1)</f>
        <v>Porto</v>
      </c>
      <c r="H367" s="14">
        <v>44997</v>
      </c>
      <c r="I367" s="8">
        <f>INT((MONTH(Таблица3[[#This Row],[Дата продажи]])+2)/3)</f>
        <v>1</v>
      </c>
      <c r="J367" s="5">
        <f>INDEX(Склад!$A$3:$M$8, MATCH(Таблица3[[#This Row],[Наименование товара]], Склад!$A$3:$A$8, 0), 9)</f>
        <v>119.43</v>
      </c>
      <c r="K367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6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67" s="5">
        <v>0</v>
      </c>
      <c r="N367" s="5">
        <f>CEILING((Таблица3[[#This Row],[Цена за единицу (с учетом наценки продавца), руб.]] - Таблица3[[#This Row],[Цена за единицу (с учетом наценки продавца), руб.]]*M367),1)</f>
        <v>696</v>
      </c>
      <c r="O367" s="21">
        <f>VLOOKUP(Таблица3[[#This Row],[Менеджер по продажам]],'Справочная информация'!B$2:C$6,2,0)</f>
        <v>0.1</v>
      </c>
      <c r="P367" s="5">
        <f>Таблица3[[#This Row],[Цена продажи с учетом персональной скидки, руб.]]*O367</f>
        <v>69.600000000000009</v>
      </c>
      <c r="Q367" s="61"/>
    </row>
    <row r="368" spans="1:17" x14ac:dyDescent="0.25">
      <c r="A368" s="10">
        <f t="shared" si="5"/>
        <v>367</v>
      </c>
      <c r="B368" s="5" t="s">
        <v>422</v>
      </c>
      <c r="C368" s="5">
        <f>IF(OR(B368="Гаврилов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8" s="5" t="s">
        <v>153</v>
      </c>
      <c r="E368" s="5" t="s">
        <v>29</v>
      </c>
      <c r="F368" s="4" t="s">
        <v>22</v>
      </c>
      <c r="G368" s="5" t="str">
        <f>VLOOKUP(Таблица3[[#This Row],[Наименование товара]],Склад!$A$3:$B$8,2,1)</f>
        <v>Porto</v>
      </c>
      <c r="H368" s="14">
        <v>44958</v>
      </c>
      <c r="I368" s="8">
        <f>INT((MONTH(Таблица3[[#This Row],[Дата продажи]])+2)/3)</f>
        <v>1</v>
      </c>
      <c r="J368" s="5">
        <f>INDEX(Склад!$A$3:$M$8, MATCH(Таблица3[[#This Row],[Наименование товара]], Склад!$A$3:$A$8, 0), 9)</f>
        <v>119.43</v>
      </c>
      <c r="K368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6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68" s="5">
        <v>0</v>
      </c>
      <c r="N368" s="5">
        <f>CEILING((Таблица3[[#This Row],[Цена за единицу (с учетом наценки продавца), руб.]] - Таблица3[[#This Row],[Цена за единицу (с учетом наценки продавца), руб.]]*M368),1)</f>
        <v>696</v>
      </c>
      <c r="O368" s="21">
        <f>VLOOKUP(Таблица3[[#This Row],[Менеджер по продажам]],'Справочная информация'!B$2:C$6,2,0)</f>
        <v>0.1</v>
      </c>
      <c r="P368" s="5">
        <f>Таблица3[[#This Row],[Цена продажи с учетом персональной скидки, руб.]]*O368</f>
        <v>69.600000000000009</v>
      </c>
      <c r="Q368" s="61"/>
    </row>
    <row r="369" spans="1:17" x14ac:dyDescent="0.25">
      <c r="A369" s="10">
        <f t="shared" si="5"/>
        <v>368</v>
      </c>
      <c r="B369" s="5" t="s">
        <v>422</v>
      </c>
      <c r="C369" s="5">
        <f>IF(OR(B369="Гаврилов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69" s="5" t="s">
        <v>274</v>
      </c>
      <c r="E369" s="5" t="s">
        <v>29</v>
      </c>
      <c r="F369" s="4" t="s">
        <v>22</v>
      </c>
      <c r="G369" s="5" t="str">
        <f>VLOOKUP(Таблица3[[#This Row],[Наименование товара]],Склад!$A$3:$B$8,2,1)</f>
        <v>Porto</v>
      </c>
      <c r="H369" s="14">
        <v>44987</v>
      </c>
      <c r="I369" s="8">
        <f>INT((MONTH(Таблица3[[#This Row],[Дата продажи]])+2)/3)</f>
        <v>1</v>
      </c>
      <c r="J369" s="5">
        <f>INDEX(Склад!$A$3:$M$8, MATCH(Таблица3[[#This Row],[Наименование товара]], Склад!$A$3:$A$8, 0), 9)</f>
        <v>119.43</v>
      </c>
      <c r="K369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6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69" s="5">
        <v>0</v>
      </c>
      <c r="N369" s="5">
        <f>CEILING((Таблица3[[#This Row],[Цена за единицу (с учетом наценки продавца), руб.]] - Таблица3[[#This Row],[Цена за единицу (с учетом наценки продавца), руб.]]*M369),1)</f>
        <v>696</v>
      </c>
      <c r="O369" s="21">
        <f>VLOOKUP(Таблица3[[#This Row],[Менеджер по продажам]],'Справочная информация'!B$2:C$6,2,0)</f>
        <v>0.1</v>
      </c>
      <c r="P369" s="5">
        <f>Таблица3[[#This Row],[Цена продажи с учетом персональной скидки, руб.]]*O369</f>
        <v>69.600000000000009</v>
      </c>
      <c r="Q369" s="61"/>
    </row>
    <row r="370" spans="1:17" x14ac:dyDescent="0.25">
      <c r="A370" s="10">
        <f t="shared" si="5"/>
        <v>369</v>
      </c>
      <c r="B370" s="5" t="s">
        <v>422</v>
      </c>
      <c r="C370" s="5">
        <f>IF(OR(B370="Гаврилов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0" s="5" t="s">
        <v>199</v>
      </c>
      <c r="E370" s="5" t="s">
        <v>6</v>
      </c>
      <c r="F370" s="4" t="s">
        <v>22</v>
      </c>
      <c r="G370" s="5" t="str">
        <f>VLOOKUP(Таблица3[[#This Row],[Наименование товара]],Склад!$A$3:$B$8,2,1)</f>
        <v>Porto</v>
      </c>
      <c r="H370" s="14">
        <v>44967</v>
      </c>
      <c r="I370" s="8">
        <f>INT((MONTH(Таблица3[[#This Row],[Дата продажи]])+2)/3)</f>
        <v>1</v>
      </c>
      <c r="J370" s="5">
        <f>INDEX(Склад!$A$3:$M$8, MATCH(Таблица3[[#This Row],[Наименование товара]], Склад!$A$3:$A$8, 0), 9)</f>
        <v>119.43</v>
      </c>
      <c r="K370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0" s="5">
        <v>0</v>
      </c>
      <c r="N370" s="5">
        <f>CEILING((Таблица3[[#This Row],[Цена за единицу (с учетом наценки продавца), руб.]] - Таблица3[[#This Row],[Цена за единицу (с учетом наценки продавца), руб.]]*M370),1)</f>
        <v>696</v>
      </c>
      <c r="O370" s="21">
        <f>VLOOKUP(Таблица3[[#This Row],[Менеджер по продажам]],'Справочная информация'!B$2:C$6,2,0)</f>
        <v>0.1</v>
      </c>
      <c r="P370" s="5">
        <f>Таблица3[[#This Row],[Цена продажи с учетом персональной скидки, руб.]]*O370</f>
        <v>69.600000000000009</v>
      </c>
      <c r="Q370" s="61"/>
    </row>
    <row r="371" spans="1:17" x14ac:dyDescent="0.25">
      <c r="A371" s="10">
        <f t="shared" si="5"/>
        <v>370</v>
      </c>
      <c r="B371" s="5" t="s">
        <v>422</v>
      </c>
      <c r="C371" s="5">
        <f>IF(OR(B371="Гаврилов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1" s="5" t="s">
        <v>48</v>
      </c>
      <c r="E371" s="5" t="s">
        <v>29</v>
      </c>
      <c r="F371" s="4" t="s">
        <v>22</v>
      </c>
      <c r="G371" s="5" t="str">
        <f>VLOOKUP(Таблица3[[#This Row],[Наименование товара]],Склад!$A$3:$B$8,2,1)</f>
        <v>Porto</v>
      </c>
      <c r="H371" s="14">
        <v>44935</v>
      </c>
      <c r="I371" s="8">
        <f>INT((MONTH(Таблица3[[#This Row],[Дата продажи]])+2)/3)</f>
        <v>1</v>
      </c>
      <c r="J371" s="5">
        <f>INDEX(Склад!$A$3:$M$8, MATCH(Таблица3[[#This Row],[Наименование товара]], Склад!$A$3:$A$8, 0), 9)</f>
        <v>119.43</v>
      </c>
      <c r="K371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1" s="5">
        <v>0</v>
      </c>
      <c r="N371" s="5">
        <f>CEILING((Таблица3[[#This Row],[Цена за единицу (с учетом наценки продавца), руб.]] - Таблица3[[#This Row],[Цена за единицу (с учетом наценки продавца), руб.]]*M371),1)</f>
        <v>696</v>
      </c>
      <c r="O371" s="21">
        <f>VLOOKUP(Таблица3[[#This Row],[Менеджер по продажам]],'Справочная информация'!B$2:C$6,2,0)</f>
        <v>0.1</v>
      </c>
      <c r="P371" s="5">
        <f>Таблица3[[#This Row],[Цена продажи с учетом персональной скидки, руб.]]*O371</f>
        <v>69.600000000000009</v>
      </c>
      <c r="Q371" s="61"/>
    </row>
    <row r="372" spans="1:17" x14ac:dyDescent="0.25">
      <c r="A372" s="10">
        <f t="shared" si="5"/>
        <v>371</v>
      </c>
      <c r="B372" s="5" t="s">
        <v>422</v>
      </c>
      <c r="C372" s="5">
        <f>IF(OR(B372="Гаврилов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2" s="5" t="s">
        <v>21</v>
      </c>
      <c r="E372" s="5" t="s">
        <v>23</v>
      </c>
      <c r="F372" s="4" t="s">
        <v>22</v>
      </c>
      <c r="G372" s="5" t="str">
        <f>VLOOKUP(Таблица3[[#This Row],[Наименование товара]],Склад!$A$3:$B$8,2,1)</f>
        <v>Porto</v>
      </c>
      <c r="H372" s="14">
        <v>44928</v>
      </c>
      <c r="I372" s="8">
        <f>INT((MONTH(Таблица3[[#This Row],[Дата продажи]])+2)/3)</f>
        <v>1</v>
      </c>
      <c r="J372" s="5">
        <f>INDEX(Склад!$A$3:$M$8, MATCH(Таблица3[[#This Row],[Наименование товара]], Склад!$A$3:$A$8, 0), 9)</f>
        <v>119.43</v>
      </c>
      <c r="K372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2" s="5">
        <v>0</v>
      </c>
      <c r="N372" s="5">
        <f>CEILING((Таблица3[[#This Row],[Цена за единицу (с учетом наценки продавца), руб.]] - Таблица3[[#This Row],[Цена за единицу (с учетом наценки продавца), руб.]]*M372),1)</f>
        <v>696</v>
      </c>
      <c r="O372" s="21">
        <f>VLOOKUP(Таблица3[[#This Row],[Менеджер по продажам]],'Справочная информация'!B$2:C$6,2,0)</f>
        <v>0.1</v>
      </c>
      <c r="P372" s="5">
        <f>Таблица3[[#This Row],[Цена продажи с учетом персональной скидки, руб.]]*O372</f>
        <v>69.600000000000009</v>
      </c>
      <c r="Q372" s="61"/>
    </row>
    <row r="373" spans="1:17" x14ac:dyDescent="0.25">
      <c r="A373" s="10">
        <f t="shared" si="5"/>
        <v>372</v>
      </c>
      <c r="B373" s="5" t="s">
        <v>422</v>
      </c>
      <c r="C373" s="5">
        <f>IF(OR(B373="Гаврилов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3" s="5" t="s">
        <v>335</v>
      </c>
      <c r="E373" s="5" t="s">
        <v>29</v>
      </c>
      <c r="F373" s="4" t="s">
        <v>22</v>
      </c>
      <c r="G373" s="5" t="str">
        <f>VLOOKUP(Таблица3[[#This Row],[Наименование товара]],Склад!$A$3:$B$8,2,1)</f>
        <v>Porto</v>
      </c>
      <c r="H373" s="14">
        <v>45000</v>
      </c>
      <c r="I373" s="8">
        <f>INT((MONTH(Таблица3[[#This Row],[Дата продажи]])+2)/3)</f>
        <v>1</v>
      </c>
      <c r="J373" s="5">
        <f>INDEX(Склад!$A$3:$M$8, MATCH(Таблица3[[#This Row],[Наименование товара]], Склад!$A$3:$A$8, 0), 9)</f>
        <v>119.43</v>
      </c>
      <c r="K373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3" s="5">
        <v>0</v>
      </c>
      <c r="N373" s="5">
        <f>CEILING((Таблица3[[#This Row],[Цена за единицу (с учетом наценки продавца), руб.]] - Таблица3[[#This Row],[Цена за единицу (с учетом наценки продавца), руб.]]*M373),1)</f>
        <v>696</v>
      </c>
      <c r="O373" s="21">
        <f>VLOOKUP(Таблица3[[#This Row],[Менеджер по продажам]],'Справочная информация'!B$2:C$6,2,0)</f>
        <v>0.1</v>
      </c>
      <c r="P373" s="5">
        <f>Таблица3[[#This Row],[Цена продажи с учетом персональной скидки, руб.]]*O373</f>
        <v>69.600000000000009</v>
      </c>
      <c r="Q373" s="61"/>
    </row>
    <row r="374" spans="1:17" x14ac:dyDescent="0.25">
      <c r="A374" s="10">
        <f t="shared" si="5"/>
        <v>373</v>
      </c>
      <c r="B374" s="5" t="s">
        <v>422</v>
      </c>
      <c r="C374" s="5">
        <f>IF(OR(B374="Гаврилов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4" s="5" t="s">
        <v>382</v>
      </c>
      <c r="E374" s="5" t="s">
        <v>23</v>
      </c>
      <c r="F374" s="4" t="s">
        <v>22</v>
      </c>
      <c r="G374" s="5" t="str">
        <f>VLOOKUP(Таблица3[[#This Row],[Наименование товара]],Склад!$A$3:$B$8,2,1)</f>
        <v>Porto</v>
      </c>
      <c r="H374" s="14">
        <v>45009</v>
      </c>
      <c r="I374" s="8">
        <f>INT((MONTH(Таблица3[[#This Row],[Дата продажи]])+2)/3)</f>
        <v>1</v>
      </c>
      <c r="J374" s="5">
        <f>INDEX(Склад!$A$3:$M$8, MATCH(Таблица3[[#This Row],[Наименование товара]], Склад!$A$3:$A$8, 0), 9)</f>
        <v>119.43</v>
      </c>
      <c r="K374" s="5">
        <f>Таблица3[[#This Row],[Валовая себестоимость, тс. единицы, руб]]+VLOOKUP(Таблица3[[#This Row],[Наименование товара]],'Справочная информация'!A$12:E$17,5,0)</f>
        <v>463.76</v>
      </c>
      <c r="L37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696</v>
      </c>
      <c r="M374" s="5">
        <v>0</v>
      </c>
      <c r="N374" s="5">
        <f>CEILING((Таблица3[[#This Row],[Цена за единицу (с учетом наценки продавца), руб.]] - Таблица3[[#This Row],[Цена за единицу (с учетом наценки продавца), руб.]]*M374),1)</f>
        <v>696</v>
      </c>
      <c r="O374" s="21">
        <f>VLOOKUP(Таблица3[[#This Row],[Менеджер по продажам]],'Справочная информация'!B$2:C$6,2,0)</f>
        <v>0.1</v>
      </c>
      <c r="P374" s="5">
        <f>Таблица3[[#This Row],[Цена продажи с учетом персональной скидки, руб.]]*O374</f>
        <v>69.600000000000009</v>
      </c>
      <c r="Q374" s="61"/>
    </row>
    <row r="375" spans="1:17" x14ac:dyDescent="0.25">
      <c r="A375" s="10">
        <f t="shared" si="5"/>
        <v>374</v>
      </c>
      <c r="B375" s="5" t="s">
        <v>422</v>
      </c>
      <c r="C375" s="5">
        <f>IF(OR(B375="Гаврилов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5" s="5" t="s">
        <v>300</v>
      </c>
      <c r="E375" s="5" t="s">
        <v>29</v>
      </c>
      <c r="F375" s="4" t="s">
        <v>37</v>
      </c>
      <c r="G375" s="5" t="str">
        <f>VLOOKUP(Таблица3[[#This Row],[Наименование товара]],Склад!$A$3:$B$8,2,1)</f>
        <v>Porto</v>
      </c>
      <c r="H375" s="14">
        <v>44992</v>
      </c>
      <c r="I375" s="8">
        <f>INT((MONTH(Таблица3[[#This Row],[Дата продажи]])+2)/3)</f>
        <v>1</v>
      </c>
      <c r="J375" s="5">
        <f>INDEX(Склад!$A$3:$M$8, MATCH(Таблица3[[#This Row],[Наименование товара]], Склад!$A$3:$A$8, 0), 9)</f>
        <v>109.24000000000001</v>
      </c>
      <c r="K375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7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75" s="5">
        <v>0</v>
      </c>
      <c r="N375" s="5">
        <f>CEILING((Таблица3[[#This Row],[Цена за единицу (с учетом наценки продавца), руб.]] - Таблица3[[#This Row],[Цена за единицу (с учетом наценки продавца), руб.]]*M375),1)</f>
        <v>681</v>
      </c>
      <c r="O375" s="21">
        <f>VLOOKUP(Таблица3[[#This Row],[Менеджер по продажам]],'Справочная информация'!B$2:C$6,2,0)</f>
        <v>0.1</v>
      </c>
      <c r="P375" s="5">
        <f>Таблица3[[#This Row],[Цена продажи с учетом персональной скидки, руб.]]*O375</f>
        <v>68.100000000000009</v>
      </c>
      <c r="Q375" s="61"/>
    </row>
    <row r="376" spans="1:17" x14ac:dyDescent="0.25">
      <c r="A376" s="10">
        <f t="shared" si="5"/>
        <v>375</v>
      </c>
      <c r="B376" s="5" t="s">
        <v>422</v>
      </c>
      <c r="C376" s="5">
        <f>IF(OR(B376="Гаврилов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6" s="5" t="s">
        <v>303</v>
      </c>
      <c r="E376" s="5" t="s">
        <v>29</v>
      </c>
      <c r="F376" s="4" t="s">
        <v>37</v>
      </c>
      <c r="G376" s="5" t="str">
        <f>VLOOKUP(Таблица3[[#This Row],[Наименование товара]],Склад!$A$3:$B$8,2,1)</f>
        <v>Porto</v>
      </c>
      <c r="H376" s="14">
        <v>44993</v>
      </c>
      <c r="I376" s="8">
        <f>INT((MONTH(Таблица3[[#This Row],[Дата продажи]])+2)/3)</f>
        <v>1</v>
      </c>
      <c r="J376" s="5">
        <f>INDEX(Склад!$A$3:$M$8, MATCH(Таблица3[[#This Row],[Наименование товара]], Склад!$A$3:$A$8, 0), 9)</f>
        <v>109.24000000000001</v>
      </c>
      <c r="K376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7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76" s="5">
        <v>0</v>
      </c>
      <c r="N376" s="5">
        <f>CEILING((Таблица3[[#This Row],[Цена за единицу (с учетом наценки продавца), руб.]] - Таблица3[[#This Row],[Цена за единицу (с учетом наценки продавца), руб.]]*M376),1)</f>
        <v>681</v>
      </c>
      <c r="O376" s="21">
        <f>VLOOKUP(Таблица3[[#This Row],[Менеджер по продажам]],'Справочная информация'!B$2:C$6,2,0)</f>
        <v>0.1</v>
      </c>
      <c r="P376" s="5">
        <f>Таблица3[[#This Row],[Цена продажи с учетом персональной скидки, руб.]]*O376</f>
        <v>68.100000000000009</v>
      </c>
      <c r="Q376" s="61"/>
    </row>
    <row r="377" spans="1:17" x14ac:dyDescent="0.25">
      <c r="A377" s="10">
        <f t="shared" si="5"/>
        <v>376</v>
      </c>
      <c r="B377" s="5" t="s">
        <v>422</v>
      </c>
      <c r="C377" s="5">
        <f>IF(OR(B377="Гаврилов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7" s="5" t="s">
        <v>260</v>
      </c>
      <c r="E377" s="5" t="s">
        <v>23</v>
      </c>
      <c r="F377" s="4" t="s">
        <v>37</v>
      </c>
      <c r="G377" s="5" t="str">
        <f>VLOOKUP(Таблица3[[#This Row],[Наименование товара]],Склад!$A$3:$B$8,2,1)</f>
        <v>Porto</v>
      </c>
      <c r="H377" s="14">
        <v>44984</v>
      </c>
      <c r="I377" s="8">
        <f>INT((MONTH(Таблица3[[#This Row],[Дата продажи]])+2)/3)</f>
        <v>1</v>
      </c>
      <c r="J377" s="5">
        <f>INDEX(Склад!$A$3:$M$8, MATCH(Таблица3[[#This Row],[Наименование товара]], Склад!$A$3:$A$8, 0), 9)</f>
        <v>109.24000000000001</v>
      </c>
      <c r="K377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7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77" s="5">
        <v>0</v>
      </c>
      <c r="N377" s="5">
        <f>CEILING((Таблица3[[#This Row],[Цена за единицу (с учетом наценки продавца), руб.]] - Таблица3[[#This Row],[Цена за единицу (с учетом наценки продавца), руб.]]*M377),1)</f>
        <v>681</v>
      </c>
      <c r="O377" s="21">
        <f>VLOOKUP(Таблица3[[#This Row],[Менеджер по продажам]],'Справочная информация'!B$2:C$6,2,0)</f>
        <v>0.1</v>
      </c>
      <c r="P377" s="5">
        <f>Таблица3[[#This Row],[Цена продажи с учетом персональной скидки, руб.]]*O377</f>
        <v>68.100000000000009</v>
      </c>
      <c r="Q377" s="61"/>
    </row>
    <row r="378" spans="1:17" x14ac:dyDescent="0.25">
      <c r="A378" s="10">
        <f t="shared" si="5"/>
        <v>377</v>
      </c>
      <c r="B378" s="5" t="s">
        <v>422</v>
      </c>
      <c r="C378" s="5">
        <f>IF(OR(B378="Гаврилов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8" s="5" t="s">
        <v>291</v>
      </c>
      <c r="E378" s="5" t="s">
        <v>23</v>
      </c>
      <c r="F378" s="4" t="s">
        <v>37</v>
      </c>
      <c r="G378" s="5" t="str">
        <f>VLOOKUP(Таблица3[[#This Row],[Наименование товара]],Склад!$A$3:$B$8,2,1)</f>
        <v>Porto</v>
      </c>
      <c r="H378" s="14">
        <v>44990</v>
      </c>
      <c r="I378" s="8">
        <f>INT((MONTH(Таблица3[[#This Row],[Дата продажи]])+2)/3)</f>
        <v>1</v>
      </c>
      <c r="J378" s="5">
        <f>INDEX(Склад!$A$3:$M$8, MATCH(Таблица3[[#This Row],[Наименование товара]], Склад!$A$3:$A$8, 0), 9)</f>
        <v>109.24000000000001</v>
      </c>
      <c r="K378" s="5">
        <f>Таблица3[[#This Row],[Валовая себестоимость, тс. единицы, руб]]+VLOOKUP(Таблица3[[#This Row],[Наименование товара]],'Справочная информация'!A$12:E$17,5,0)</f>
        <v>453.57</v>
      </c>
      <c r="L37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681</v>
      </c>
      <c r="M378" s="5">
        <v>0</v>
      </c>
      <c r="N378" s="5">
        <f>CEILING((Таблица3[[#This Row],[Цена за единицу (с учетом наценки продавца), руб.]] - Таблица3[[#This Row],[Цена за единицу (с учетом наценки продавца), руб.]]*M378),1)</f>
        <v>681</v>
      </c>
      <c r="O378" s="21">
        <f>VLOOKUP(Таблица3[[#This Row],[Менеджер по продажам]],'Справочная информация'!B$2:C$6,2,0)</f>
        <v>0.1</v>
      </c>
      <c r="P378" s="5">
        <f>Таблица3[[#This Row],[Цена продажи с учетом персональной скидки, руб.]]*O378</f>
        <v>68.100000000000009</v>
      </c>
      <c r="Q378" s="61"/>
    </row>
    <row r="379" spans="1:17" x14ac:dyDescent="0.25">
      <c r="A379" s="10">
        <f t="shared" si="5"/>
        <v>378</v>
      </c>
      <c r="B379" s="5" t="s">
        <v>422</v>
      </c>
      <c r="C379" s="5">
        <f>IF(OR(B379="Гаврилов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79" s="5" t="s">
        <v>251</v>
      </c>
      <c r="E379" s="5" t="s">
        <v>23</v>
      </c>
      <c r="F379" s="4" t="s">
        <v>17</v>
      </c>
      <c r="G379" s="5" t="str">
        <f>VLOOKUP(Таблица3[[#This Row],[Наименование товара]],Склад!$A$3:$B$8,2,1)</f>
        <v>Porto</v>
      </c>
      <c r="H379" s="14">
        <v>44981</v>
      </c>
      <c r="I379" s="8">
        <f>INT((MONTH(Таблица3[[#This Row],[Дата продажи]])+2)/3)</f>
        <v>1</v>
      </c>
      <c r="J379" s="5">
        <f>INDEX(Склад!$A$3:$M$8, MATCH(Таблица3[[#This Row],[Наименование товара]], Склад!$A$3:$A$8, 0), 9)</f>
        <v>131.76999999999998</v>
      </c>
      <c r="K37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7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79" s="5">
        <v>0</v>
      </c>
      <c r="N379" s="5">
        <f>CEILING((Таблица3[[#This Row],[Цена за единицу (с учетом наценки продавца), руб.]] - Таблица3[[#This Row],[Цена за единицу (с учетом наценки продавца), руб.]]*M379),1)</f>
        <v>715</v>
      </c>
      <c r="O379" s="21">
        <f>VLOOKUP(Таблица3[[#This Row],[Менеджер по продажам]],'Справочная информация'!B$2:C$6,2,0)</f>
        <v>0.1</v>
      </c>
      <c r="P379" s="5">
        <f>Таблица3[[#This Row],[Цена продажи с учетом персональной скидки, руб.]]*O379</f>
        <v>71.5</v>
      </c>
      <c r="Q379" s="61"/>
    </row>
    <row r="380" spans="1:17" x14ac:dyDescent="0.25">
      <c r="A380" s="10">
        <f t="shared" si="5"/>
        <v>379</v>
      </c>
      <c r="B380" s="5" t="s">
        <v>422</v>
      </c>
      <c r="C380" s="5">
        <f>IF(OR(B380="Гаврилов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0" s="5" t="s">
        <v>109</v>
      </c>
      <c r="E380" s="5" t="s">
        <v>29</v>
      </c>
      <c r="F380" s="4" t="s">
        <v>17</v>
      </c>
      <c r="G380" s="5" t="str">
        <f>VLOOKUP(Таблица3[[#This Row],[Наименование товара]],Склад!$A$3:$B$8,2,1)</f>
        <v>Porto</v>
      </c>
      <c r="H380" s="14">
        <v>44949</v>
      </c>
      <c r="I380" s="8">
        <f>INT((MONTH(Таблица3[[#This Row],[Дата продажи]])+2)/3)</f>
        <v>1</v>
      </c>
      <c r="J380" s="5">
        <f>INDEX(Склад!$A$3:$M$8, MATCH(Таблица3[[#This Row],[Наименование товара]], Склад!$A$3:$A$8, 0), 9)</f>
        <v>131.76999999999998</v>
      </c>
      <c r="K38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0" s="5">
        <v>0</v>
      </c>
      <c r="N380" s="5">
        <f>CEILING((Таблица3[[#This Row],[Цена за единицу (с учетом наценки продавца), руб.]] - Таблица3[[#This Row],[Цена за единицу (с учетом наценки продавца), руб.]]*M380),1)</f>
        <v>715</v>
      </c>
      <c r="O380" s="21">
        <f>VLOOKUP(Таблица3[[#This Row],[Менеджер по продажам]],'Справочная информация'!B$2:C$6,2,0)</f>
        <v>0.1</v>
      </c>
      <c r="P380" s="5">
        <f>Таблица3[[#This Row],[Цена продажи с учетом персональной скидки, руб.]]*O380</f>
        <v>71.5</v>
      </c>
      <c r="Q380" s="61"/>
    </row>
    <row r="381" spans="1:17" x14ac:dyDescent="0.25">
      <c r="A381" s="10">
        <f t="shared" si="5"/>
        <v>380</v>
      </c>
      <c r="B381" s="5" t="s">
        <v>422</v>
      </c>
      <c r="C381" s="5">
        <f>IF(OR(B381="Гаврилов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1" s="5" t="s">
        <v>298</v>
      </c>
      <c r="E381" s="5" t="s">
        <v>29</v>
      </c>
      <c r="F381" s="4" t="s">
        <v>17</v>
      </c>
      <c r="G381" s="5" t="str">
        <f>VLOOKUP(Таблица3[[#This Row],[Наименование товара]],Склад!$A$3:$B$8,2,1)</f>
        <v>Porto</v>
      </c>
      <c r="H381" s="14">
        <v>44992</v>
      </c>
      <c r="I381" s="8">
        <f>INT((MONTH(Таблица3[[#This Row],[Дата продажи]])+2)/3)</f>
        <v>1</v>
      </c>
      <c r="J381" s="5">
        <f>INDEX(Склад!$A$3:$M$8, MATCH(Таблица3[[#This Row],[Наименование товара]], Склад!$A$3:$A$8, 0), 9)</f>
        <v>131.76999999999998</v>
      </c>
      <c r="K38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1" s="5">
        <v>0</v>
      </c>
      <c r="N381" s="5">
        <f>CEILING((Таблица3[[#This Row],[Цена за единицу (с учетом наценки продавца), руб.]] - Таблица3[[#This Row],[Цена за единицу (с учетом наценки продавца), руб.]]*M381),1)</f>
        <v>715</v>
      </c>
      <c r="O381" s="21">
        <f>VLOOKUP(Таблица3[[#This Row],[Менеджер по продажам]],'Справочная информация'!B$2:C$6,2,0)</f>
        <v>0.1</v>
      </c>
      <c r="P381" s="5">
        <f>Таблица3[[#This Row],[Цена продажи с учетом персональной скидки, руб.]]*O381</f>
        <v>71.5</v>
      </c>
      <c r="Q381" s="61"/>
    </row>
    <row r="382" spans="1:17" x14ac:dyDescent="0.25">
      <c r="A382" s="10">
        <f t="shared" si="5"/>
        <v>381</v>
      </c>
      <c r="B382" s="5" t="s">
        <v>422</v>
      </c>
      <c r="C382" s="5">
        <f>IF(OR(B382="Гаврилов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2" s="5" t="s">
        <v>201</v>
      </c>
      <c r="E382" s="5" t="s">
        <v>6</v>
      </c>
      <c r="F382" s="4" t="s">
        <v>17</v>
      </c>
      <c r="G382" s="5" t="str">
        <f>VLOOKUP(Таблица3[[#This Row],[Наименование товара]],Склад!$A$3:$B$8,2,1)</f>
        <v>Porto</v>
      </c>
      <c r="H382" s="14">
        <v>44967</v>
      </c>
      <c r="I382" s="8">
        <f>INT((MONTH(Таблица3[[#This Row],[Дата продажи]])+2)/3)</f>
        <v>1</v>
      </c>
      <c r="J382" s="5">
        <f>INDEX(Склад!$A$3:$M$8, MATCH(Таблица3[[#This Row],[Наименование товара]], Склад!$A$3:$A$8, 0), 9)</f>
        <v>131.76999999999998</v>
      </c>
      <c r="K38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2" s="5">
        <v>0</v>
      </c>
      <c r="N382" s="5">
        <f>CEILING((Таблица3[[#This Row],[Цена за единицу (с учетом наценки продавца), руб.]] - Таблица3[[#This Row],[Цена за единицу (с учетом наценки продавца), руб.]]*M382),1)</f>
        <v>715</v>
      </c>
      <c r="O382" s="21">
        <f>VLOOKUP(Таблица3[[#This Row],[Менеджер по продажам]],'Справочная информация'!B$2:C$6,2,0)</f>
        <v>0.1</v>
      </c>
      <c r="P382" s="5">
        <f>Таблица3[[#This Row],[Цена продажи с учетом персональной скидки, руб.]]*O382</f>
        <v>71.5</v>
      </c>
      <c r="Q382" s="61"/>
    </row>
    <row r="383" spans="1:17" x14ac:dyDescent="0.25">
      <c r="A383" s="10">
        <f t="shared" si="5"/>
        <v>382</v>
      </c>
      <c r="B383" s="5" t="s">
        <v>422</v>
      </c>
      <c r="C383" s="5">
        <f>IF(OR(B383="Гаврилов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3" s="5" t="s">
        <v>173</v>
      </c>
      <c r="E383" s="5" t="s">
        <v>29</v>
      </c>
      <c r="F383" s="4" t="s">
        <v>17</v>
      </c>
      <c r="G383" s="5" t="str">
        <f>VLOOKUP(Таблица3[[#This Row],[Наименование товара]],Склад!$A$3:$B$8,2,1)</f>
        <v>Porto</v>
      </c>
      <c r="H383" s="14">
        <v>44962</v>
      </c>
      <c r="I383" s="8">
        <f>INT((MONTH(Таблица3[[#This Row],[Дата продажи]])+2)/3)</f>
        <v>1</v>
      </c>
      <c r="J383" s="5">
        <f>INDEX(Склад!$A$3:$M$8, MATCH(Таблица3[[#This Row],[Наименование товара]], Склад!$A$3:$A$8, 0), 9)</f>
        <v>131.76999999999998</v>
      </c>
      <c r="K38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3" s="5">
        <v>0</v>
      </c>
      <c r="N383" s="5">
        <f>CEILING((Таблица3[[#This Row],[Цена за единицу (с учетом наценки продавца), руб.]] - Таблица3[[#This Row],[Цена за единицу (с учетом наценки продавца), руб.]]*M383),1)</f>
        <v>715</v>
      </c>
      <c r="O383" s="21">
        <f>VLOOKUP(Таблица3[[#This Row],[Менеджер по продажам]],'Справочная информация'!B$2:C$6,2,0)</f>
        <v>0.1</v>
      </c>
      <c r="P383" s="5">
        <f>Таблица3[[#This Row],[Цена продажи с учетом персональной скидки, руб.]]*O383</f>
        <v>71.5</v>
      </c>
      <c r="Q383" s="61"/>
    </row>
    <row r="384" spans="1:17" x14ac:dyDescent="0.25">
      <c r="A384" s="10">
        <f t="shared" si="5"/>
        <v>383</v>
      </c>
      <c r="B384" s="5" t="s">
        <v>422</v>
      </c>
      <c r="C384" s="5">
        <f>IF(OR(B384="Гаврилов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4" s="5" t="s">
        <v>392</v>
      </c>
      <c r="E384" s="5" t="s">
        <v>6</v>
      </c>
      <c r="F384" s="4" t="s">
        <v>17</v>
      </c>
      <c r="G384" s="5" t="str">
        <f>VLOOKUP(Таблица3[[#This Row],[Наименование товара]],Склад!$A$3:$B$8,2,1)</f>
        <v>Porto</v>
      </c>
      <c r="H384" s="14">
        <v>45010</v>
      </c>
      <c r="I384" s="8">
        <f>INT((MONTH(Таблица3[[#This Row],[Дата продажи]])+2)/3)</f>
        <v>1</v>
      </c>
      <c r="J384" s="5">
        <f>INDEX(Склад!$A$3:$M$8, MATCH(Таблица3[[#This Row],[Наименование товара]], Склад!$A$3:$A$8, 0), 9)</f>
        <v>131.76999999999998</v>
      </c>
      <c r="K38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4" s="5">
        <v>0</v>
      </c>
      <c r="N384" s="5">
        <f>CEILING((Таблица3[[#This Row],[Цена за единицу (с учетом наценки продавца), руб.]] - Таблица3[[#This Row],[Цена за единицу (с учетом наценки продавца), руб.]]*M384),1)</f>
        <v>715</v>
      </c>
      <c r="O384" s="21">
        <f>VLOOKUP(Таблица3[[#This Row],[Менеджер по продажам]],'Справочная информация'!B$2:C$6,2,0)</f>
        <v>0.1</v>
      </c>
      <c r="P384" s="5">
        <f>Таблица3[[#This Row],[Цена продажи с учетом персональной скидки, руб.]]*O384</f>
        <v>71.5</v>
      </c>
      <c r="Q384" s="61"/>
    </row>
    <row r="385" spans="1:17" x14ac:dyDescent="0.25">
      <c r="A385" s="10">
        <f t="shared" si="5"/>
        <v>384</v>
      </c>
      <c r="B385" s="5" t="s">
        <v>422</v>
      </c>
      <c r="C385" s="5">
        <f>IF(OR(B385="Гаврилов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5" s="5" t="s">
        <v>174</v>
      </c>
      <c r="E385" s="5" t="s">
        <v>29</v>
      </c>
      <c r="F385" s="4" t="s">
        <v>17</v>
      </c>
      <c r="G385" s="5" t="str">
        <f>VLOOKUP(Таблица3[[#This Row],[Наименование товара]],Склад!$A$3:$B$8,2,1)</f>
        <v>Porto</v>
      </c>
      <c r="H385" s="14">
        <v>44962</v>
      </c>
      <c r="I385" s="8">
        <f>INT((MONTH(Таблица3[[#This Row],[Дата продажи]])+2)/3)</f>
        <v>1</v>
      </c>
      <c r="J385" s="5">
        <f>INDEX(Склад!$A$3:$M$8, MATCH(Таблица3[[#This Row],[Наименование товара]], Склад!$A$3:$A$8, 0), 9)</f>
        <v>131.76999999999998</v>
      </c>
      <c r="K38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5" s="5">
        <v>0</v>
      </c>
      <c r="N385" s="5">
        <f>CEILING((Таблица3[[#This Row],[Цена за единицу (с учетом наценки продавца), руб.]] - Таблица3[[#This Row],[Цена за единицу (с учетом наценки продавца), руб.]]*M385),1)</f>
        <v>715</v>
      </c>
      <c r="O385" s="21">
        <f>VLOOKUP(Таблица3[[#This Row],[Менеджер по продажам]],'Справочная информация'!B$2:C$6,2,0)</f>
        <v>0.1</v>
      </c>
      <c r="P385" s="5">
        <f>Таблица3[[#This Row],[Цена продажи с учетом персональной скидки, руб.]]*O385</f>
        <v>71.5</v>
      </c>
      <c r="Q385" s="61"/>
    </row>
    <row r="386" spans="1:17" x14ac:dyDescent="0.25">
      <c r="A386" s="10">
        <f t="shared" si="5"/>
        <v>385</v>
      </c>
      <c r="B386" s="5" t="s">
        <v>422</v>
      </c>
      <c r="C386" s="5">
        <f>IF(OR(B386="Гаврилов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6" s="5" t="s">
        <v>156</v>
      </c>
      <c r="E386" s="5" t="s">
        <v>29</v>
      </c>
      <c r="F386" s="4" t="s">
        <v>17</v>
      </c>
      <c r="G386" s="5" t="str">
        <f>VLOOKUP(Таблица3[[#This Row],[Наименование товара]],Склад!$A$3:$B$8,2,1)</f>
        <v>Porto</v>
      </c>
      <c r="H386" s="14">
        <v>44959</v>
      </c>
      <c r="I386" s="8">
        <f>INT((MONTH(Таблица3[[#This Row],[Дата продажи]])+2)/3)</f>
        <v>1</v>
      </c>
      <c r="J386" s="5">
        <f>INDEX(Склад!$A$3:$M$8, MATCH(Таблица3[[#This Row],[Наименование товара]], Склад!$A$3:$A$8, 0), 9)</f>
        <v>131.76999999999998</v>
      </c>
      <c r="K386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6" s="5">
        <v>0</v>
      </c>
      <c r="N386" s="5">
        <f>CEILING((Таблица3[[#This Row],[Цена за единицу (с учетом наценки продавца), руб.]] - Таблица3[[#This Row],[Цена за единицу (с учетом наценки продавца), руб.]]*M386),1)</f>
        <v>715</v>
      </c>
      <c r="O386" s="21">
        <f>VLOOKUP(Таблица3[[#This Row],[Менеджер по продажам]],'Справочная информация'!B$2:C$6,2,0)</f>
        <v>0.1</v>
      </c>
      <c r="P386" s="5">
        <f>Таблица3[[#This Row],[Цена продажи с учетом персональной скидки, руб.]]*O386</f>
        <v>71.5</v>
      </c>
      <c r="Q386" s="61"/>
    </row>
    <row r="387" spans="1:17" x14ac:dyDescent="0.25">
      <c r="A387" s="10">
        <f t="shared" ref="A387:A401" si="6">ROW(A387)-1</f>
        <v>386</v>
      </c>
      <c r="B387" s="5" t="s">
        <v>422</v>
      </c>
      <c r="C387" s="5">
        <f>IF(OR(B387="Гаврилов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7" s="5" t="s">
        <v>403</v>
      </c>
      <c r="E387" s="5" t="s">
        <v>6</v>
      </c>
      <c r="F387" s="4" t="s">
        <v>17</v>
      </c>
      <c r="G387" s="5" t="str">
        <f>VLOOKUP(Таблица3[[#This Row],[Наименование товара]],Склад!$A$3:$B$8,2,1)</f>
        <v>Porto</v>
      </c>
      <c r="H387" s="14">
        <v>45012</v>
      </c>
      <c r="I387" s="8">
        <f>INT((MONTH(Таблица3[[#This Row],[Дата продажи]])+2)/3)</f>
        <v>1</v>
      </c>
      <c r="J387" s="5">
        <f>INDEX(Склад!$A$3:$M$8, MATCH(Таблица3[[#This Row],[Наименование товара]], Склад!$A$3:$A$8, 0), 9)</f>
        <v>131.76999999999998</v>
      </c>
      <c r="K387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7" s="5">
        <v>0</v>
      </c>
      <c r="N387" s="5">
        <f>CEILING((Таблица3[[#This Row],[Цена за единицу (с учетом наценки продавца), руб.]] - Таблица3[[#This Row],[Цена за единицу (с учетом наценки продавца), руб.]]*M387),1)</f>
        <v>715</v>
      </c>
      <c r="O387" s="21">
        <f>VLOOKUP(Таблица3[[#This Row],[Менеджер по продажам]],'Справочная информация'!B$2:C$6,2,0)</f>
        <v>0.1</v>
      </c>
      <c r="P387" s="5">
        <f>Таблица3[[#This Row],[Цена продажи с учетом персональной скидки, руб.]]*O387</f>
        <v>71.5</v>
      </c>
      <c r="Q387" s="61"/>
    </row>
    <row r="388" spans="1:17" x14ac:dyDescent="0.25">
      <c r="A388" s="10">
        <f t="shared" si="6"/>
        <v>387</v>
      </c>
      <c r="B388" s="5" t="s">
        <v>422</v>
      </c>
      <c r="C388" s="5">
        <f>IF(OR(B388="Гаврилов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8" s="5" t="s">
        <v>223</v>
      </c>
      <c r="E388" s="5" t="s">
        <v>6</v>
      </c>
      <c r="F388" s="4" t="s">
        <v>17</v>
      </c>
      <c r="G388" s="5" t="str">
        <f>VLOOKUP(Таблица3[[#This Row],[Наименование товара]],Склад!$A$3:$B$8,2,1)</f>
        <v>Porto</v>
      </c>
      <c r="H388" s="14">
        <v>44973</v>
      </c>
      <c r="I388" s="8">
        <f>INT((MONTH(Таблица3[[#This Row],[Дата продажи]])+2)/3)</f>
        <v>1</v>
      </c>
      <c r="J388" s="5">
        <f>INDEX(Склад!$A$3:$M$8, MATCH(Таблица3[[#This Row],[Наименование товара]], Склад!$A$3:$A$8, 0), 9)</f>
        <v>131.76999999999998</v>
      </c>
      <c r="K388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8" s="5">
        <v>0</v>
      </c>
      <c r="N388" s="5">
        <f>CEILING((Таблица3[[#This Row],[Цена за единицу (с учетом наценки продавца), руб.]] - Таблица3[[#This Row],[Цена за единицу (с учетом наценки продавца), руб.]]*M388),1)</f>
        <v>715</v>
      </c>
      <c r="O388" s="21">
        <f>VLOOKUP(Таблица3[[#This Row],[Менеджер по продажам]],'Справочная информация'!B$2:C$6,2,0)</f>
        <v>0.1</v>
      </c>
      <c r="P388" s="5">
        <f>Таблица3[[#This Row],[Цена продажи с учетом персональной скидки, руб.]]*O388</f>
        <v>71.5</v>
      </c>
      <c r="Q388" s="61"/>
    </row>
    <row r="389" spans="1:17" x14ac:dyDescent="0.25">
      <c r="A389" s="10">
        <f t="shared" si="6"/>
        <v>388</v>
      </c>
      <c r="B389" s="5" t="s">
        <v>422</v>
      </c>
      <c r="C389" s="5">
        <f>IF(OR(B389="Гаврилов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89" s="5" t="s">
        <v>366</v>
      </c>
      <c r="E389" s="5" t="s">
        <v>23</v>
      </c>
      <c r="F389" s="4" t="s">
        <v>17</v>
      </c>
      <c r="G389" s="5" t="str">
        <f>VLOOKUP(Таблица3[[#This Row],[Наименование товара]],Склад!$A$3:$B$8,2,1)</f>
        <v>Porto</v>
      </c>
      <c r="H389" s="14">
        <v>45006</v>
      </c>
      <c r="I389" s="8">
        <f>INT((MONTH(Таблица3[[#This Row],[Дата продажи]])+2)/3)</f>
        <v>1</v>
      </c>
      <c r="J389" s="5">
        <f>INDEX(Склад!$A$3:$M$8, MATCH(Таблица3[[#This Row],[Наименование товара]], Склад!$A$3:$A$8, 0), 9)</f>
        <v>131.76999999999998</v>
      </c>
      <c r="K389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8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89" s="5">
        <v>0</v>
      </c>
      <c r="N389" s="5">
        <f>CEILING((Таблица3[[#This Row],[Цена за единицу (с учетом наценки продавца), руб.]] - Таблица3[[#This Row],[Цена за единицу (с учетом наценки продавца), руб.]]*M389),1)</f>
        <v>715</v>
      </c>
      <c r="O389" s="21">
        <f>VLOOKUP(Таблица3[[#This Row],[Менеджер по продажам]],'Справочная информация'!B$2:C$6,2,0)</f>
        <v>0.1</v>
      </c>
      <c r="P389" s="5">
        <f>Таблица3[[#This Row],[Цена продажи с учетом персональной скидки, руб.]]*O389</f>
        <v>71.5</v>
      </c>
      <c r="Q389" s="61"/>
    </row>
    <row r="390" spans="1:17" x14ac:dyDescent="0.25">
      <c r="A390" s="10">
        <f t="shared" si="6"/>
        <v>389</v>
      </c>
      <c r="B390" s="5" t="s">
        <v>422</v>
      </c>
      <c r="C390" s="5">
        <f>IF(OR(B390="Гаврилов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0" s="5" t="s">
        <v>132</v>
      </c>
      <c r="E390" s="5" t="s">
        <v>29</v>
      </c>
      <c r="F390" s="4" t="s">
        <v>17</v>
      </c>
      <c r="G390" s="5" t="str">
        <f>VLOOKUP(Таблица3[[#This Row],[Наименование товара]],Склад!$A$3:$B$8,2,1)</f>
        <v>Porto</v>
      </c>
      <c r="H390" s="14">
        <v>44954</v>
      </c>
      <c r="I390" s="8">
        <f>INT((MONTH(Таблица3[[#This Row],[Дата продажи]])+2)/3)</f>
        <v>1</v>
      </c>
      <c r="J390" s="5">
        <f>INDEX(Склад!$A$3:$M$8, MATCH(Таблица3[[#This Row],[Наименование товара]], Склад!$A$3:$A$8, 0), 9)</f>
        <v>131.76999999999998</v>
      </c>
      <c r="K390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0" s="5">
        <v>0</v>
      </c>
      <c r="N390" s="5">
        <f>CEILING((Таблица3[[#This Row],[Цена за единицу (с учетом наценки продавца), руб.]] - Таблица3[[#This Row],[Цена за единицу (с учетом наценки продавца), руб.]]*M390),1)</f>
        <v>715</v>
      </c>
      <c r="O390" s="21">
        <f>VLOOKUP(Таблица3[[#This Row],[Менеджер по продажам]],'Справочная информация'!B$2:C$6,2,0)</f>
        <v>0.1</v>
      </c>
      <c r="P390" s="5">
        <f>Таблица3[[#This Row],[Цена продажи с учетом персональной скидки, руб.]]*O390</f>
        <v>71.5</v>
      </c>
      <c r="Q390" s="61"/>
    </row>
    <row r="391" spans="1:17" x14ac:dyDescent="0.25">
      <c r="A391" s="10">
        <f t="shared" si="6"/>
        <v>390</v>
      </c>
      <c r="B391" s="5" t="s">
        <v>422</v>
      </c>
      <c r="C391" s="5">
        <f>IF(OR(B391="Гаврилов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1" s="5" t="s">
        <v>304</v>
      </c>
      <c r="E391" s="5" t="s">
        <v>29</v>
      </c>
      <c r="F391" s="4" t="s">
        <v>17</v>
      </c>
      <c r="G391" s="5" t="str">
        <f>VLOOKUP(Таблица3[[#This Row],[Наименование товара]],Склад!$A$3:$B$8,2,1)</f>
        <v>Porto</v>
      </c>
      <c r="H391" s="14">
        <v>44993</v>
      </c>
      <c r="I391" s="8">
        <f>INT((MONTH(Таблица3[[#This Row],[Дата продажи]])+2)/3)</f>
        <v>1</v>
      </c>
      <c r="J391" s="5">
        <f>INDEX(Склад!$A$3:$M$8, MATCH(Таблица3[[#This Row],[Наименование товара]], Склад!$A$3:$A$8, 0), 9)</f>
        <v>131.76999999999998</v>
      </c>
      <c r="K391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1" s="5">
        <v>0</v>
      </c>
      <c r="N391" s="5">
        <f>CEILING((Таблица3[[#This Row],[Цена за единицу (с учетом наценки продавца), руб.]] - Таблица3[[#This Row],[Цена за единицу (с учетом наценки продавца), руб.]]*M391),1)</f>
        <v>715</v>
      </c>
      <c r="O391" s="21">
        <f>VLOOKUP(Таблица3[[#This Row],[Менеджер по продажам]],'Справочная информация'!B$2:C$6,2,0)</f>
        <v>0.1</v>
      </c>
      <c r="P391" s="5">
        <f>Таблица3[[#This Row],[Цена продажи с учетом персональной скидки, руб.]]*O391</f>
        <v>71.5</v>
      </c>
      <c r="Q391" s="61"/>
    </row>
    <row r="392" spans="1:17" x14ac:dyDescent="0.25">
      <c r="A392" s="10">
        <f t="shared" si="6"/>
        <v>391</v>
      </c>
      <c r="B392" s="5" t="s">
        <v>422</v>
      </c>
      <c r="C392" s="5">
        <f>IF(OR(B392="Гаврилов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2" s="5" t="s">
        <v>204</v>
      </c>
      <c r="E392" s="5" t="s">
        <v>23</v>
      </c>
      <c r="F392" s="4" t="s">
        <v>17</v>
      </c>
      <c r="G392" s="5" t="str">
        <f>VLOOKUP(Таблица3[[#This Row],[Наименование товара]],Склад!$A$3:$B$8,2,1)</f>
        <v>Porto</v>
      </c>
      <c r="H392" s="14">
        <v>44968</v>
      </c>
      <c r="I392" s="8">
        <f>INT((MONTH(Таблица3[[#This Row],[Дата продажи]])+2)/3)</f>
        <v>1</v>
      </c>
      <c r="J392" s="5">
        <f>INDEX(Склад!$A$3:$M$8, MATCH(Таблица3[[#This Row],[Наименование товара]], Склад!$A$3:$A$8, 0), 9)</f>
        <v>131.76999999999998</v>
      </c>
      <c r="K392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2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2" s="5">
        <v>0</v>
      </c>
      <c r="N392" s="5">
        <f>CEILING((Таблица3[[#This Row],[Цена за единицу (с учетом наценки продавца), руб.]] - Таблица3[[#This Row],[Цена за единицу (с учетом наценки продавца), руб.]]*M392),1)</f>
        <v>715</v>
      </c>
      <c r="O392" s="21">
        <f>VLOOKUP(Таблица3[[#This Row],[Менеджер по продажам]],'Справочная информация'!B$2:C$6,2,0)</f>
        <v>0.1</v>
      </c>
      <c r="P392" s="5">
        <f>Таблица3[[#This Row],[Цена продажи с учетом персональной скидки, руб.]]*O392</f>
        <v>71.5</v>
      </c>
      <c r="Q392" s="61"/>
    </row>
    <row r="393" spans="1:17" x14ac:dyDescent="0.25">
      <c r="A393" s="10">
        <f t="shared" si="6"/>
        <v>392</v>
      </c>
      <c r="B393" s="5" t="s">
        <v>422</v>
      </c>
      <c r="C393" s="5">
        <f>IF(OR(B393="Гаврилов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3" s="5" t="s">
        <v>64</v>
      </c>
      <c r="E393" s="5" t="s">
        <v>23</v>
      </c>
      <c r="F393" s="4" t="s">
        <v>17</v>
      </c>
      <c r="G393" s="5" t="str">
        <f>VLOOKUP(Таблица3[[#This Row],[Наименование товара]],Склад!$A$3:$B$8,2,1)</f>
        <v>Porto</v>
      </c>
      <c r="H393" s="14">
        <v>44938</v>
      </c>
      <c r="I393" s="8">
        <f>INT((MONTH(Таблица3[[#This Row],[Дата продажи]])+2)/3)</f>
        <v>1</v>
      </c>
      <c r="J393" s="5">
        <f>INDEX(Склад!$A$3:$M$8, MATCH(Таблица3[[#This Row],[Наименование товара]], Склад!$A$3:$A$8, 0), 9)</f>
        <v>131.76999999999998</v>
      </c>
      <c r="K393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3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3" s="5">
        <v>0</v>
      </c>
      <c r="N393" s="5">
        <f>CEILING((Таблица3[[#This Row],[Цена за единицу (с учетом наценки продавца), руб.]] - Таблица3[[#This Row],[Цена за единицу (с учетом наценки продавца), руб.]]*M393),1)</f>
        <v>715</v>
      </c>
      <c r="O393" s="21">
        <f>VLOOKUP(Таблица3[[#This Row],[Менеджер по продажам]],'Справочная информация'!B$2:C$6,2,0)</f>
        <v>0.1</v>
      </c>
      <c r="P393" s="5">
        <f>Таблица3[[#This Row],[Цена продажи с учетом персональной скидки, руб.]]*O393</f>
        <v>71.5</v>
      </c>
      <c r="Q393" s="61"/>
    </row>
    <row r="394" spans="1:17" x14ac:dyDescent="0.25">
      <c r="A394" s="10">
        <f t="shared" si="6"/>
        <v>393</v>
      </c>
      <c r="B394" s="5" t="s">
        <v>422</v>
      </c>
      <c r="C394" s="5">
        <f>IF(OR(B394="Гаврилов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4" s="5" t="s">
        <v>352</v>
      </c>
      <c r="E394" s="5" t="s">
        <v>23</v>
      </c>
      <c r="F394" s="4" t="s">
        <v>17</v>
      </c>
      <c r="G394" s="5" t="str">
        <f>VLOOKUP(Таблица3[[#This Row],[Наименование товара]],Склад!$A$3:$B$8,2,1)</f>
        <v>Porto</v>
      </c>
      <c r="H394" s="14">
        <v>45003</v>
      </c>
      <c r="I394" s="8">
        <f>INT((MONTH(Таблица3[[#This Row],[Дата продажи]])+2)/3)</f>
        <v>1</v>
      </c>
      <c r="J394" s="5">
        <f>INDEX(Склад!$A$3:$M$8, MATCH(Таблица3[[#This Row],[Наименование товара]], Склад!$A$3:$A$8, 0), 9)</f>
        <v>131.76999999999998</v>
      </c>
      <c r="K394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4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4" s="5">
        <v>0</v>
      </c>
      <c r="N394" s="5">
        <f>CEILING((Таблица3[[#This Row],[Цена за единицу (с учетом наценки продавца), руб.]] - Таблица3[[#This Row],[Цена за единицу (с учетом наценки продавца), руб.]]*M394),1)</f>
        <v>715</v>
      </c>
      <c r="O394" s="21">
        <f>VLOOKUP(Таблица3[[#This Row],[Менеджер по продажам]],'Справочная информация'!B$2:C$6,2,0)</f>
        <v>0.1</v>
      </c>
      <c r="P394" s="5">
        <f>Таблица3[[#This Row],[Цена продажи с учетом персональной скидки, руб.]]*O394</f>
        <v>71.5</v>
      </c>
      <c r="Q394" s="61"/>
    </row>
    <row r="395" spans="1:17" x14ac:dyDescent="0.25">
      <c r="A395" s="10">
        <f t="shared" si="6"/>
        <v>394</v>
      </c>
      <c r="B395" s="5" t="s">
        <v>422</v>
      </c>
      <c r="C395" s="5">
        <f>IF(OR(B395="Гаврилов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5" s="5" t="s">
        <v>49</v>
      </c>
      <c r="E395" s="5" t="s">
        <v>29</v>
      </c>
      <c r="F395" s="4" t="s">
        <v>17</v>
      </c>
      <c r="G395" s="5" t="str">
        <f>VLOOKUP(Таблица3[[#This Row],[Наименование товара]],Склад!$A$3:$B$8,2,1)</f>
        <v>Porto</v>
      </c>
      <c r="H395" s="14">
        <v>44935</v>
      </c>
      <c r="I395" s="8">
        <f>INT((MONTH(Таблица3[[#This Row],[Дата продажи]])+2)/3)</f>
        <v>1</v>
      </c>
      <c r="J395" s="5">
        <f>INDEX(Склад!$A$3:$M$8, MATCH(Таблица3[[#This Row],[Наименование товара]], Склад!$A$3:$A$8, 0), 9)</f>
        <v>131.76999999999998</v>
      </c>
      <c r="K395" s="5">
        <f>Таблица3[[#This Row],[Валовая себестоимость, тс. единицы, руб]]+VLOOKUP(Таблица3[[#This Row],[Наименование товара]],'Справочная информация'!A$12:E$17,5,0)</f>
        <v>476.09999999999997</v>
      </c>
      <c r="L395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715</v>
      </c>
      <c r="M395" s="5">
        <v>0</v>
      </c>
      <c r="N395" s="5">
        <f>CEILING((Таблица3[[#This Row],[Цена за единицу (с учетом наценки продавца), руб.]] - Таблица3[[#This Row],[Цена за единицу (с учетом наценки продавца), руб.]]*M395),1)</f>
        <v>715</v>
      </c>
      <c r="O395" s="21">
        <f>VLOOKUP(Таблица3[[#This Row],[Менеджер по продажам]],'Справочная информация'!B$2:C$6,2,0)</f>
        <v>0.1</v>
      </c>
      <c r="P395" s="5">
        <f>Таблица3[[#This Row],[Цена продажи с учетом персональной скидки, руб.]]*O395</f>
        <v>71.5</v>
      </c>
      <c r="Q395" s="61"/>
    </row>
    <row r="396" spans="1:17" x14ac:dyDescent="0.25">
      <c r="A396" s="10">
        <f t="shared" si="6"/>
        <v>395</v>
      </c>
      <c r="B396" s="5" t="s">
        <v>422</v>
      </c>
      <c r="C396" s="5">
        <f>IF(OR(B396="Гаврилов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6" s="5" t="s">
        <v>339</v>
      </c>
      <c r="E396" s="5" t="s">
        <v>23</v>
      </c>
      <c r="F396" s="4" t="s">
        <v>15</v>
      </c>
      <c r="G396" s="5" t="str">
        <f>VLOOKUP(Таблица3[[#This Row],[Наименование товара]],Склад!$A$3:$B$8,2,1)</f>
        <v>Gmt</v>
      </c>
      <c r="H396" s="14">
        <v>45001</v>
      </c>
      <c r="I396" s="8">
        <f>INT((MONTH(Таблица3[[#This Row],[Дата продажи]])+2)/3)</f>
        <v>1</v>
      </c>
      <c r="J396" s="5">
        <f>INDEX(Склад!$A$3:$M$8, MATCH(Таблица3[[#This Row],[Наименование товара]], Склад!$A$3:$A$8, 0), 9)</f>
        <v>314.15999999999997</v>
      </c>
      <c r="K396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96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96" s="5">
        <v>0</v>
      </c>
      <c r="N396" s="5">
        <f>CEILING((Таблица3[[#This Row],[Цена за единицу (с учетом наценки продавца), руб.]] - Таблица3[[#This Row],[Цена за единицу (с учетом наценки продавца), руб.]]*M396),1)</f>
        <v>1120</v>
      </c>
      <c r="O396" s="21">
        <f>VLOOKUP(Таблица3[[#This Row],[Менеджер по продажам]],'Справочная информация'!B$2:C$6,2,0)</f>
        <v>0.1</v>
      </c>
      <c r="P396" s="5">
        <f>Таблица3[[#This Row],[Цена продажи с учетом персональной скидки, руб.]]*O396</f>
        <v>112</v>
      </c>
      <c r="Q396" s="61"/>
    </row>
    <row r="397" spans="1:17" x14ac:dyDescent="0.25">
      <c r="A397" s="10">
        <f t="shared" si="6"/>
        <v>396</v>
      </c>
      <c r="B397" s="5" t="s">
        <v>422</v>
      </c>
      <c r="C397" s="5">
        <f>IF(OR(B397="Гаврилов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7" s="5" t="s">
        <v>242</v>
      </c>
      <c r="E397" s="5" t="s">
        <v>23</v>
      </c>
      <c r="F397" s="4" t="s">
        <v>15</v>
      </c>
      <c r="G397" s="5" t="str">
        <f>VLOOKUP(Таблица3[[#This Row],[Наименование товара]],Склад!$A$3:$B$8,2,1)</f>
        <v>Gmt</v>
      </c>
      <c r="H397" s="14">
        <v>44979</v>
      </c>
      <c r="I397" s="8">
        <f>INT((MONTH(Таблица3[[#This Row],[Дата продажи]])+2)/3)</f>
        <v>1</v>
      </c>
      <c r="J397" s="5">
        <f>INDEX(Склад!$A$3:$M$8, MATCH(Таблица3[[#This Row],[Наименование товара]], Склад!$A$3:$A$8, 0), 9)</f>
        <v>314.15999999999997</v>
      </c>
      <c r="K397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97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97" s="5">
        <v>0</v>
      </c>
      <c r="N397" s="5">
        <f>CEILING((Таблица3[[#This Row],[Цена за единицу (с учетом наценки продавца), руб.]] - Таблица3[[#This Row],[Цена за единицу (с учетом наценки продавца), руб.]]*M397),1)</f>
        <v>1120</v>
      </c>
      <c r="O397" s="21">
        <f>VLOOKUP(Таблица3[[#This Row],[Менеджер по продажам]],'Справочная информация'!B$2:C$6,2,0)</f>
        <v>0.1</v>
      </c>
      <c r="P397" s="5">
        <f>Таблица3[[#This Row],[Цена продажи с учетом персональной скидки, руб.]]*O397</f>
        <v>112</v>
      </c>
      <c r="Q397" s="61"/>
    </row>
    <row r="398" spans="1:17" x14ac:dyDescent="0.25">
      <c r="A398" s="10">
        <f t="shared" si="6"/>
        <v>397</v>
      </c>
      <c r="B398" s="5" t="s">
        <v>422</v>
      </c>
      <c r="C398" s="5">
        <f>IF(OR(B398="Гаврилов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8" s="5" t="s">
        <v>314</v>
      </c>
      <c r="E398" s="5" t="s">
        <v>23</v>
      </c>
      <c r="F398" s="4" t="s">
        <v>15</v>
      </c>
      <c r="G398" s="5" t="str">
        <f>VLOOKUP(Таблица3[[#This Row],[Наименование товара]],Склад!$A$3:$B$8,2,1)</f>
        <v>Gmt</v>
      </c>
      <c r="H398" s="14">
        <v>44996</v>
      </c>
      <c r="I398" s="8">
        <f>INT((MONTH(Таблица3[[#This Row],[Дата продажи]])+2)/3)</f>
        <v>1</v>
      </c>
      <c r="J398" s="5">
        <f>INDEX(Склад!$A$3:$M$8, MATCH(Таблица3[[#This Row],[Наименование товара]], Склад!$A$3:$A$8, 0), 9)</f>
        <v>314.15999999999997</v>
      </c>
      <c r="K398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98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98" s="5">
        <v>0</v>
      </c>
      <c r="N398" s="5">
        <f>CEILING((Таблица3[[#This Row],[Цена за единицу (с учетом наценки продавца), руб.]] - Таблица3[[#This Row],[Цена за единицу (с учетом наценки продавца), руб.]]*M398),1)</f>
        <v>1120</v>
      </c>
      <c r="O398" s="21">
        <f>VLOOKUP(Таблица3[[#This Row],[Менеджер по продажам]],'Справочная информация'!B$2:C$6,2,0)</f>
        <v>0.1</v>
      </c>
      <c r="P398" s="5">
        <f>Таблица3[[#This Row],[Цена продажи с учетом персональной скидки, руб.]]*O398</f>
        <v>112</v>
      </c>
      <c r="Q398" s="61"/>
    </row>
    <row r="399" spans="1:17" x14ac:dyDescent="0.25">
      <c r="A399" s="10">
        <f t="shared" si="6"/>
        <v>398</v>
      </c>
      <c r="B399" s="5" t="s">
        <v>422</v>
      </c>
      <c r="C399" s="5">
        <f>IF(OR(B399="Гаврилов Н.А.",Таблица3[[#This Row],[Менеджер по продажам]]="Никифорова В.М."),1,IF(Таблица3[[#This Row],[Менеджер по продажам]]="Соколов Г.П.",3,2))</f>
        <v>3</v>
      </c>
      <c r="D399" s="5" t="s">
        <v>393</v>
      </c>
      <c r="E399" s="5" t="s">
        <v>23</v>
      </c>
      <c r="F399" s="4" t="s">
        <v>15</v>
      </c>
      <c r="G399" s="5" t="str">
        <f>VLOOKUP(Таблица3[[#This Row],[Наименование товара]],Склад!$A$3:$B$8,2,1)</f>
        <v>Gmt</v>
      </c>
      <c r="H399" s="14">
        <v>45010</v>
      </c>
      <c r="I399" s="8">
        <f>INT((MONTH(Таблица3[[#This Row],[Дата продажи]])+2)/3)</f>
        <v>1</v>
      </c>
      <c r="J399" s="5">
        <f>INDEX(Склад!$A$3:$M$8, MATCH(Таблица3[[#This Row],[Наименование товара]], Склад!$A$3:$A$8, 0), 9)</f>
        <v>314.15999999999997</v>
      </c>
      <c r="K399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399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399" s="5">
        <v>0</v>
      </c>
      <c r="N399" s="5">
        <f>CEILING((Таблица3[[#This Row],[Цена за единицу (с учетом наценки продавца), руб.]] - Таблица3[[#This Row],[Цена за единицу (с учетом наценки продавца), руб.]]*M399),1)</f>
        <v>1120</v>
      </c>
      <c r="O399" s="21">
        <f>VLOOKUP(Таблица3[[#This Row],[Менеджер по продажам]],'Справочная информация'!B$2:C$6,2,0)</f>
        <v>0.1</v>
      </c>
      <c r="P399" s="5">
        <f>Таблица3[[#This Row],[Цена продажи с учетом персональной скидки, руб.]]*O399</f>
        <v>112</v>
      </c>
      <c r="Q399" s="61"/>
    </row>
    <row r="400" spans="1:17" x14ac:dyDescent="0.25">
      <c r="A400" s="10">
        <f t="shared" si="6"/>
        <v>399</v>
      </c>
      <c r="B400" s="5" t="s">
        <v>422</v>
      </c>
      <c r="C400" s="5">
        <f>IF(OR(B400="Гаврилов Н.А.",Таблица3[[#This Row],[Менеджер по продажам]]="Никифорова В.М."),1,IF(Таблица3[[#This Row],[Менеджер по продажам]]="Соколов Г.П.",3,2))</f>
        <v>3</v>
      </c>
      <c r="D400" s="5" t="s">
        <v>134</v>
      </c>
      <c r="E400" s="5" t="s">
        <v>29</v>
      </c>
      <c r="F400" s="4" t="s">
        <v>15</v>
      </c>
      <c r="G400" s="5" t="str">
        <f>VLOOKUP(Таблица3[[#This Row],[Наименование товара]],Склад!$A$3:$B$8,2,1)</f>
        <v>Gmt</v>
      </c>
      <c r="H400" s="14">
        <v>44954</v>
      </c>
      <c r="I400" s="8">
        <f>INT((MONTH(Таблица3[[#This Row],[Дата продажи]])+2)/3)</f>
        <v>1</v>
      </c>
      <c r="J400" s="5">
        <f>INDEX(Склад!$A$3:$M$8, MATCH(Таблица3[[#This Row],[Наименование товара]], Склад!$A$3:$A$8, 0), 9)</f>
        <v>314.15999999999997</v>
      </c>
      <c r="K400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400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400" s="5">
        <v>0</v>
      </c>
      <c r="N400" s="5">
        <f>CEILING((Таблица3[[#This Row],[Цена за единицу (с учетом наценки продавца), руб.]] - Таблица3[[#This Row],[Цена за единицу (с учетом наценки продавца), руб.]]*M400),1)</f>
        <v>1120</v>
      </c>
      <c r="O400" s="21">
        <f>VLOOKUP(Таблица3[[#This Row],[Менеджер по продажам]],'Справочная информация'!B$2:C$6,2,0)</f>
        <v>0.1</v>
      </c>
      <c r="P400" s="5">
        <f>Таблица3[[#This Row],[Цена продажи с учетом персональной скидки, руб.]]*O400</f>
        <v>112</v>
      </c>
      <c r="Q400" s="61"/>
    </row>
    <row r="401" spans="1:17" x14ac:dyDescent="0.25">
      <c r="A401" s="10">
        <f t="shared" si="6"/>
        <v>400</v>
      </c>
      <c r="B401" s="5" t="s">
        <v>422</v>
      </c>
      <c r="C401" s="5">
        <f>IF(OR(B401="Гаврилов Н.А.",Таблица3[[#This Row],[Менеджер по продажам]]="Никифорова В.М."),1,IF(Таблица3[[#This Row],[Менеджер по продажам]]="Соколов Г.П.",3,2))</f>
        <v>3</v>
      </c>
      <c r="D401" s="5" t="s">
        <v>151</v>
      </c>
      <c r="E401" s="5" t="s">
        <v>23</v>
      </c>
      <c r="F401" s="4" t="s">
        <v>15</v>
      </c>
      <c r="G401" s="5" t="str">
        <f>VLOOKUP(Таблица3[[#This Row],[Наименование товара]],Склад!$A$3:$B$8,2,1)</f>
        <v>Gmt</v>
      </c>
      <c r="H401" s="14">
        <v>44957</v>
      </c>
      <c r="I401" s="8">
        <f>INT((MONTH(Таблица3[[#This Row],[Дата продажи]])+2)/3)</f>
        <v>1</v>
      </c>
      <c r="J401" s="5">
        <f>INDEX(Склад!$A$3:$M$8, MATCH(Таблица3[[#This Row],[Наименование товара]], Склад!$A$3:$A$8, 0), 9)</f>
        <v>314.15999999999997</v>
      </c>
      <c r="K401" s="5">
        <f>Таблица3[[#This Row],[Валовая себестоимость, тс. единицы, руб]]+VLOOKUP(Таблица3[[#This Row],[Наименование товара]],'Справочная информация'!A$12:E$17,5,0)</f>
        <v>658.49</v>
      </c>
      <c r="L401" s="5">
        <f>CEILING(INDEX('Справочная информация'!B$21:B$26,MATCH(Таблица3[[#This Row],[Наименование товара]],'Справочная информация'!A$21:A$26,0))*Таблица3[[#This Row],[Полная себестоимость единицы, руб.]],1)</f>
        <v>1120</v>
      </c>
      <c r="M401" s="5">
        <v>0</v>
      </c>
      <c r="N401" s="5">
        <f>CEILING((Таблица3[[#This Row],[Цена за единицу (с учетом наценки продавца), руб.]] - Таблица3[[#This Row],[Цена за единицу (с учетом наценки продавца), руб.]]*M401),1)</f>
        <v>1120</v>
      </c>
      <c r="O401" s="21">
        <f>VLOOKUP(Таблица3[[#This Row],[Менеджер по продажам]],'Справочная информация'!B$2:C$6,2,0)</f>
        <v>0.1</v>
      </c>
      <c r="P401" s="5">
        <f>Таблица3[[#This Row],[Цена продажи с учетом персональной скидки, руб.]]*O401</f>
        <v>112</v>
      </c>
      <c r="Q401" s="61"/>
    </row>
    <row r="402" spans="1:17" x14ac:dyDescent="0.25">
      <c r="A402" s="10"/>
      <c r="B402" s="62" t="s">
        <v>418</v>
      </c>
      <c r="C402" s="62"/>
      <c r="D402" s="62" t="s">
        <v>550</v>
      </c>
      <c r="E402" s="62" t="s">
        <v>11</v>
      </c>
      <c r="F402" s="63" t="s">
        <v>5</v>
      </c>
      <c r="G402" s="62"/>
      <c r="H402" s="61">
        <v>45009</v>
      </c>
      <c r="I402" s="8"/>
      <c r="J402" s="5"/>
      <c r="K402" s="5"/>
      <c r="L402" s="5"/>
      <c r="M402" s="5">
        <v>0</v>
      </c>
      <c r="N402" s="5"/>
      <c r="O402" s="21"/>
      <c r="P402" s="5"/>
      <c r="Q402" s="61"/>
    </row>
  </sheetData>
  <pageMargins left="0.7" right="0.7" top="0.75" bottom="0.75" header="0.3" footer="0.3"/>
  <pageSetup paperSize="9" orientation="portrait" horizont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'Справочная информация'!$B$2:$B$6</xm:f>
          </x14:formula1>
          <xm:sqref>B1:B1048576</xm:sqref>
        </x14:dataValidation>
        <x14:dataValidation type="list" allowBlank="1" showInputMessage="1" showErrorMessage="1">
          <x14:formula1>
            <xm:f>Склад!$A$3:$A$8</xm:f>
          </x14:formula1>
          <xm:sqref>F1:F1048576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89"/>
  <sheetViews>
    <sheetView topLeftCell="A91" zoomScale="94" zoomScaleNormal="94" workbookViewId="0">
      <selection activeCell="G99" sqref="G99"/>
    </sheetView>
  </sheetViews>
  <sheetFormatPr defaultRowHeight="15" x14ac:dyDescent="0.25"/>
  <cols>
    <col min="1" max="1" width="17" bestFit="1" customWidth="1"/>
    <col min="2" max="2" width="30.7109375" bestFit="1" customWidth="1"/>
    <col min="3" max="3" width="41" customWidth="1"/>
    <col min="4" max="4" width="32.42578125" bestFit="1" customWidth="1"/>
    <col min="5" max="5" width="57.85546875" bestFit="1" customWidth="1"/>
    <col min="6" max="6" width="19.85546875" customWidth="1"/>
    <col min="7" max="7" width="18.28515625" bestFit="1" customWidth="1"/>
    <col min="8" max="8" width="23.5703125" customWidth="1"/>
    <col min="9" max="9" width="11.85546875" bestFit="1" customWidth="1"/>
  </cols>
  <sheetData>
    <row r="1" spans="1:5" x14ac:dyDescent="0.25">
      <c r="A1" s="22" t="s">
        <v>452</v>
      </c>
      <c r="B1" t="s">
        <v>459</v>
      </c>
    </row>
    <row r="3" spans="1:5" x14ac:dyDescent="0.25">
      <c r="A3" s="22" t="s">
        <v>432</v>
      </c>
      <c r="B3" t="s">
        <v>434</v>
      </c>
      <c r="C3" t="s">
        <v>460</v>
      </c>
      <c r="D3" t="s">
        <v>461</v>
      </c>
    </row>
    <row r="4" spans="1:5" x14ac:dyDescent="0.25">
      <c r="A4" s="23">
        <v>1</v>
      </c>
      <c r="B4">
        <v>114160</v>
      </c>
      <c r="C4">
        <v>75990.880000000048</v>
      </c>
      <c r="D4">
        <v>15873.671999999962</v>
      </c>
    </row>
    <row r="5" spans="1:5" x14ac:dyDescent="0.25">
      <c r="A5" s="23">
        <v>2</v>
      </c>
      <c r="B5">
        <v>125228</v>
      </c>
      <c r="C5">
        <v>82940.880000000121</v>
      </c>
      <c r="D5">
        <v>17830.091599999905</v>
      </c>
    </row>
    <row r="6" spans="1:5" x14ac:dyDescent="0.25">
      <c r="A6" s="23">
        <v>3</v>
      </c>
      <c r="B6">
        <v>55216</v>
      </c>
      <c r="C6">
        <v>36746.589999999946</v>
      </c>
      <c r="D6">
        <v>11280.286800000054</v>
      </c>
    </row>
    <row r="7" spans="1:5" x14ac:dyDescent="0.25">
      <c r="A7" s="23" t="s">
        <v>462</v>
      </c>
      <c r="D7">
        <v>0</v>
      </c>
    </row>
    <row r="8" spans="1:5" x14ac:dyDescent="0.25">
      <c r="A8" s="23" t="s">
        <v>444</v>
      </c>
      <c r="B8">
        <v>294604</v>
      </c>
      <c r="C8">
        <v>195678.35000000012</v>
      </c>
      <c r="D8">
        <v>44984.050399999651</v>
      </c>
    </row>
    <row r="11" spans="1:5" x14ac:dyDescent="0.25">
      <c r="A11" s="22" t="s">
        <v>452</v>
      </c>
      <c r="B11" t="s">
        <v>459</v>
      </c>
    </row>
    <row r="13" spans="1:5" x14ac:dyDescent="0.25">
      <c r="A13" s="22" t="s">
        <v>463</v>
      </c>
      <c r="B13" t="s">
        <v>433</v>
      </c>
      <c r="D13" s="22" t="s">
        <v>432</v>
      </c>
      <c r="E13" t="s">
        <v>464</v>
      </c>
    </row>
    <row r="14" spans="1:5" x14ac:dyDescent="0.25">
      <c r="A14" s="23" t="s">
        <v>5</v>
      </c>
      <c r="B14">
        <v>75</v>
      </c>
      <c r="D14" s="23" t="s">
        <v>465</v>
      </c>
      <c r="E14">
        <v>12234.749999999985</v>
      </c>
    </row>
    <row r="15" spans="1:5" x14ac:dyDescent="0.25">
      <c r="A15" s="23" t="s">
        <v>8</v>
      </c>
      <c r="B15">
        <v>109</v>
      </c>
      <c r="D15" s="23" t="s">
        <v>466</v>
      </c>
      <c r="E15">
        <v>10594.800000000007</v>
      </c>
    </row>
    <row r="16" spans="1:5" x14ac:dyDescent="0.25">
      <c r="A16" s="23" t="s">
        <v>22</v>
      </c>
      <c r="B16">
        <v>51</v>
      </c>
      <c r="D16" s="23" t="s">
        <v>467</v>
      </c>
      <c r="E16">
        <v>20979.600000000035</v>
      </c>
    </row>
    <row r="17" spans="1:5" x14ac:dyDescent="0.25">
      <c r="A17" s="23" t="s">
        <v>37</v>
      </c>
      <c r="B17">
        <v>41</v>
      </c>
      <c r="D17" s="23" t="s">
        <v>468</v>
      </c>
      <c r="E17">
        <v>14137.199999999995</v>
      </c>
    </row>
    <row r="18" spans="1:5" x14ac:dyDescent="0.25">
      <c r="A18" s="23" t="s">
        <v>17</v>
      </c>
      <c r="B18">
        <v>79</v>
      </c>
      <c r="D18" s="23" t="s">
        <v>444</v>
      </c>
      <c r="E18">
        <v>57946.349999999824</v>
      </c>
    </row>
    <row r="19" spans="1:5" x14ac:dyDescent="0.25">
      <c r="A19" s="23" t="s">
        <v>15</v>
      </c>
      <c r="B19">
        <v>45</v>
      </c>
    </row>
    <row r="20" spans="1:5" x14ac:dyDescent="0.25">
      <c r="A20" s="23" t="s">
        <v>462</v>
      </c>
    </row>
    <row r="21" spans="1:5" x14ac:dyDescent="0.25">
      <c r="A21" s="23" t="s">
        <v>444</v>
      </c>
      <c r="B21">
        <v>400</v>
      </c>
    </row>
    <row r="23" spans="1:5" x14ac:dyDescent="0.25">
      <c r="A23" s="22" t="s">
        <v>452</v>
      </c>
      <c r="B23" t="s">
        <v>459</v>
      </c>
    </row>
    <row r="24" spans="1:5" x14ac:dyDescent="0.25">
      <c r="D24" s="23"/>
    </row>
    <row r="25" spans="1:5" x14ac:dyDescent="0.25">
      <c r="A25" s="22" t="s">
        <v>432</v>
      </c>
      <c r="B25" t="s">
        <v>433</v>
      </c>
      <c r="D25" s="52">
        <f ca="1">TODAY()</f>
        <v>45758</v>
      </c>
    </row>
    <row r="26" spans="1:5" x14ac:dyDescent="0.25">
      <c r="A26" s="23" t="s">
        <v>418</v>
      </c>
      <c r="B26">
        <v>66</v>
      </c>
      <c r="D26" s="23"/>
    </row>
    <row r="27" spans="1:5" x14ac:dyDescent="0.25">
      <c r="A27" s="23" t="s">
        <v>419</v>
      </c>
      <c r="B27">
        <v>87</v>
      </c>
      <c r="D27" s="26"/>
    </row>
    <row r="28" spans="1:5" x14ac:dyDescent="0.25">
      <c r="A28" s="23" t="s">
        <v>420</v>
      </c>
      <c r="B28">
        <v>90</v>
      </c>
      <c r="D28" s="23"/>
    </row>
    <row r="29" spans="1:5" x14ac:dyDescent="0.25">
      <c r="A29" s="23" t="s">
        <v>421</v>
      </c>
      <c r="B29">
        <v>82</v>
      </c>
      <c r="D29" s="26"/>
    </row>
    <row r="30" spans="1:5" x14ac:dyDescent="0.25">
      <c r="A30" s="23" t="s">
        <v>422</v>
      </c>
      <c r="B30">
        <v>75</v>
      </c>
      <c r="D30" s="23"/>
    </row>
    <row r="31" spans="1:5" x14ac:dyDescent="0.25">
      <c r="A31" s="23" t="s">
        <v>462</v>
      </c>
      <c r="D31" s="26"/>
    </row>
    <row r="32" spans="1:5" x14ac:dyDescent="0.25">
      <c r="A32" s="23" t="s">
        <v>444</v>
      </c>
      <c r="B32">
        <v>400</v>
      </c>
      <c r="D32" s="23"/>
      <c r="E32" t="s">
        <v>469</v>
      </c>
    </row>
    <row r="33" spans="1:8" ht="12.75" customHeight="1" x14ac:dyDescent="0.25"/>
    <row r="36" spans="1:8" x14ac:dyDescent="0.25">
      <c r="A36" s="22" t="s">
        <v>452</v>
      </c>
      <c r="B36" t="s">
        <v>459</v>
      </c>
    </row>
    <row r="38" spans="1:8" x14ac:dyDescent="0.25">
      <c r="A38" s="22" t="s">
        <v>432</v>
      </c>
      <c r="B38" t="s">
        <v>433</v>
      </c>
    </row>
    <row r="39" spans="1:8" x14ac:dyDescent="0.25">
      <c r="A39" s="23">
        <v>1</v>
      </c>
      <c r="B39">
        <v>156</v>
      </c>
    </row>
    <row r="40" spans="1:8" x14ac:dyDescent="0.25">
      <c r="A40" s="23">
        <v>2</v>
      </c>
      <c r="B40">
        <v>169</v>
      </c>
    </row>
    <row r="41" spans="1:8" x14ac:dyDescent="0.25">
      <c r="A41" s="23">
        <v>3</v>
      </c>
      <c r="B41">
        <v>75</v>
      </c>
    </row>
    <row r="42" spans="1:8" x14ac:dyDescent="0.25">
      <c r="A42" s="23" t="s">
        <v>444</v>
      </c>
      <c r="B42">
        <v>400</v>
      </c>
    </row>
    <row r="46" spans="1:8" x14ac:dyDescent="0.25">
      <c r="A46" s="3" t="s">
        <v>470</v>
      </c>
      <c r="B46" s="3" t="s">
        <v>471</v>
      </c>
      <c r="C46" s="3" t="s">
        <v>472</v>
      </c>
      <c r="D46" s="3" t="s">
        <v>473</v>
      </c>
      <c r="G46" s="49" t="s">
        <v>432</v>
      </c>
      <c r="H46" s="49" t="s">
        <v>433</v>
      </c>
    </row>
    <row r="47" spans="1:8" x14ac:dyDescent="0.25">
      <c r="A47" s="3"/>
      <c r="B47" s="3"/>
      <c r="D47" s="3"/>
      <c r="G47" s="23">
        <v>1</v>
      </c>
      <c r="H47">
        <v>156</v>
      </c>
    </row>
    <row r="48" spans="1:8" x14ac:dyDescent="0.25">
      <c r="A48" s="3"/>
      <c r="B48" s="46" t="s">
        <v>474</v>
      </c>
      <c r="C48" s="3">
        <f>IFERROR('Справочная информация'!I10,0)</f>
        <v>25000</v>
      </c>
      <c r="D48" s="3">
        <f>IFERROR(GETPIVOTDATA("ВЫРУЧКА",'1 id'!$L$3,"Дата продажи (Месяц)","янв"),0)</f>
        <v>36066</v>
      </c>
      <c r="G48" s="23">
        <v>2</v>
      </c>
      <c r="H48">
        <v>169</v>
      </c>
    </row>
    <row r="49" spans="1:8" x14ac:dyDescent="0.25">
      <c r="A49" s="3" t="s">
        <v>475</v>
      </c>
      <c r="B49" s="46" t="s">
        <v>476</v>
      </c>
      <c r="C49" s="3">
        <f>IFERROR('Справочная информация'!J10,0)</f>
        <v>28750</v>
      </c>
      <c r="D49" s="3">
        <f>IFERROR(GETPIVOTDATA("ВЫРУЧКА",'1 id'!$L$3,"Дата продажи (Месяц)","фев"),0)</f>
        <v>33530</v>
      </c>
      <c r="G49" s="23">
        <v>3</v>
      </c>
      <c r="H49">
        <v>75</v>
      </c>
    </row>
    <row r="50" spans="1:8" x14ac:dyDescent="0.25">
      <c r="A50" s="3"/>
      <c r="B50" s="46" t="s">
        <v>477</v>
      </c>
      <c r="C50" s="3">
        <f>IFERROR('Справочная информация'!K10,0)</f>
        <v>37375</v>
      </c>
      <c r="D50" s="3">
        <f>IFERROR(GETPIVOTDATA("ВЫРУЧКА",'1 id'!$L$3,"Дата продажи (Месяц)","мар"),0)</f>
        <v>44564</v>
      </c>
      <c r="G50" s="50" t="s">
        <v>444</v>
      </c>
      <c r="H50" s="51">
        <v>400</v>
      </c>
    </row>
    <row r="51" spans="1:8" x14ac:dyDescent="0.25">
      <c r="A51" s="3"/>
      <c r="B51" s="46"/>
      <c r="C51" s="3"/>
      <c r="D51" s="3"/>
    </row>
    <row r="52" spans="1:8" x14ac:dyDescent="0.25">
      <c r="A52" s="3"/>
      <c r="B52" s="46" t="s">
        <v>474</v>
      </c>
      <c r="C52" s="3">
        <f>IFERROR('Справочная информация'!I18,0)</f>
        <v>30000</v>
      </c>
      <c r="D52" s="3">
        <f>IFERROR(GETPIVOTDATA("ВЫРУЧКА",'2 id'!$L$3,"Дата продажи (Месяц)","янв"),0)</f>
        <v>44603</v>
      </c>
    </row>
    <row r="53" spans="1:8" x14ac:dyDescent="0.25">
      <c r="A53" s="3" t="s">
        <v>478</v>
      </c>
      <c r="B53" s="46" t="s">
        <v>476</v>
      </c>
      <c r="C53" s="3">
        <f>IFERROR('Справочная информация'!J18,0)</f>
        <v>34500</v>
      </c>
      <c r="D53" s="3">
        <f>IFERROR(GETPIVOTDATA("ВЫРУЧКА",'2 id'!$L$3,"Дата продажи (Месяц)","фев"),0)</f>
        <v>41299</v>
      </c>
    </row>
    <row r="54" spans="1:8" x14ac:dyDescent="0.25">
      <c r="A54" s="3"/>
      <c r="B54" s="46" t="s">
        <v>477</v>
      </c>
      <c r="C54" s="3">
        <f>IFERROR('Справочная информация'!K18,0)</f>
        <v>44850</v>
      </c>
      <c r="D54" s="3">
        <f>IFERROR(GETPIVOTDATA("ВЫРУЧКА",'2 id'!$L$3,"Дата продажи (Месяц)","мар"),0)</f>
        <v>39326</v>
      </c>
    </row>
    <row r="55" spans="1:8" x14ac:dyDescent="0.25">
      <c r="A55" s="3"/>
      <c r="B55" s="3"/>
      <c r="C55" s="3"/>
      <c r="D55" s="3"/>
    </row>
    <row r="56" spans="1:8" x14ac:dyDescent="0.25">
      <c r="A56" s="3"/>
      <c r="B56" s="46" t="s">
        <v>474</v>
      </c>
      <c r="C56" s="3">
        <f>IFERROR('Справочная информация'!I26,0)</f>
        <v>15000</v>
      </c>
      <c r="D56" s="3">
        <f>IFERROR(GETPIVOTDATA("ВЫРУЧКА",'3 id'!$L$3,"Дата продажи (Месяц)","янв"),0)</f>
        <v>16445</v>
      </c>
    </row>
    <row r="57" spans="1:8" x14ac:dyDescent="0.25">
      <c r="A57" s="3" t="s">
        <v>479</v>
      </c>
      <c r="B57" s="46" t="s">
        <v>476</v>
      </c>
      <c r="C57" s="3">
        <f>IFERROR('Справочная информация'!J26,0)</f>
        <v>17250</v>
      </c>
      <c r="D57" s="3">
        <f>IFERROR(GETPIVOTDATA("ВЫРУЧКА",'3 id'!$L$3,"Дата продажи (Месяц)","фев"),0)</f>
        <v>13103</v>
      </c>
    </row>
    <row r="58" spans="1:8" x14ac:dyDescent="0.25">
      <c r="A58" s="3"/>
      <c r="B58" s="46" t="s">
        <v>477</v>
      </c>
      <c r="C58" s="3">
        <f>IFERROR('Справочная информация'!K26,0)</f>
        <v>22425</v>
      </c>
      <c r="D58" s="3">
        <f>IFERROR(GETPIVOTDATA("ВЫРУЧКА",'3 id'!$L$3,"Дата продажи (Месяц)","мар"),0)</f>
        <v>25668</v>
      </c>
    </row>
    <row r="62" spans="1:8" x14ac:dyDescent="0.25">
      <c r="A62" s="3" t="s">
        <v>480</v>
      </c>
      <c r="B62" s="3" t="s">
        <v>471</v>
      </c>
      <c r="C62" s="3" t="s">
        <v>472</v>
      </c>
      <c r="D62" s="3" t="s">
        <v>473</v>
      </c>
      <c r="E62" s="47"/>
    </row>
    <row r="63" spans="1:8" x14ac:dyDescent="0.25">
      <c r="A63" s="3" t="s">
        <v>420</v>
      </c>
      <c r="B63" s="46"/>
      <c r="C63" s="3"/>
      <c r="D63" s="3"/>
    </row>
    <row r="64" spans="1:8" x14ac:dyDescent="0.25">
      <c r="A64" s="3"/>
      <c r="B64" s="46" t="s">
        <v>474</v>
      </c>
      <c r="C64" s="3">
        <f>IFERROR('Справочная информация'!I38,0)</f>
        <v>15000</v>
      </c>
      <c r="D64" s="3">
        <f>IFERROR(GETPIVOTDATA("ВЫРУЧКА",'1 id'!$AG$3,"Дата продажи (Месяц)","янв"),0)</f>
        <v>16472</v>
      </c>
      <c r="E64" s="47"/>
    </row>
    <row r="65" spans="1:6" x14ac:dyDescent="0.25">
      <c r="A65" s="3"/>
      <c r="B65" s="46" t="s">
        <v>476</v>
      </c>
      <c r="C65" s="3">
        <f>IFERROR('Справочная информация'!J38,0)</f>
        <v>17250</v>
      </c>
      <c r="D65" s="3">
        <f>IFERROR(GETPIVOTDATA("ВЫРУЧКА",'1 id'!$AG$3,"Дата продажи (Месяц)","фев"),0)</f>
        <v>22019</v>
      </c>
      <c r="E65" s="47"/>
    </row>
    <row r="66" spans="1:6" x14ac:dyDescent="0.25">
      <c r="A66" s="3"/>
      <c r="B66" s="46" t="s">
        <v>477</v>
      </c>
      <c r="C66" s="3">
        <f>IFERROR('Справочная информация'!K38,0)</f>
        <v>22425</v>
      </c>
      <c r="D66" s="3">
        <f>IFERROR(GETPIVOTDATA("ВЫРУЧКА",'1 id'!$AG$3,"Дата продажи (Месяц)","мар"),0)</f>
        <v>28502</v>
      </c>
      <c r="E66" s="47"/>
    </row>
    <row r="67" spans="1:6" x14ac:dyDescent="0.25">
      <c r="A67" s="3" t="s">
        <v>418</v>
      </c>
      <c r="B67" s="46"/>
      <c r="C67" s="3"/>
      <c r="D67" s="3"/>
    </row>
    <row r="68" spans="1:6" x14ac:dyDescent="0.25">
      <c r="A68" s="3"/>
      <c r="B68" s="46" t="s">
        <v>474</v>
      </c>
      <c r="C68" s="3">
        <f>IFERROR('Справочная информация'!I46,0)</f>
        <v>10000</v>
      </c>
      <c r="D68" s="3">
        <f>IFERROR(GETPIVOTDATA("ВЫРУЧКА",'1 id'!$W$3,"Дата продажи (Месяц)","янв"),0)</f>
        <v>19594</v>
      </c>
      <c r="E68" s="47"/>
    </row>
    <row r="69" spans="1:6" x14ac:dyDescent="0.25">
      <c r="A69" s="3"/>
      <c r="B69" s="46" t="s">
        <v>476</v>
      </c>
      <c r="C69" s="3">
        <f>IFERROR('Справочная информация'!J46,0)</f>
        <v>11500</v>
      </c>
      <c r="D69" s="3">
        <f>IFERROR(GETPIVOTDATA("ВЫРУЧКА",'1 id'!$W$3,"Дата продажи (Месяц)","фев"),0)</f>
        <v>11511</v>
      </c>
      <c r="E69" s="47"/>
      <c r="F69" s="48"/>
    </row>
    <row r="70" spans="1:6" x14ac:dyDescent="0.25">
      <c r="A70" s="3"/>
      <c r="B70" s="46" t="s">
        <v>477</v>
      </c>
      <c r="C70" s="3">
        <f>IFERROR('Справочная информация'!K46,0)</f>
        <v>14950</v>
      </c>
      <c r="D70" s="3">
        <f>IFERROR(GETPIVOTDATA("ВЫРУЧКА",'1 id'!$W$3,"Дата продажи (Месяц)","мар"),0)</f>
        <v>16062</v>
      </c>
      <c r="E70" s="47"/>
    </row>
    <row r="71" spans="1:6" x14ac:dyDescent="0.25">
      <c r="A71" s="3" t="s">
        <v>421</v>
      </c>
      <c r="B71" s="46"/>
      <c r="C71" s="3"/>
      <c r="D71" s="3"/>
    </row>
    <row r="72" spans="1:6" x14ac:dyDescent="0.25">
      <c r="A72" s="3"/>
      <c r="B72" s="46" t="s">
        <v>474</v>
      </c>
      <c r="C72" s="3">
        <f>IFERROR('Справочная информация'!I54,0)</f>
        <v>18000</v>
      </c>
      <c r="D72" s="3">
        <f>IFERROR(GETPIVOTDATA("ВЫРУЧКА",'2 id'!$AD$3,"Дата продажи (Месяц)","янв"),0)</f>
        <v>16595</v>
      </c>
      <c r="E72" s="47"/>
    </row>
    <row r="73" spans="1:6" x14ac:dyDescent="0.25">
      <c r="A73" s="3"/>
      <c r="B73" s="46" t="s">
        <v>476</v>
      </c>
      <c r="C73" s="3">
        <f>IFERROR('Справочная информация'!J54,0)</f>
        <v>20700</v>
      </c>
      <c r="D73" s="3">
        <f>IFERROR(GETPIVOTDATA("ВЫРУЧКА",'2 id'!$AD$3,"Дата продажи (Месяц)","фев"),0)</f>
        <v>24944</v>
      </c>
      <c r="E73" s="47"/>
    </row>
    <row r="74" spans="1:6" x14ac:dyDescent="0.25">
      <c r="A74" s="3"/>
      <c r="B74" s="46" t="s">
        <v>477</v>
      </c>
      <c r="C74" s="3">
        <f>IFERROR('Справочная информация'!K54,0)</f>
        <v>26910</v>
      </c>
      <c r="D74" s="3">
        <f>IFERROR(GETPIVOTDATA("ВЫРУЧКА",'2 id'!$AD$3,"Дата продажи (Месяц)","мар"),0)</f>
        <v>18566</v>
      </c>
      <c r="E74" s="47"/>
    </row>
    <row r="75" spans="1:6" x14ac:dyDescent="0.25">
      <c r="A75" s="3" t="s">
        <v>419</v>
      </c>
      <c r="B75" s="46"/>
      <c r="C75" s="3"/>
      <c r="D75" s="3"/>
    </row>
    <row r="76" spans="1:6" x14ac:dyDescent="0.25">
      <c r="A76" s="3"/>
      <c r="B76" s="46" t="s">
        <v>474</v>
      </c>
      <c r="C76" s="3">
        <f>IFERROR('Справочная информация'!I62,0)</f>
        <v>12000</v>
      </c>
      <c r="D76" s="3">
        <f>IFERROR(GETPIVOTDATA("ВЫРУЧКА",'2 id'!$V$3,"Дата продажи (Месяц)","янв"),0)</f>
        <v>28008</v>
      </c>
      <c r="E76" s="47"/>
    </row>
    <row r="77" spans="1:6" x14ac:dyDescent="0.25">
      <c r="A77" s="3"/>
      <c r="B77" s="46" t="s">
        <v>476</v>
      </c>
      <c r="C77" s="3">
        <f>IFERROR('Справочная информация'!J62,0)</f>
        <v>13800</v>
      </c>
      <c r="D77" s="3">
        <f>IFERROR(GETPIVOTDATA("ВЫРУЧКА",'2 id'!$V$3,"Дата продажи (Месяц)","фев"),0)</f>
        <v>16355</v>
      </c>
      <c r="E77" s="47"/>
    </row>
    <row r="78" spans="1:6" x14ac:dyDescent="0.25">
      <c r="A78" s="3"/>
      <c r="B78" s="46" t="s">
        <v>477</v>
      </c>
      <c r="C78" s="3">
        <f>IFERROR('Справочная информация'!K62,0)</f>
        <v>17940</v>
      </c>
      <c r="D78" s="3">
        <f>IFERROR(GETPIVOTDATA("ВЫРУЧКА",'2 id'!$V$3,"Дата продажи (Месяц)","мар"),0)</f>
        <v>20760</v>
      </c>
      <c r="E78" s="47"/>
    </row>
    <row r="79" spans="1:6" x14ac:dyDescent="0.25">
      <c r="A79" s="3" t="s">
        <v>422</v>
      </c>
      <c r="B79" s="46"/>
      <c r="C79" s="3"/>
      <c r="D79" s="3"/>
    </row>
    <row r="80" spans="1:6" x14ac:dyDescent="0.25">
      <c r="A80" s="3"/>
      <c r="B80" s="46" t="s">
        <v>474</v>
      </c>
      <c r="C80" s="3">
        <f>IFERROR('Справочная информация'!I70,0)</f>
        <v>15000</v>
      </c>
      <c r="D80" s="3">
        <f>IFERROR(GETPIVOTDATA("ВЫРУЧКА",'3 id'!$V$3,"Дата продажи (Месяц)","янв"),0)</f>
        <v>16445</v>
      </c>
      <c r="E80" s="47"/>
    </row>
    <row r="81" spans="1:5" x14ac:dyDescent="0.25">
      <c r="A81" s="3"/>
      <c r="B81" s="46" t="s">
        <v>476</v>
      </c>
      <c r="C81" s="3">
        <f>IFERROR('Справочная информация'!J70,0)</f>
        <v>17250</v>
      </c>
      <c r="D81" s="3">
        <f>IFERROR(GETPIVOTDATA("ВЫРУЧКА",'3 id'!$V$3,"Дата продажи (Месяц)","фев"),0)</f>
        <v>13103</v>
      </c>
      <c r="E81" s="47"/>
    </row>
    <row r="82" spans="1:5" x14ac:dyDescent="0.25">
      <c r="A82" s="3"/>
      <c r="B82" s="46" t="s">
        <v>477</v>
      </c>
      <c r="C82" s="3">
        <f>IFERROR('Справочная информация'!K70,0)</f>
        <v>22425</v>
      </c>
      <c r="D82" s="3">
        <f>IFERROR(GETPIVOTDATA("ВЫРУЧКА",'3 id'!$V$3,"Дата продажи (Месяц)","мар"),0)</f>
        <v>25668</v>
      </c>
      <c r="E82" s="47"/>
    </row>
    <row r="83" spans="1:5" x14ac:dyDescent="0.25">
      <c r="A83" s="3"/>
      <c r="B83" s="46"/>
      <c r="C83" s="3"/>
      <c r="D83" s="3"/>
    </row>
    <row r="88" spans="1:5" ht="15.75" thickBot="1" x14ac:dyDescent="0.3"/>
    <row r="89" spans="1:5" ht="15.75" thickBot="1" x14ac:dyDescent="0.3">
      <c r="B89" s="65"/>
    </row>
  </sheetData>
  <pageMargins left="0.7" right="0.7" top="0.75" bottom="0.75" header="0.3" footer="0.3"/>
  <pageSetup paperSize="9" orientation="portrait" horizontalDpi="300" r:id="rId6"/>
  <drawing r:id="rId7"/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E2:Z137"/>
  <sheetViews>
    <sheetView tabSelected="1" zoomScale="55" zoomScaleNormal="55" workbookViewId="0">
      <selection activeCell="W116" sqref="W116"/>
    </sheetView>
  </sheetViews>
  <sheetFormatPr defaultRowHeight="15" x14ac:dyDescent="0.25"/>
  <cols>
    <col min="5" max="5" width="19.140625" customWidth="1"/>
    <col min="6" max="6" width="32.140625" bestFit="1" customWidth="1"/>
    <col min="14" max="14" width="19.140625" customWidth="1"/>
    <col min="15" max="15" width="32.28515625" bestFit="1" customWidth="1"/>
    <col min="16" max="16" width="36.140625" bestFit="1" customWidth="1"/>
    <col min="17" max="17" width="19.140625" customWidth="1"/>
    <col min="18" max="18" width="32.28515625" bestFit="1" customWidth="1"/>
    <col min="21" max="21" width="19.140625" customWidth="1"/>
    <col min="23" max="23" width="19.140625" customWidth="1"/>
    <col min="24" max="24" width="69.42578125" customWidth="1"/>
    <col min="25" max="26" width="65" customWidth="1"/>
    <col min="27" max="29" width="7" customWidth="1"/>
    <col min="30" max="30" width="11.85546875" bestFit="1" customWidth="1"/>
  </cols>
  <sheetData>
    <row r="2" spans="6:24" ht="23.25" x14ac:dyDescent="0.35">
      <c r="U2" s="53">
        <f ca="1">TODAY()</f>
        <v>45758</v>
      </c>
    </row>
    <row r="3" spans="6:24" x14ac:dyDescent="0.25">
      <c r="F3" s="1"/>
    </row>
    <row r="6" spans="6:24" x14ac:dyDescent="0.25">
      <c r="W6" s="49"/>
      <c r="X6" s="49"/>
    </row>
    <row r="7" spans="6:24" x14ac:dyDescent="0.25">
      <c r="W7" s="23"/>
    </row>
    <row r="8" spans="6:24" x14ac:dyDescent="0.25">
      <c r="W8" s="23"/>
    </row>
    <row r="9" spans="6:24" x14ac:dyDescent="0.25">
      <c r="W9" s="23"/>
    </row>
    <row r="10" spans="6:24" x14ac:dyDescent="0.25">
      <c r="W10" s="50"/>
      <c r="X10" s="51"/>
    </row>
    <row r="19" spans="23:25" x14ac:dyDescent="0.25">
      <c r="W19" s="75"/>
      <c r="X19" s="76"/>
      <c r="Y19" s="77"/>
    </row>
    <row r="20" spans="23:25" x14ac:dyDescent="0.25">
      <c r="W20" s="78"/>
      <c r="X20" s="64"/>
      <c r="Y20" s="79"/>
    </row>
    <row r="21" spans="23:25" x14ac:dyDescent="0.25">
      <c r="W21" s="78"/>
      <c r="X21" s="64"/>
      <c r="Y21" s="79"/>
    </row>
    <row r="22" spans="23:25" x14ac:dyDescent="0.25">
      <c r="W22" s="78"/>
      <c r="X22" s="64"/>
      <c r="Y22" s="79"/>
    </row>
    <row r="23" spans="23:25" x14ac:dyDescent="0.25">
      <c r="W23" s="78"/>
      <c r="X23" s="64"/>
      <c r="Y23" s="79"/>
    </row>
    <row r="24" spans="23:25" x14ac:dyDescent="0.25">
      <c r="W24" s="78"/>
      <c r="X24" s="64"/>
      <c r="Y24" s="79"/>
    </row>
    <row r="25" spans="23:25" x14ac:dyDescent="0.25">
      <c r="W25" s="78"/>
      <c r="X25" s="64"/>
      <c r="Y25" s="79"/>
    </row>
    <row r="26" spans="23:25" x14ac:dyDescent="0.25">
      <c r="W26" s="78"/>
      <c r="X26" s="64"/>
      <c r="Y26" s="79"/>
    </row>
    <row r="27" spans="23:25" x14ac:dyDescent="0.25">
      <c r="W27" s="78"/>
      <c r="X27" s="64"/>
      <c r="Y27" s="79"/>
    </row>
    <row r="28" spans="23:25" x14ac:dyDescent="0.25">
      <c r="W28" s="78"/>
      <c r="X28" s="64"/>
      <c r="Y28" s="79"/>
    </row>
    <row r="29" spans="23:25" x14ac:dyDescent="0.25">
      <c r="W29" s="78"/>
      <c r="X29" s="64"/>
      <c r="Y29" s="79"/>
    </row>
    <row r="30" spans="23:25" x14ac:dyDescent="0.25">
      <c r="W30" s="78"/>
      <c r="X30" s="64"/>
      <c r="Y30" s="79"/>
    </row>
    <row r="31" spans="23:25" x14ac:dyDescent="0.25">
      <c r="W31" s="78"/>
      <c r="X31" s="64"/>
      <c r="Y31" s="79"/>
    </row>
    <row r="32" spans="23:25" x14ac:dyDescent="0.25">
      <c r="W32" s="78"/>
      <c r="X32" s="64"/>
      <c r="Y32" s="79"/>
    </row>
    <row r="33" spans="23:25" x14ac:dyDescent="0.25">
      <c r="W33" s="78"/>
      <c r="X33" s="64"/>
      <c r="Y33" s="79"/>
    </row>
    <row r="34" spans="23:25" x14ac:dyDescent="0.25">
      <c r="W34" s="78"/>
      <c r="X34" s="64"/>
      <c r="Y34" s="79"/>
    </row>
    <row r="35" spans="23:25" x14ac:dyDescent="0.25">
      <c r="W35" s="78"/>
      <c r="X35" s="64"/>
      <c r="Y35" s="79"/>
    </row>
    <row r="36" spans="23:25" x14ac:dyDescent="0.25">
      <c r="W36" s="80"/>
      <c r="X36" s="81"/>
      <c r="Y36" s="82"/>
    </row>
    <row r="43" spans="23:25" x14ac:dyDescent="0.25">
      <c r="W43" s="22" t="s">
        <v>432</v>
      </c>
      <c r="X43" t="s">
        <v>481</v>
      </c>
      <c r="Y43" t="s">
        <v>482</v>
      </c>
    </row>
    <row r="44" spans="23:25" x14ac:dyDescent="0.25">
      <c r="W44" s="23" t="s">
        <v>418</v>
      </c>
      <c r="X44" s="66">
        <v>8974.0800000000017</v>
      </c>
      <c r="Y44" s="66">
        <v>47167</v>
      </c>
    </row>
    <row r="45" spans="23:25" x14ac:dyDescent="0.25">
      <c r="W45" s="23" t="s">
        <v>419</v>
      </c>
      <c r="X45" s="66">
        <v>13025.640000000003</v>
      </c>
      <c r="Y45" s="66">
        <v>65123</v>
      </c>
    </row>
    <row r="46" spans="23:25" x14ac:dyDescent="0.25">
      <c r="W46" s="23" t="s">
        <v>420</v>
      </c>
      <c r="X46" s="66">
        <v>13301.320000000002</v>
      </c>
      <c r="Y46" s="66">
        <v>66993</v>
      </c>
    </row>
    <row r="47" spans="23:25" x14ac:dyDescent="0.25">
      <c r="W47" s="23" t="s">
        <v>421</v>
      </c>
      <c r="X47" s="66">
        <v>11723.470000000005</v>
      </c>
      <c r="Y47" s="66">
        <v>60105</v>
      </c>
    </row>
    <row r="48" spans="23:25" x14ac:dyDescent="0.25">
      <c r="W48" s="23" t="s">
        <v>422</v>
      </c>
      <c r="X48" s="66">
        <v>10921.840000000006</v>
      </c>
      <c r="Y48" s="66">
        <v>55216</v>
      </c>
    </row>
    <row r="49" spans="23:25" x14ac:dyDescent="0.25">
      <c r="W49" s="23" t="s">
        <v>444</v>
      </c>
      <c r="X49" s="66">
        <v>57946.350000000013</v>
      </c>
      <c r="Y49" s="66">
        <v>294604</v>
      </c>
    </row>
    <row r="54" spans="23:25" x14ac:dyDescent="0.25">
      <c r="W54" s="22" t="s">
        <v>432</v>
      </c>
    </row>
    <row r="55" spans="23:25" x14ac:dyDescent="0.25">
      <c r="W55" s="23" t="s">
        <v>5</v>
      </c>
    </row>
    <row r="56" spans="23:25" x14ac:dyDescent="0.25">
      <c r="W56" s="23" t="s">
        <v>8</v>
      </c>
    </row>
    <row r="57" spans="23:25" x14ac:dyDescent="0.25">
      <c r="W57" s="23" t="s">
        <v>22</v>
      </c>
    </row>
    <row r="58" spans="23:25" x14ac:dyDescent="0.25">
      <c r="W58" s="23" t="s">
        <v>37</v>
      </c>
    </row>
    <row r="59" spans="23:25" x14ac:dyDescent="0.25">
      <c r="W59" s="23" t="s">
        <v>17</v>
      </c>
    </row>
    <row r="60" spans="23:25" x14ac:dyDescent="0.25">
      <c r="W60" s="23" t="s">
        <v>15</v>
      </c>
    </row>
    <row r="61" spans="23:25" x14ac:dyDescent="0.25">
      <c r="W61" s="23" t="s">
        <v>444</v>
      </c>
    </row>
    <row r="65" spans="23:24" x14ac:dyDescent="0.25">
      <c r="W65" t="s">
        <v>433</v>
      </c>
    </row>
    <row r="66" spans="23:24" x14ac:dyDescent="0.25">
      <c r="W66" s="66">
        <v>400</v>
      </c>
    </row>
    <row r="72" spans="23:24" x14ac:dyDescent="0.25">
      <c r="W72" s="22" t="s">
        <v>432</v>
      </c>
      <c r="X72" t="s">
        <v>482</v>
      </c>
    </row>
    <row r="73" spans="23:24" x14ac:dyDescent="0.25">
      <c r="W73" s="23" t="s">
        <v>458</v>
      </c>
      <c r="X73" s="66">
        <v>50400</v>
      </c>
    </row>
    <row r="74" spans="23:24" x14ac:dyDescent="0.25">
      <c r="W74" s="23" t="s">
        <v>456</v>
      </c>
      <c r="X74" s="66">
        <v>57150</v>
      </c>
    </row>
    <row r="75" spans="23:24" x14ac:dyDescent="0.25">
      <c r="W75" s="23" t="s">
        <v>457</v>
      </c>
      <c r="X75" s="66">
        <v>67357</v>
      </c>
    </row>
    <row r="76" spans="23:24" x14ac:dyDescent="0.25">
      <c r="W76" s="23" t="s">
        <v>455</v>
      </c>
      <c r="X76" s="66">
        <v>119697</v>
      </c>
    </row>
    <row r="77" spans="23:24" x14ac:dyDescent="0.25">
      <c r="W77" s="23" t="s">
        <v>444</v>
      </c>
      <c r="X77" s="66">
        <v>294604</v>
      </c>
    </row>
    <row r="80" spans="23:24" x14ac:dyDescent="0.25">
      <c r="W80" s="22" t="s">
        <v>432</v>
      </c>
      <c r="X80" t="s">
        <v>482</v>
      </c>
    </row>
    <row r="81" spans="23:24" x14ac:dyDescent="0.25">
      <c r="W81" s="23" t="s">
        <v>37</v>
      </c>
      <c r="X81" s="66">
        <v>27853</v>
      </c>
    </row>
    <row r="82" spans="23:24" x14ac:dyDescent="0.25">
      <c r="W82" s="23" t="s">
        <v>22</v>
      </c>
      <c r="X82" s="66">
        <v>35429</v>
      </c>
    </row>
    <row r="83" spans="23:24" x14ac:dyDescent="0.25">
      <c r="W83" s="23" t="s">
        <v>15</v>
      </c>
      <c r="X83" s="66">
        <v>50400</v>
      </c>
    </row>
    <row r="84" spans="23:24" x14ac:dyDescent="0.25">
      <c r="W84" s="23" t="s">
        <v>17</v>
      </c>
      <c r="X84" s="66">
        <v>56415</v>
      </c>
    </row>
    <row r="85" spans="23:24" x14ac:dyDescent="0.25">
      <c r="W85" s="23" t="s">
        <v>5</v>
      </c>
      <c r="X85" s="66">
        <v>57150</v>
      </c>
    </row>
    <row r="86" spans="23:24" x14ac:dyDescent="0.25">
      <c r="W86" s="23" t="s">
        <v>8</v>
      </c>
      <c r="X86" s="66">
        <v>67357</v>
      </c>
    </row>
    <row r="87" spans="23:24" x14ac:dyDescent="0.25">
      <c r="W87" s="23" t="s">
        <v>444</v>
      </c>
      <c r="X87" s="66">
        <v>294604</v>
      </c>
    </row>
    <row r="90" spans="23:24" x14ac:dyDescent="0.25">
      <c r="W90" s="22" t="s">
        <v>432</v>
      </c>
      <c r="X90" t="s">
        <v>483</v>
      </c>
    </row>
    <row r="91" spans="23:24" x14ac:dyDescent="0.25">
      <c r="W91" s="23" t="s">
        <v>5</v>
      </c>
      <c r="X91" s="35">
        <v>75</v>
      </c>
    </row>
    <row r="92" spans="23:24" x14ac:dyDescent="0.25">
      <c r="W92" s="23" t="s">
        <v>8</v>
      </c>
      <c r="X92" s="35">
        <v>109</v>
      </c>
    </row>
    <row r="93" spans="23:24" x14ac:dyDescent="0.25">
      <c r="W93" s="23" t="s">
        <v>22</v>
      </c>
      <c r="X93" s="35">
        <v>51</v>
      </c>
    </row>
    <row r="94" spans="23:24" x14ac:dyDescent="0.25">
      <c r="W94" s="23" t="s">
        <v>37</v>
      </c>
      <c r="X94" s="35">
        <v>41</v>
      </c>
    </row>
    <row r="95" spans="23:24" x14ac:dyDescent="0.25">
      <c r="W95" s="23" t="s">
        <v>17</v>
      </c>
      <c r="X95" s="35">
        <v>79</v>
      </c>
    </row>
    <row r="96" spans="23:24" x14ac:dyDescent="0.25">
      <c r="W96" s="23" t="s">
        <v>15</v>
      </c>
      <c r="X96" s="35">
        <v>45</v>
      </c>
    </row>
    <row r="97" spans="23:24" x14ac:dyDescent="0.25">
      <c r="W97" s="23" t="s">
        <v>444</v>
      </c>
      <c r="X97" s="35">
        <v>400</v>
      </c>
    </row>
    <row r="100" spans="23:24" x14ac:dyDescent="0.25">
      <c r="W100" t="s">
        <v>484</v>
      </c>
      <c r="X100" t="s">
        <v>485</v>
      </c>
    </row>
    <row r="101" spans="23:24" x14ac:dyDescent="0.25">
      <c r="W101" s="66">
        <v>294604</v>
      </c>
      <c r="X101" s="66">
        <v>44984.0503999996</v>
      </c>
    </row>
    <row r="103" spans="23:24" x14ac:dyDescent="0.25">
      <c r="W103" s="35">
        <f>GETPIVOTDATA("Выручка",$W$100)</f>
        <v>294604</v>
      </c>
      <c r="X103" s="35">
        <f>GETPIVOTDATA("Сумма по полю Операционная прибыль, руб.",$W$100)</f>
        <v>44984.0503999996</v>
      </c>
    </row>
    <row r="108" spans="23:24" x14ac:dyDescent="0.25">
      <c r="W108" s="22" t="s">
        <v>432</v>
      </c>
      <c r="X108" t="s">
        <v>483</v>
      </c>
    </row>
    <row r="109" spans="23:24" x14ac:dyDescent="0.25">
      <c r="W109" s="23" t="s">
        <v>457</v>
      </c>
      <c r="X109" s="35">
        <v>109</v>
      </c>
    </row>
    <row r="110" spans="23:24" x14ac:dyDescent="0.25">
      <c r="W110" s="23" t="s">
        <v>458</v>
      </c>
      <c r="X110" s="35">
        <v>45</v>
      </c>
    </row>
    <row r="111" spans="23:24" x14ac:dyDescent="0.25">
      <c r="W111" s="23" t="s">
        <v>456</v>
      </c>
      <c r="X111" s="35">
        <v>75</v>
      </c>
    </row>
    <row r="112" spans="23:24" x14ac:dyDescent="0.25">
      <c r="W112" s="23" t="s">
        <v>455</v>
      </c>
      <c r="X112" s="35">
        <v>171</v>
      </c>
    </row>
    <row r="113" spans="5:26" x14ac:dyDescent="0.25">
      <c r="W113" s="23" t="s">
        <v>444</v>
      </c>
      <c r="X113" s="35">
        <v>400</v>
      </c>
    </row>
    <row r="116" spans="5:26" x14ac:dyDescent="0.25">
      <c r="W116" s="22" t="s">
        <v>432</v>
      </c>
      <c r="X116" t="s">
        <v>486</v>
      </c>
      <c r="Y116" t="s">
        <v>485</v>
      </c>
      <c r="Z116" t="s">
        <v>482</v>
      </c>
    </row>
    <row r="117" spans="5:26" x14ac:dyDescent="0.25">
      <c r="W117" s="23">
        <v>1</v>
      </c>
      <c r="X117" s="66">
        <v>75990.880000000048</v>
      </c>
      <c r="Y117" s="66">
        <v>15873.671999999962</v>
      </c>
      <c r="Z117" s="66">
        <v>114160</v>
      </c>
    </row>
    <row r="118" spans="5:26" x14ac:dyDescent="0.25">
      <c r="W118" s="23">
        <v>2</v>
      </c>
      <c r="X118" s="66">
        <v>82940.880000000121</v>
      </c>
      <c r="Y118" s="66">
        <v>17830.091599999905</v>
      </c>
      <c r="Z118" s="66">
        <v>125228</v>
      </c>
    </row>
    <row r="119" spans="5:26" x14ac:dyDescent="0.25">
      <c r="W119" s="23">
        <v>3</v>
      </c>
      <c r="X119" s="66">
        <v>36746.589999999946</v>
      </c>
      <c r="Y119" s="66">
        <v>11280.286800000054</v>
      </c>
      <c r="Z119" s="66">
        <v>55216</v>
      </c>
    </row>
    <row r="120" spans="5:26" x14ac:dyDescent="0.25">
      <c r="N120" s="22" t="s">
        <v>432</v>
      </c>
      <c r="O120" t="s">
        <v>548</v>
      </c>
      <c r="Q120" s="22" t="s">
        <v>432</v>
      </c>
      <c r="R120" t="s">
        <v>548</v>
      </c>
      <c r="W120" s="23" t="s">
        <v>444</v>
      </c>
      <c r="X120" s="66">
        <v>195678.35000000012</v>
      </c>
      <c r="Y120" s="66">
        <v>44984.050399999651</v>
      </c>
      <c r="Z120" s="66">
        <v>294604</v>
      </c>
    </row>
    <row r="121" spans="5:26" x14ac:dyDescent="0.25">
      <c r="N121" s="23" t="s">
        <v>78</v>
      </c>
      <c r="O121" s="36">
        <v>0.12465035631355609</v>
      </c>
      <c r="Q121" s="23" t="s">
        <v>15</v>
      </c>
      <c r="R121" s="36">
        <v>0.22544249999999941</v>
      </c>
    </row>
    <row r="122" spans="5:26" x14ac:dyDescent="0.25">
      <c r="N122" s="23" t="s">
        <v>47</v>
      </c>
      <c r="O122" s="36">
        <v>0.13022180822885401</v>
      </c>
      <c r="Q122" s="23" t="s">
        <v>5</v>
      </c>
      <c r="R122" s="36">
        <v>0.15870599475065703</v>
      </c>
    </row>
    <row r="123" spans="5:26" x14ac:dyDescent="0.25">
      <c r="N123" s="23" t="s">
        <v>356</v>
      </c>
      <c r="O123" s="36">
        <v>0.13275193933700186</v>
      </c>
      <c r="Q123" s="23" t="s">
        <v>17</v>
      </c>
      <c r="R123" s="36">
        <v>0.15202589736772237</v>
      </c>
      <c r="W123" s="22" t="s">
        <v>432</v>
      </c>
      <c r="X123" t="s">
        <v>486</v>
      </c>
      <c r="Y123" t="s">
        <v>485</v>
      </c>
      <c r="Z123" t="s">
        <v>482</v>
      </c>
    </row>
    <row r="124" spans="5:26" x14ac:dyDescent="0.25">
      <c r="N124" s="23" t="s">
        <v>31</v>
      </c>
      <c r="O124" s="36">
        <v>0.13581829446625104</v>
      </c>
      <c r="Q124" s="23" t="s">
        <v>22</v>
      </c>
      <c r="R124" s="36">
        <v>0.1473491518247767</v>
      </c>
      <c r="W124" s="23" t="s">
        <v>418</v>
      </c>
      <c r="X124" s="66">
        <v>31699.859999999986</v>
      </c>
      <c r="Y124" s="66">
        <v>6255.4249000000173</v>
      </c>
      <c r="Z124" s="66">
        <v>47167</v>
      </c>
    </row>
    <row r="125" spans="5:26" x14ac:dyDescent="0.25">
      <c r="N125" s="23" t="s">
        <v>212</v>
      </c>
      <c r="O125" s="36">
        <v>0.13664912930207049</v>
      </c>
      <c r="Q125" s="23" t="s">
        <v>37</v>
      </c>
      <c r="R125" s="36">
        <v>0.14340543208990078</v>
      </c>
      <c r="W125" s="23" t="s">
        <v>419</v>
      </c>
      <c r="X125" s="66">
        <v>42982.349999999933</v>
      </c>
      <c r="Y125" s="66">
        <v>9422.1281000000745</v>
      </c>
      <c r="Z125" s="66">
        <v>65123</v>
      </c>
    </row>
    <row r="126" spans="5:26" x14ac:dyDescent="0.25">
      <c r="N126" s="23" t="s">
        <v>13</v>
      </c>
      <c r="O126" s="36">
        <v>0.13781724329196426</v>
      </c>
      <c r="Q126" s="23" t="s">
        <v>8</v>
      </c>
      <c r="R126" s="36">
        <v>0.10036752230651703</v>
      </c>
      <c r="W126" s="23" t="s">
        <v>420</v>
      </c>
      <c r="X126" s="66">
        <v>44291.019999999939</v>
      </c>
      <c r="Y126" s="66">
        <v>9618.2471000000751</v>
      </c>
      <c r="Z126" s="66">
        <v>66993</v>
      </c>
    </row>
    <row r="127" spans="5:26" x14ac:dyDescent="0.25">
      <c r="E127" s="22" t="s">
        <v>432</v>
      </c>
      <c r="F127" t="s">
        <v>433</v>
      </c>
      <c r="N127" s="23" t="s">
        <v>9</v>
      </c>
      <c r="O127" s="36">
        <v>0.13970208246563978</v>
      </c>
      <c r="Q127" s="23" t="s">
        <v>444</v>
      </c>
      <c r="R127" s="66">
        <v>0.15269327775590258</v>
      </c>
      <c r="W127" s="23" t="s">
        <v>421</v>
      </c>
      <c r="X127" s="66">
        <v>39958.529999999948</v>
      </c>
      <c r="Y127" s="66">
        <v>8407.9635000000617</v>
      </c>
      <c r="Z127" s="66">
        <v>60105</v>
      </c>
    </row>
    <row r="128" spans="5:26" x14ac:dyDescent="0.25">
      <c r="E128" s="23" t="s">
        <v>442</v>
      </c>
      <c r="F128" s="66">
        <v>132</v>
      </c>
      <c r="N128" s="23" t="s">
        <v>20</v>
      </c>
      <c r="O128" s="36">
        <v>0.14045158190766363</v>
      </c>
      <c r="W128" s="23" t="s">
        <v>422</v>
      </c>
      <c r="X128" s="66">
        <v>36746.589999999946</v>
      </c>
      <c r="Y128" s="66">
        <v>11280.286800000054</v>
      </c>
      <c r="Z128" s="66">
        <v>55216</v>
      </c>
    </row>
    <row r="129" spans="5:26" x14ac:dyDescent="0.25">
      <c r="E129" s="23" t="s">
        <v>441</v>
      </c>
      <c r="F129" s="66">
        <v>119</v>
      </c>
      <c r="N129" s="23" t="s">
        <v>11</v>
      </c>
      <c r="O129" s="36">
        <v>0.14380108829158195</v>
      </c>
      <c r="W129" s="23" t="s">
        <v>444</v>
      </c>
      <c r="X129" s="66">
        <v>195678.34999999974</v>
      </c>
      <c r="Y129" s="66">
        <v>44984.0503999996</v>
      </c>
      <c r="Z129" s="66">
        <v>294604</v>
      </c>
    </row>
    <row r="130" spans="5:26" x14ac:dyDescent="0.25">
      <c r="E130" s="23" t="s">
        <v>443</v>
      </c>
      <c r="F130" s="66">
        <v>149</v>
      </c>
      <c r="N130" s="23" t="s">
        <v>34</v>
      </c>
      <c r="O130" s="36">
        <v>0.14422504992619611</v>
      </c>
    </row>
    <row r="131" spans="5:26" x14ac:dyDescent="0.25">
      <c r="E131" s="23" t="s">
        <v>444</v>
      </c>
      <c r="F131" s="66">
        <v>400</v>
      </c>
      <c r="N131" s="23" t="s">
        <v>113</v>
      </c>
      <c r="O131" s="36">
        <v>0.14780878212008336</v>
      </c>
    </row>
    <row r="132" spans="5:26" x14ac:dyDescent="0.25">
      <c r="N132" s="23" t="s">
        <v>18</v>
      </c>
      <c r="O132" s="36">
        <v>0.15287288374871036</v>
      </c>
      <c r="W132" t="s">
        <v>548</v>
      </c>
      <c r="X132" t="s">
        <v>549</v>
      </c>
    </row>
    <row r="133" spans="5:26" x14ac:dyDescent="0.25">
      <c r="N133" s="23" t="s">
        <v>94</v>
      </c>
      <c r="O133" s="36">
        <v>0.15464975251237431</v>
      </c>
      <c r="W133" s="66">
        <v>0.15269327775590147</v>
      </c>
      <c r="X133" s="66">
        <v>0.84730672224409853</v>
      </c>
    </row>
    <row r="134" spans="5:26" x14ac:dyDescent="0.25">
      <c r="N134" s="23" t="s">
        <v>6</v>
      </c>
      <c r="O134" s="36">
        <v>0.19193168055273313</v>
      </c>
    </row>
    <row r="135" spans="5:26" x14ac:dyDescent="0.25">
      <c r="N135" s="23" t="s">
        <v>29</v>
      </c>
      <c r="O135" s="36">
        <v>0.19826834966088908</v>
      </c>
      <c r="W135" s="54">
        <f>GETPIVOTDATA("Сумма по полю Рентабельность2",$W$132)</f>
        <v>0.15269327775590147</v>
      </c>
      <c r="X135" s="54">
        <f>GETPIVOTDATA("Сумма по полю рент80",$W$132)</f>
        <v>0.84730672224409853</v>
      </c>
    </row>
    <row r="136" spans="5:26" x14ac:dyDescent="0.25">
      <c r="N136" s="23" t="s">
        <v>23</v>
      </c>
      <c r="O136" s="36">
        <v>0.21924462142932999</v>
      </c>
    </row>
    <row r="137" spans="5:26" x14ac:dyDescent="0.25">
      <c r="N137" s="23" t="s">
        <v>444</v>
      </c>
      <c r="O137" s="66">
        <v>0.15269327775590189</v>
      </c>
    </row>
  </sheetData>
  <pageMargins left="0.7" right="0.7" top="0.75" bottom="0.75" header="0.3" footer="0.3"/>
  <pageSetup paperSize="9" orientation="portrait" r:id="rId16"/>
  <drawing r:id="rId17"/>
  <extLst>
    <ext xmlns:x14="http://schemas.microsoft.com/office/spreadsheetml/2009/9/main" uri="{A8765BA9-456A-4dab-B4F3-ACF838C121DE}">
      <x14:slicerList>
        <x14:slicer r:id="rId18"/>
      </x14:slicerList>
    </ext>
    <ext xmlns:x15="http://schemas.microsoft.com/office/spreadsheetml/2010/11/main" uri="{7E03D99C-DC04-49d9-9315-930204A7B6E9}">
      <x15:timelineRefs>
        <x15:timelineRef r:id="rId19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11"/>
  <sheetViews>
    <sheetView workbookViewId="0">
      <selection activeCell="F1" sqref="F1"/>
    </sheetView>
  </sheetViews>
  <sheetFormatPr defaultRowHeight="15" x14ac:dyDescent="0.25"/>
  <cols>
    <col min="1" max="1" width="11.28515625" customWidth="1"/>
    <col min="2" max="2" width="11.42578125" customWidth="1"/>
    <col min="3" max="3" width="10.42578125" customWidth="1"/>
    <col min="4" max="4" width="13.140625" customWidth="1"/>
    <col min="5" max="5" width="13.28515625" customWidth="1"/>
    <col min="6" max="6" width="14.7109375" customWidth="1"/>
    <col min="7" max="7" width="24.5703125" bestFit="1" customWidth="1"/>
    <col min="8" max="8" width="15.7109375" customWidth="1"/>
    <col min="9" max="9" width="9.140625" customWidth="1"/>
    <col min="10" max="10" width="17.140625" customWidth="1"/>
    <col min="11" max="11" width="10.42578125" customWidth="1"/>
    <col min="12" max="12" width="9.28515625" customWidth="1"/>
    <col min="13" max="13" width="13.28515625" customWidth="1"/>
  </cols>
  <sheetData>
    <row r="1" spans="1:13" ht="66" customHeight="1" x14ac:dyDescent="0.25">
      <c r="A1" s="12" t="s">
        <v>487</v>
      </c>
      <c r="B1" s="12" t="s">
        <v>451</v>
      </c>
      <c r="C1" s="12" t="s">
        <v>452</v>
      </c>
      <c r="D1" s="16" t="s">
        <v>488</v>
      </c>
      <c r="E1" s="12" t="s">
        <v>489</v>
      </c>
      <c r="F1" s="12" t="s">
        <v>490</v>
      </c>
      <c r="G1" s="12" t="s">
        <v>491</v>
      </c>
      <c r="H1" s="12" t="s">
        <v>492</v>
      </c>
      <c r="I1" s="12" t="s">
        <v>493</v>
      </c>
      <c r="J1" s="12" t="s">
        <v>494</v>
      </c>
      <c r="K1" s="12" t="s">
        <v>495</v>
      </c>
      <c r="L1" s="12" t="s">
        <v>496</v>
      </c>
      <c r="M1" s="12" t="s">
        <v>497</v>
      </c>
    </row>
    <row r="2" spans="1:13" x14ac:dyDescent="0.25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</row>
    <row r="3" spans="1:13" x14ac:dyDescent="0.25">
      <c r="A3" s="3" t="s">
        <v>5</v>
      </c>
      <c r="B3" s="3" t="s">
        <v>456</v>
      </c>
      <c r="C3" s="83">
        <v>1</v>
      </c>
      <c r="D3" s="3">
        <v>100</v>
      </c>
      <c r="E3" s="3">
        <v>150</v>
      </c>
      <c r="F3" s="3">
        <v>700</v>
      </c>
      <c r="G3" s="3">
        <f>E3*1.1</f>
        <v>165</v>
      </c>
      <c r="H3" s="3">
        <f t="shared" ref="H3:H8" si="0">D3+F3</f>
        <v>800</v>
      </c>
      <c r="I3" s="3">
        <f t="shared" ref="I3:I8" si="1">ROUNDUP(((D3/(D3+F3))*E3+(F3/(D3+F3))*G3),2)</f>
        <v>163.13</v>
      </c>
      <c r="J3" s="3">
        <f>G3+VLOOKUP(A3,'Справочная информация'!A$12:E$17,5,0)</f>
        <v>509.33</v>
      </c>
      <c r="K3" s="3"/>
      <c r="L3" s="3"/>
      <c r="M3" s="3"/>
    </row>
    <row r="4" spans="1:13" x14ac:dyDescent="0.25">
      <c r="A4" s="3" t="s">
        <v>8</v>
      </c>
      <c r="B4" s="3" t="s">
        <v>457</v>
      </c>
      <c r="C4" s="83"/>
      <c r="D4" s="3">
        <v>150</v>
      </c>
      <c r="E4" s="3">
        <v>90</v>
      </c>
      <c r="F4" s="3">
        <v>600</v>
      </c>
      <c r="G4" s="3">
        <f>E4*1.1</f>
        <v>99.000000000000014</v>
      </c>
      <c r="H4" s="3">
        <f t="shared" si="0"/>
        <v>750</v>
      </c>
      <c r="I4" s="3">
        <f t="shared" si="1"/>
        <v>97.2</v>
      </c>
      <c r="J4" s="3">
        <f>G4+VLOOKUP(A4,'Справочная информация'!A$12:E$17,5,0)</f>
        <v>443.33</v>
      </c>
      <c r="K4" s="3"/>
      <c r="L4" s="3"/>
      <c r="M4" s="3"/>
    </row>
    <row r="5" spans="1:13" x14ac:dyDescent="0.25">
      <c r="A5" s="3" t="s">
        <v>22</v>
      </c>
      <c r="B5" s="3" t="s">
        <v>455</v>
      </c>
      <c r="C5" s="83"/>
      <c r="D5" s="3">
        <v>50</v>
      </c>
      <c r="E5" s="3">
        <v>110</v>
      </c>
      <c r="F5" s="3">
        <v>300</v>
      </c>
      <c r="G5" s="3">
        <f>E5*1.1</f>
        <v>121.00000000000001</v>
      </c>
      <c r="H5" s="3">
        <f t="shared" si="0"/>
        <v>350</v>
      </c>
      <c r="I5" s="3">
        <f t="shared" si="1"/>
        <v>119.43</v>
      </c>
      <c r="J5" s="3">
        <f>G5+VLOOKUP(A5,'Справочная информация'!A$12:E$17,5,0)</f>
        <v>465.33</v>
      </c>
      <c r="K5" s="3"/>
      <c r="L5" s="3"/>
      <c r="M5" s="3"/>
    </row>
    <row r="6" spans="1:13" x14ac:dyDescent="0.25">
      <c r="A6" s="3" t="s">
        <v>37</v>
      </c>
      <c r="B6" s="3" t="s">
        <v>455</v>
      </c>
      <c r="C6" s="83"/>
      <c r="D6" s="3">
        <v>25</v>
      </c>
      <c r="E6" s="3">
        <v>100</v>
      </c>
      <c r="F6" s="3">
        <v>300</v>
      </c>
      <c r="G6" s="3">
        <f>E6*1.1</f>
        <v>110.00000000000001</v>
      </c>
      <c r="H6" s="3">
        <f t="shared" si="0"/>
        <v>325</v>
      </c>
      <c r="I6" s="3">
        <f t="shared" si="1"/>
        <v>109.24000000000001</v>
      </c>
      <c r="J6" s="3">
        <f>G6+VLOOKUP(A6,'Справочная информация'!A$12:E$17,5,0)</f>
        <v>454.33</v>
      </c>
      <c r="K6" s="3"/>
      <c r="L6" s="3"/>
      <c r="M6" s="3"/>
    </row>
    <row r="7" spans="1:13" x14ac:dyDescent="0.25">
      <c r="A7" s="3" t="s">
        <v>17</v>
      </c>
      <c r="B7" s="3" t="s">
        <v>455</v>
      </c>
      <c r="C7" s="83"/>
      <c r="D7" s="3">
        <v>6</v>
      </c>
      <c r="E7" s="3">
        <v>120</v>
      </c>
      <c r="F7" s="3">
        <v>300</v>
      </c>
      <c r="G7" s="3">
        <f>E7*1.1</f>
        <v>132</v>
      </c>
      <c r="H7" s="3">
        <f t="shared" si="0"/>
        <v>306</v>
      </c>
      <c r="I7" s="3">
        <f t="shared" si="1"/>
        <v>131.76999999999998</v>
      </c>
      <c r="J7" s="3">
        <f>G7+VLOOKUP(A7,'Справочная информация'!A$12:E$17,5,0)</f>
        <v>476.33</v>
      </c>
      <c r="K7" s="3"/>
      <c r="L7" s="3"/>
      <c r="M7" s="3"/>
    </row>
    <row r="8" spans="1:13" x14ac:dyDescent="0.25">
      <c r="A8" s="3" t="s">
        <v>15</v>
      </c>
      <c r="B8" s="3" t="s">
        <v>458</v>
      </c>
      <c r="C8" s="83"/>
      <c r="D8" s="3">
        <v>12</v>
      </c>
      <c r="E8" s="3">
        <v>300</v>
      </c>
      <c r="F8" s="3">
        <v>200</v>
      </c>
      <c r="G8" s="3">
        <f>E8*1.05</f>
        <v>315</v>
      </c>
      <c r="H8" s="3">
        <f t="shared" si="0"/>
        <v>212</v>
      </c>
      <c r="I8" s="3">
        <f t="shared" si="1"/>
        <v>314.15999999999997</v>
      </c>
      <c r="J8" s="3">
        <f>G8+VLOOKUP(A8,'Справочная информация'!A$12:E$17,5,0)</f>
        <v>659.32999999999993</v>
      </c>
      <c r="K8" s="3"/>
      <c r="L8" s="3"/>
      <c r="M8" s="3"/>
    </row>
    <row r="11" spans="1:13" ht="76.5" customHeight="1" x14ac:dyDescent="0.25"/>
  </sheetData>
  <mergeCells count="1">
    <mergeCell ref="C3:C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U70"/>
  <sheetViews>
    <sheetView workbookViewId="0">
      <selection activeCell="E10" sqref="E10"/>
    </sheetView>
  </sheetViews>
  <sheetFormatPr defaultRowHeight="15" x14ac:dyDescent="0.25"/>
  <cols>
    <col min="1" max="1" width="18.5703125" customWidth="1"/>
    <col min="2" max="2" width="11.42578125" customWidth="1"/>
    <col min="3" max="3" width="9" customWidth="1"/>
    <col min="4" max="4" width="24.42578125" customWidth="1"/>
    <col min="5" max="5" width="20.42578125" customWidth="1"/>
    <col min="6" max="6" width="21.140625" bestFit="1" customWidth="1"/>
    <col min="8" max="8" width="17.42578125" customWidth="1"/>
    <col min="9" max="11" width="10.7109375" bestFit="1" customWidth="1"/>
    <col min="17" max="17" width="17.28515625" customWidth="1"/>
    <col min="18" max="18" width="57.85546875" customWidth="1"/>
    <col min="19" max="19" width="45.5703125" customWidth="1"/>
    <col min="20" max="20" width="11.42578125" bestFit="1" customWidth="1"/>
    <col min="21" max="21" width="20.5703125" customWidth="1"/>
    <col min="22" max="22" width="11.85546875" bestFit="1" customWidth="1"/>
  </cols>
  <sheetData>
    <row r="1" spans="1:21" ht="30" x14ac:dyDescent="0.25">
      <c r="A1" s="11" t="s">
        <v>498</v>
      </c>
      <c r="B1" s="11" t="s">
        <v>480</v>
      </c>
      <c r="C1" s="11" t="s">
        <v>499</v>
      </c>
      <c r="E1" s="11" t="s">
        <v>500</v>
      </c>
      <c r="F1" s="57" t="s">
        <v>501</v>
      </c>
      <c r="H1" s="33" t="s">
        <v>502</v>
      </c>
      <c r="I1" s="84" t="s">
        <v>503</v>
      </c>
      <c r="J1" s="85"/>
      <c r="K1" s="85"/>
      <c r="L1" s="85"/>
      <c r="M1" s="85"/>
      <c r="N1" s="86"/>
      <c r="O1" s="35">
        <v>10</v>
      </c>
    </row>
    <row r="2" spans="1:21" ht="30.75" thickBot="1" x14ac:dyDescent="0.3">
      <c r="A2" s="57">
        <v>1</v>
      </c>
      <c r="B2" s="57" t="s">
        <v>420</v>
      </c>
      <c r="C2" s="6">
        <v>0.15</v>
      </c>
      <c r="E2" s="11" t="s">
        <v>504</v>
      </c>
      <c r="F2" s="7">
        <v>495000</v>
      </c>
      <c r="H2" s="34" t="s">
        <v>2</v>
      </c>
      <c r="I2" s="87"/>
      <c r="J2" s="88"/>
      <c r="K2" s="88"/>
      <c r="L2" s="88"/>
      <c r="M2" s="88"/>
      <c r="N2" s="89"/>
    </row>
    <row r="3" spans="1:21" ht="15.75" thickBot="1" x14ac:dyDescent="0.3">
      <c r="A3" s="57">
        <v>1</v>
      </c>
      <c r="B3" s="57" t="s">
        <v>418</v>
      </c>
      <c r="C3" s="6">
        <v>0.15</v>
      </c>
      <c r="E3" s="11" t="s">
        <v>505</v>
      </c>
      <c r="F3" s="7">
        <v>149490</v>
      </c>
      <c r="H3" s="27" t="s">
        <v>506</v>
      </c>
      <c r="I3" s="58" t="s">
        <v>507</v>
      </c>
      <c r="J3" s="58" t="s">
        <v>508</v>
      </c>
      <c r="K3" s="58" t="s">
        <v>509</v>
      </c>
      <c r="L3" s="58" t="s">
        <v>510</v>
      </c>
      <c r="M3" s="58" t="s">
        <v>511</v>
      </c>
      <c r="N3" s="58" t="s">
        <v>512</v>
      </c>
    </row>
    <row r="4" spans="1:21" ht="15.75" thickBot="1" x14ac:dyDescent="0.3">
      <c r="A4" s="57">
        <v>2</v>
      </c>
      <c r="B4" s="57" t="s">
        <v>421</v>
      </c>
      <c r="C4" s="6">
        <v>0.15</v>
      </c>
      <c r="E4" s="11" t="s">
        <v>513</v>
      </c>
      <c r="F4" s="7">
        <v>75000</v>
      </c>
      <c r="H4" s="27" t="s">
        <v>5</v>
      </c>
      <c r="I4" s="28">
        <v>5000</v>
      </c>
      <c r="J4" s="28">
        <v>5750</v>
      </c>
      <c r="K4" s="28">
        <v>7475</v>
      </c>
      <c r="L4" s="29"/>
      <c r="M4" s="29"/>
      <c r="N4" s="29"/>
    </row>
    <row r="5" spans="1:21" ht="15.75" thickBot="1" x14ac:dyDescent="0.3">
      <c r="A5" s="57">
        <v>2</v>
      </c>
      <c r="B5" s="57" t="s">
        <v>419</v>
      </c>
      <c r="C5" s="6">
        <v>0.15</v>
      </c>
      <c r="E5" s="11" t="s">
        <v>514</v>
      </c>
      <c r="F5" s="7">
        <v>225000</v>
      </c>
      <c r="H5" s="27" t="s">
        <v>8</v>
      </c>
      <c r="I5" s="28">
        <v>7000</v>
      </c>
      <c r="J5" s="28">
        <v>8050</v>
      </c>
      <c r="K5" s="28">
        <v>10465</v>
      </c>
      <c r="L5" s="29"/>
      <c r="M5" s="29"/>
      <c r="N5" s="29"/>
    </row>
    <row r="6" spans="1:21" ht="15.75" thickBot="1" x14ac:dyDescent="0.3">
      <c r="A6" s="57">
        <v>3</v>
      </c>
      <c r="B6" s="57" t="s">
        <v>422</v>
      </c>
      <c r="C6" s="6">
        <v>0.1</v>
      </c>
      <c r="E6" s="13" t="s">
        <v>515</v>
      </c>
      <c r="F6" s="7">
        <v>944490</v>
      </c>
      <c r="H6" s="27" t="s">
        <v>22</v>
      </c>
      <c r="I6" s="28">
        <v>2000</v>
      </c>
      <c r="J6" s="28">
        <v>2300</v>
      </c>
      <c r="K6" s="28">
        <v>2990</v>
      </c>
      <c r="L6" s="29"/>
      <c r="M6" s="29"/>
      <c r="N6" s="29"/>
    </row>
    <row r="7" spans="1:21" ht="15.75" thickBot="1" x14ac:dyDescent="0.3">
      <c r="H7" s="27" t="s">
        <v>37</v>
      </c>
      <c r="I7" s="28">
        <v>3000</v>
      </c>
      <c r="J7" s="28">
        <v>3450</v>
      </c>
      <c r="K7" s="28">
        <v>4485</v>
      </c>
      <c r="L7" s="29"/>
      <c r="M7" s="29"/>
      <c r="N7" s="29"/>
    </row>
    <row r="8" spans="1:21" ht="15.75" thickBot="1" x14ac:dyDescent="0.3">
      <c r="H8" s="27" t="s">
        <v>17</v>
      </c>
      <c r="I8" s="28">
        <v>3000</v>
      </c>
      <c r="J8" s="28">
        <v>3450</v>
      </c>
      <c r="K8" s="28">
        <v>4485</v>
      </c>
      <c r="L8" s="29"/>
      <c r="M8" s="29"/>
      <c r="N8" s="29"/>
    </row>
    <row r="9" spans="1:21" ht="15.75" thickBot="1" x14ac:dyDescent="0.3">
      <c r="H9" s="27" t="s">
        <v>15</v>
      </c>
      <c r="I9" s="28">
        <v>5000</v>
      </c>
      <c r="J9" s="28">
        <v>5750</v>
      </c>
      <c r="K9" s="28">
        <v>7475</v>
      </c>
      <c r="L9" s="29"/>
      <c r="M9" s="29"/>
      <c r="N9" s="29"/>
    </row>
    <row r="10" spans="1:21" ht="78" customHeight="1" thickBot="1" x14ac:dyDescent="0.3">
      <c r="A10" s="11" t="s">
        <v>516</v>
      </c>
      <c r="B10" s="12" t="s">
        <v>492</v>
      </c>
      <c r="C10" s="12" t="s">
        <v>517</v>
      </c>
      <c r="D10" s="12" t="s">
        <v>518</v>
      </c>
      <c r="E10" s="12" t="s">
        <v>519</v>
      </c>
      <c r="H10" s="30" t="s">
        <v>515</v>
      </c>
      <c r="I10" s="31">
        <v>25000</v>
      </c>
      <c r="J10" s="31">
        <v>28750</v>
      </c>
      <c r="K10" s="31">
        <v>37375</v>
      </c>
      <c r="L10" s="32">
        <v>0</v>
      </c>
      <c r="M10" s="32">
        <v>0</v>
      </c>
      <c r="N10" s="32">
        <v>0</v>
      </c>
    </row>
    <row r="11" spans="1:21" ht="15.75" thickBot="1" x14ac:dyDescent="0.3">
      <c r="A11" s="3">
        <v>1</v>
      </c>
      <c r="B11" s="3">
        <v>2</v>
      </c>
      <c r="C11" s="3">
        <v>3</v>
      </c>
      <c r="D11" s="3">
        <v>4</v>
      </c>
      <c r="E11" s="3">
        <v>5</v>
      </c>
      <c r="H11" s="27" t="s">
        <v>520</v>
      </c>
      <c r="I11" s="58" t="s">
        <v>507</v>
      </c>
      <c r="J11" s="58" t="s">
        <v>508</v>
      </c>
      <c r="K11" s="58" t="s">
        <v>509</v>
      </c>
      <c r="L11" s="58" t="s">
        <v>510</v>
      </c>
      <c r="M11" s="58" t="s">
        <v>511</v>
      </c>
      <c r="N11" s="58" t="s">
        <v>512</v>
      </c>
    </row>
    <row r="12" spans="1:21" ht="15.75" thickBot="1" x14ac:dyDescent="0.3">
      <c r="A12" s="3" t="s">
        <v>5</v>
      </c>
      <c r="B12" s="3">
        <f>VLOOKUP('Справочная информация'!A12,Склад!$A$3:$H$8,8,0)</f>
        <v>800</v>
      </c>
      <c r="C12" s="17">
        <f t="shared" ref="C12:C17" si="0">B12/B$18</f>
        <v>0.29165147648559969</v>
      </c>
      <c r="D12" s="3">
        <f t="shared" ref="D12:D17" si="1">F$6*C12</f>
        <v>275461.90302588406</v>
      </c>
      <c r="E12" s="3">
        <f t="shared" ref="E12:E17" si="2">ROUND(D12/B12,2)</f>
        <v>344.33</v>
      </c>
      <c r="H12" s="27" t="s">
        <v>5</v>
      </c>
      <c r="I12" s="28">
        <v>5500</v>
      </c>
      <c r="J12" s="28">
        <v>6325</v>
      </c>
      <c r="K12" s="28">
        <v>8222.5</v>
      </c>
      <c r="L12" s="29"/>
      <c r="M12" s="29"/>
      <c r="N12" s="29"/>
    </row>
    <row r="13" spans="1:21" ht="15.75" thickBot="1" x14ac:dyDescent="0.3">
      <c r="A13" s="3" t="s">
        <v>8</v>
      </c>
      <c r="B13" s="3">
        <f>VLOOKUP('Справочная информация'!A13,Склад!$A$3:$H$8,8,0)</f>
        <v>750</v>
      </c>
      <c r="C13" s="17">
        <f t="shared" si="0"/>
        <v>0.27342325920524974</v>
      </c>
      <c r="D13" s="3">
        <f t="shared" si="1"/>
        <v>258245.53408676633</v>
      </c>
      <c r="E13" s="3">
        <f t="shared" si="2"/>
        <v>344.33</v>
      </c>
      <c r="H13" s="27" t="s">
        <v>8</v>
      </c>
      <c r="I13" s="28">
        <v>6500</v>
      </c>
      <c r="J13" s="28">
        <v>7475</v>
      </c>
      <c r="K13" s="28">
        <v>9717.5</v>
      </c>
      <c r="L13" s="29"/>
      <c r="M13" s="29"/>
      <c r="N13" s="29"/>
      <c r="T13" t="s">
        <v>451</v>
      </c>
      <c r="U13" t="s">
        <v>521</v>
      </c>
    </row>
    <row r="14" spans="1:21" ht="15.75" thickBot="1" x14ac:dyDescent="0.3">
      <c r="A14" s="3" t="s">
        <v>22</v>
      </c>
      <c r="B14" s="3">
        <f>VLOOKUP('Справочная информация'!A14,Склад!$A$3:$H$8,8,0)</f>
        <v>350</v>
      </c>
      <c r="C14" s="17">
        <f t="shared" si="0"/>
        <v>0.12759752096244986</v>
      </c>
      <c r="D14" s="3">
        <f t="shared" si="1"/>
        <v>120514.58257382427</v>
      </c>
      <c r="E14" s="3">
        <f t="shared" si="2"/>
        <v>344.33</v>
      </c>
      <c r="H14" s="27" t="s">
        <v>22</v>
      </c>
      <c r="I14" s="28">
        <v>3000</v>
      </c>
      <c r="J14" s="28">
        <v>3450</v>
      </c>
      <c r="K14" s="28">
        <v>4485</v>
      </c>
      <c r="L14" s="29"/>
      <c r="M14" s="29"/>
      <c r="N14" s="29"/>
      <c r="T14" t="s">
        <v>457</v>
      </c>
      <c r="U14" t="s">
        <v>466</v>
      </c>
    </row>
    <row r="15" spans="1:21" ht="15.75" thickBot="1" x14ac:dyDescent="0.3">
      <c r="A15" s="3" t="s">
        <v>37</v>
      </c>
      <c r="B15" s="3">
        <f>VLOOKUP('Справочная информация'!A15,Склад!$A$3:$H$8,8,0)</f>
        <v>325</v>
      </c>
      <c r="C15" s="17">
        <f t="shared" si="0"/>
        <v>0.11848341232227488</v>
      </c>
      <c r="D15" s="3">
        <f t="shared" si="1"/>
        <v>111906.3981042654</v>
      </c>
      <c r="E15" s="3">
        <f t="shared" si="2"/>
        <v>344.33</v>
      </c>
      <c r="H15" s="27" t="s">
        <v>37</v>
      </c>
      <c r="I15" s="28">
        <v>4500</v>
      </c>
      <c r="J15" s="28">
        <v>5175</v>
      </c>
      <c r="K15" s="28">
        <v>6727.5</v>
      </c>
      <c r="L15" s="29"/>
      <c r="M15" s="29"/>
      <c r="N15" s="29"/>
      <c r="T15" t="s">
        <v>458</v>
      </c>
      <c r="U15" t="s">
        <v>468</v>
      </c>
    </row>
    <row r="16" spans="1:21" ht="15.75" thickBot="1" x14ac:dyDescent="0.3">
      <c r="A16" s="3" t="s">
        <v>17</v>
      </c>
      <c r="B16" s="3">
        <f>VLOOKUP('Справочная информация'!A16,Склад!$A$3:$H$8,8,0)</f>
        <v>306</v>
      </c>
      <c r="C16" s="17">
        <f t="shared" si="0"/>
        <v>0.11155668975574189</v>
      </c>
      <c r="D16" s="3">
        <f t="shared" si="1"/>
        <v>105364.17790740065</v>
      </c>
      <c r="E16" s="3">
        <f t="shared" si="2"/>
        <v>344.33</v>
      </c>
      <c r="H16" s="27" t="s">
        <v>17</v>
      </c>
      <c r="I16" s="28">
        <v>4500</v>
      </c>
      <c r="J16" s="28">
        <v>5175</v>
      </c>
      <c r="K16" s="28">
        <v>6727.5</v>
      </c>
      <c r="L16" s="29"/>
      <c r="M16" s="29"/>
      <c r="N16" s="29"/>
      <c r="T16" t="s">
        <v>456</v>
      </c>
      <c r="U16" t="s">
        <v>465</v>
      </c>
    </row>
    <row r="17" spans="1:21" ht="15.75" thickBot="1" x14ac:dyDescent="0.3">
      <c r="A17" s="3" t="s">
        <v>15</v>
      </c>
      <c r="B17" s="3">
        <f>VLOOKUP('Справочная информация'!A17,Склад!$A$3:$H$8,8,0)</f>
        <v>212</v>
      </c>
      <c r="C17" s="17">
        <f t="shared" si="0"/>
        <v>7.7287641268683926E-2</v>
      </c>
      <c r="D17" s="3">
        <f t="shared" si="1"/>
        <v>72997.404301859278</v>
      </c>
      <c r="E17" s="3">
        <f t="shared" si="2"/>
        <v>344.33</v>
      </c>
      <c r="H17" s="27" t="s">
        <v>15</v>
      </c>
      <c r="I17" s="28">
        <v>6000</v>
      </c>
      <c r="J17" s="28">
        <v>6900</v>
      </c>
      <c r="K17" s="28">
        <v>8970</v>
      </c>
      <c r="L17" s="29"/>
      <c r="M17" s="29"/>
      <c r="N17" s="29"/>
      <c r="T17" t="s">
        <v>455</v>
      </c>
      <c r="U17" t="s">
        <v>467</v>
      </c>
    </row>
    <row r="18" spans="1:21" ht="15.75" thickBot="1" x14ac:dyDescent="0.3">
      <c r="A18" s="3" t="s">
        <v>522</v>
      </c>
      <c r="B18" s="3">
        <f>SUM(B12:B17)</f>
        <v>2743</v>
      </c>
      <c r="C18" s="3"/>
      <c r="D18" s="3"/>
      <c r="E18" s="3"/>
      <c r="H18" s="30" t="s">
        <v>515</v>
      </c>
      <c r="I18" s="31">
        <v>30000</v>
      </c>
      <c r="J18" s="31">
        <v>34500</v>
      </c>
      <c r="K18" s="31">
        <v>44850</v>
      </c>
      <c r="L18" s="32">
        <v>0</v>
      </c>
      <c r="M18" s="32">
        <v>0</v>
      </c>
      <c r="N18" s="32">
        <v>0</v>
      </c>
    </row>
    <row r="19" spans="1:21" ht="15.75" thickBot="1" x14ac:dyDescent="0.3">
      <c r="H19" s="27" t="s">
        <v>523</v>
      </c>
      <c r="I19" s="58" t="s">
        <v>507</v>
      </c>
      <c r="J19" s="58" t="s">
        <v>508</v>
      </c>
      <c r="K19" s="58" t="s">
        <v>509</v>
      </c>
      <c r="L19" s="58" t="s">
        <v>510</v>
      </c>
      <c r="M19" s="58" t="s">
        <v>511</v>
      </c>
      <c r="N19" s="58" t="s">
        <v>512</v>
      </c>
    </row>
    <row r="20" spans="1:21" ht="15.75" thickBot="1" x14ac:dyDescent="0.3">
      <c r="H20" s="27" t="s">
        <v>5</v>
      </c>
      <c r="I20" s="28">
        <v>2000</v>
      </c>
      <c r="J20" s="28">
        <v>2300</v>
      </c>
      <c r="K20" s="28">
        <v>2990</v>
      </c>
      <c r="L20" s="29"/>
      <c r="M20" s="29"/>
      <c r="N20" s="29"/>
    </row>
    <row r="21" spans="1:21" ht="15.75" thickBot="1" x14ac:dyDescent="0.3">
      <c r="A21" s="3" t="s">
        <v>5</v>
      </c>
      <c r="B21" s="20">
        <v>1.5</v>
      </c>
      <c r="H21" s="27" t="s">
        <v>8</v>
      </c>
      <c r="I21" s="28">
        <v>2500</v>
      </c>
      <c r="J21" s="28">
        <v>2875</v>
      </c>
      <c r="K21" s="28">
        <v>3737.5</v>
      </c>
      <c r="L21" s="29"/>
      <c r="M21" s="29"/>
      <c r="N21" s="29"/>
    </row>
    <row r="22" spans="1:21" ht="15.75" thickBot="1" x14ac:dyDescent="0.3">
      <c r="A22" s="3" t="s">
        <v>8</v>
      </c>
      <c r="B22" s="20">
        <v>1.4</v>
      </c>
      <c r="H22" s="27" t="s">
        <v>22</v>
      </c>
      <c r="I22" s="28">
        <v>2000</v>
      </c>
      <c r="J22" s="28">
        <v>2300</v>
      </c>
      <c r="K22" s="28">
        <v>2990</v>
      </c>
      <c r="L22" s="29"/>
      <c r="M22" s="29"/>
      <c r="N22" s="29"/>
      <c r="Q22" s="23"/>
    </row>
    <row r="23" spans="1:21" ht="15.75" thickBot="1" x14ac:dyDescent="0.3">
      <c r="A23" s="3" t="s">
        <v>22</v>
      </c>
      <c r="B23" s="20">
        <v>1.5</v>
      </c>
      <c r="H23" s="27" t="s">
        <v>37</v>
      </c>
      <c r="I23" s="28">
        <v>1500</v>
      </c>
      <c r="J23" s="28">
        <v>1725</v>
      </c>
      <c r="K23" s="28">
        <v>2242.5</v>
      </c>
      <c r="L23" s="29"/>
      <c r="M23" s="29"/>
      <c r="N23" s="29"/>
      <c r="Q23" s="26"/>
    </row>
    <row r="24" spans="1:21" ht="15.75" thickBot="1" x14ac:dyDescent="0.3">
      <c r="A24" s="3" t="s">
        <v>37</v>
      </c>
      <c r="B24" s="20">
        <v>1.5</v>
      </c>
      <c r="H24" s="27" t="s">
        <v>17</v>
      </c>
      <c r="I24" s="28">
        <v>2500</v>
      </c>
      <c r="J24" s="28">
        <v>2875</v>
      </c>
      <c r="K24" s="28">
        <v>3737.5</v>
      </c>
      <c r="L24" s="29"/>
      <c r="M24" s="29"/>
      <c r="N24" s="29"/>
      <c r="Q24" s="23"/>
    </row>
    <row r="25" spans="1:21" ht="15.75" thickBot="1" x14ac:dyDescent="0.3">
      <c r="A25" s="3" t="s">
        <v>17</v>
      </c>
      <c r="B25" s="20">
        <v>1.5</v>
      </c>
      <c r="H25" s="27" t="s">
        <v>15</v>
      </c>
      <c r="I25" s="28">
        <v>4500</v>
      </c>
      <c r="J25" s="28">
        <v>5175</v>
      </c>
      <c r="K25" s="28">
        <v>6727.5</v>
      </c>
      <c r="L25" s="29"/>
      <c r="M25" s="29"/>
      <c r="N25" s="29"/>
      <c r="Q25" s="26"/>
    </row>
    <row r="26" spans="1:21" ht="15.75" thickBot="1" x14ac:dyDescent="0.3">
      <c r="A26" s="3" t="s">
        <v>15</v>
      </c>
      <c r="B26" s="20">
        <v>1.7</v>
      </c>
      <c r="H26" s="30" t="s">
        <v>515</v>
      </c>
      <c r="I26" s="31">
        <v>15000</v>
      </c>
      <c r="J26" s="31">
        <v>17250</v>
      </c>
      <c r="K26" s="31">
        <v>22425</v>
      </c>
      <c r="L26" s="32">
        <v>0</v>
      </c>
      <c r="M26" s="32">
        <v>0</v>
      </c>
      <c r="N26" s="32">
        <v>0</v>
      </c>
      <c r="Q26" s="23"/>
    </row>
    <row r="27" spans="1:21" x14ac:dyDescent="0.25">
      <c r="B27" s="36"/>
      <c r="H27" s="37"/>
      <c r="I27" s="38"/>
      <c r="J27" s="38"/>
      <c r="K27" s="38"/>
      <c r="L27" s="37"/>
      <c r="M27" s="37"/>
      <c r="N27" s="37"/>
      <c r="Q27" s="26"/>
    </row>
    <row r="28" spans="1:21" ht="15.75" thickBot="1" x14ac:dyDescent="0.3">
      <c r="Q28" s="23"/>
    </row>
    <row r="29" spans="1:21" ht="45" x14ac:dyDescent="0.25">
      <c r="A29" s="39"/>
      <c r="B29" s="90"/>
      <c r="C29" s="90"/>
      <c r="D29" s="90"/>
      <c r="E29" s="90"/>
      <c r="F29" s="90"/>
      <c r="G29" s="90"/>
      <c r="H29" s="42" t="s">
        <v>502</v>
      </c>
      <c r="I29" s="85" t="s">
        <v>503</v>
      </c>
      <c r="J29" s="85"/>
      <c r="K29" s="85"/>
      <c r="L29" s="85"/>
      <c r="M29" s="85"/>
      <c r="N29" s="86"/>
      <c r="Q29" s="26"/>
    </row>
    <row r="30" spans="1:21" ht="30.75" thickBot="1" x14ac:dyDescent="0.3">
      <c r="A30" s="40"/>
      <c r="B30" s="90"/>
      <c r="C30" s="90"/>
      <c r="D30" s="90"/>
      <c r="E30" s="90"/>
      <c r="F30" s="90"/>
      <c r="G30" s="90"/>
      <c r="H30" s="43" t="s">
        <v>2</v>
      </c>
      <c r="I30" s="88"/>
      <c r="J30" s="88"/>
      <c r="K30" s="88"/>
      <c r="L30" s="88"/>
      <c r="M30" s="88"/>
      <c r="N30" s="89"/>
      <c r="Q30" s="23"/>
    </row>
    <row r="31" spans="1:21" ht="15.75" thickBot="1" x14ac:dyDescent="0.3">
      <c r="A31" s="59"/>
      <c r="B31" s="59"/>
      <c r="C31" s="59"/>
      <c r="D31" s="59"/>
      <c r="E31" s="59"/>
      <c r="F31" s="59"/>
      <c r="G31" s="59"/>
      <c r="H31" s="44" t="s">
        <v>420</v>
      </c>
      <c r="I31" s="58" t="s">
        <v>507</v>
      </c>
      <c r="J31" s="58" t="s">
        <v>508</v>
      </c>
      <c r="K31" s="58" t="s">
        <v>509</v>
      </c>
      <c r="L31" s="58" t="s">
        <v>510</v>
      </c>
      <c r="M31" s="58" t="s">
        <v>511</v>
      </c>
      <c r="N31" s="58" t="s">
        <v>512</v>
      </c>
    </row>
    <row r="32" spans="1:21" ht="15.75" thickBot="1" x14ac:dyDescent="0.3">
      <c r="A32" s="59"/>
      <c r="B32" s="41"/>
      <c r="C32" s="41"/>
      <c r="D32" s="41"/>
      <c r="E32" s="59"/>
      <c r="F32" s="59"/>
      <c r="G32" s="59"/>
      <c r="H32" s="44" t="s">
        <v>5</v>
      </c>
      <c r="I32" s="28">
        <v>3000</v>
      </c>
      <c r="J32" s="28">
        <v>3450</v>
      </c>
      <c r="K32" s="28">
        <v>4485</v>
      </c>
      <c r="L32" s="58">
        <v>0</v>
      </c>
      <c r="M32" s="58">
        <v>0</v>
      </c>
      <c r="N32" s="58">
        <v>0</v>
      </c>
    </row>
    <row r="33" spans="1:18" ht="15.75" thickBot="1" x14ac:dyDescent="0.3">
      <c r="A33" s="59"/>
      <c r="B33" s="41"/>
      <c r="C33" s="41"/>
      <c r="D33" s="41"/>
      <c r="E33" s="59"/>
      <c r="F33" s="59"/>
      <c r="G33" s="59"/>
      <c r="H33" s="44" t="s">
        <v>8</v>
      </c>
      <c r="I33" s="28">
        <v>4200</v>
      </c>
      <c r="J33" s="28">
        <v>4830</v>
      </c>
      <c r="K33" s="28">
        <v>6279</v>
      </c>
      <c r="L33" s="58">
        <v>0</v>
      </c>
      <c r="M33" s="58">
        <v>0</v>
      </c>
      <c r="N33" s="58">
        <v>0</v>
      </c>
    </row>
    <row r="34" spans="1:18" ht="15.75" thickBot="1" x14ac:dyDescent="0.3">
      <c r="A34" s="59"/>
      <c r="B34" s="41"/>
      <c r="C34" s="41"/>
      <c r="D34" s="41"/>
      <c r="E34" s="59"/>
      <c r="F34" s="59"/>
      <c r="G34" s="59"/>
      <c r="H34" s="44" t="s">
        <v>22</v>
      </c>
      <c r="I34" s="28">
        <v>1200</v>
      </c>
      <c r="J34" s="28">
        <v>1380</v>
      </c>
      <c r="K34" s="28">
        <v>1794</v>
      </c>
      <c r="L34" s="58">
        <v>0</v>
      </c>
      <c r="M34" s="58">
        <v>0</v>
      </c>
      <c r="N34" s="58">
        <v>0</v>
      </c>
    </row>
    <row r="35" spans="1:18" ht="15.75" thickBot="1" x14ac:dyDescent="0.3">
      <c r="A35" s="59"/>
      <c r="B35" s="41"/>
      <c r="C35" s="41"/>
      <c r="D35" s="41"/>
      <c r="E35" s="59"/>
      <c r="F35" s="59"/>
      <c r="G35" s="59"/>
      <c r="H35" s="44" t="s">
        <v>37</v>
      </c>
      <c r="I35" s="28">
        <v>1800</v>
      </c>
      <c r="J35" s="28">
        <v>2070</v>
      </c>
      <c r="K35" s="28">
        <v>2691</v>
      </c>
      <c r="L35" s="58">
        <v>0</v>
      </c>
      <c r="M35" s="58">
        <v>0</v>
      </c>
      <c r="N35" s="58">
        <v>0</v>
      </c>
    </row>
    <row r="36" spans="1:18" ht="15.75" thickBot="1" x14ac:dyDescent="0.3">
      <c r="A36" s="59"/>
      <c r="B36" s="41"/>
      <c r="C36" s="41"/>
      <c r="D36" s="41"/>
      <c r="E36" s="59"/>
      <c r="F36" s="59"/>
      <c r="G36" s="59"/>
      <c r="H36" s="44" t="s">
        <v>17</v>
      </c>
      <c r="I36" s="28">
        <v>1800</v>
      </c>
      <c r="J36" s="28">
        <v>2070</v>
      </c>
      <c r="K36" s="28">
        <v>2691</v>
      </c>
      <c r="L36" s="58">
        <v>0</v>
      </c>
      <c r="M36" s="58">
        <v>0</v>
      </c>
      <c r="N36" s="58">
        <v>0</v>
      </c>
    </row>
    <row r="37" spans="1:18" ht="15.75" thickBot="1" x14ac:dyDescent="0.3">
      <c r="A37" s="59"/>
      <c r="B37" s="41"/>
      <c r="C37" s="41"/>
      <c r="D37" s="41"/>
      <c r="E37" s="59"/>
      <c r="F37" s="59"/>
      <c r="G37" s="59"/>
      <c r="H37" s="44" t="s">
        <v>15</v>
      </c>
      <c r="I37" s="28">
        <v>3000</v>
      </c>
      <c r="J37" s="28">
        <v>3450</v>
      </c>
      <c r="K37" s="28">
        <v>4485</v>
      </c>
      <c r="L37" s="58">
        <v>0</v>
      </c>
      <c r="M37" s="58">
        <v>0</v>
      </c>
      <c r="N37" s="58">
        <v>0</v>
      </c>
      <c r="Q37" s="22" t="s">
        <v>432</v>
      </c>
      <c r="R37" t="s">
        <v>464</v>
      </c>
    </row>
    <row r="38" spans="1:18" ht="15.75" thickBot="1" x14ac:dyDescent="0.3">
      <c r="A38" s="37"/>
      <c r="B38" s="38"/>
      <c r="C38" s="38"/>
      <c r="D38" s="38"/>
      <c r="E38" s="37"/>
      <c r="F38" s="37"/>
      <c r="G38" s="37"/>
      <c r="H38" s="45" t="s">
        <v>515</v>
      </c>
      <c r="I38" s="31">
        <v>15000</v>
      </c>
      <c r="J38" s="31">
        <v>17250</v>
      </c>
      <c r="K38" s="31">
        <v>22425</v>
      </c>
      <c r="L38" s="32">
        <v>0</v>
      </c>
      <c r="M38" s="32">
        <v>0</v>
      </c>
      <c r="N38" s="32">
        <v>0</v>
      </c>
      <c r="Q38" s="23" t="s">
        <v>457</v>
      </c>
      <c r="R38">
        <v>10594.800000000007</v>
      </c>
    </row>
    <row r="39" spans="1:18" ht="15.75" thickBot="1" x14ac:dyDescent="0.3">
      <c r="A39" s="59"/>
      <c r="B39" s="59"/>
      <c r="C39" s="59"/>
      <c r="D39" s="59"/>
      <c r="E39" s="59"/>
      <c r="F39" s="59"/>
      <c r="G39" s="59"/>
      <c r="H39" s="44" t="s">
        <v>418</v>
      </c>
      <c r="I39" s="58" t="s">
        <v>507</v>
      </c>
      <c r="J39" s="58" t="s">
        <v>508</v>
      </c>
      <c r="K39" s="58" t="s">
        <v>509</v>
      </c>
      <c r="L39" s="58" t="s">
        <v>510</v>
      </c>
      <c r="M39" s="58" t="s">
        <v>511</v>
      </c>
      <c r="N39" s="58" t="s">
        <v>512</v>
      </c>
      <c r="Q39" s="26" t="s">
        <v>466</v>
      </c>
      <c r="R39">
        <v>10594.800000000007</v>
      </c>
    </row>
    <row r="40" spans="1:18" ht="15.75" thickBot="1" x14ac:dyDescent="0.3">
      <c r="A40" s="59"/>
      <c r="B40" s="41"/>
      <c r="C40" s="41"/>
      <c r="D40" s="41"/>
      <c r="E40" s="59"/>
      <c r="F40" s="59"/>
      <c r="G40" s="59"/>
      <c r="H40" s="44" t="s">
        <v>5</v>
      </c>
      <c r="I40" s="28">
        <v>2000</v>
      </c>
      <c r="J40" s="28">
        <v>2300</v>
      </c>
      <c r="K40" s="28">
        <v>2990</v>
      </c>
      <c r="L40" s="58">
        <v>0</v>
      </c>
      <c r="M40" s="58">
        <v>0</v>
      </c>
      <c r="N40" s="58">
        <v>0</v>
      </c>
      <c r="Q40" s="23" t="s">
        <v>458</v>
      </c>
      <c r="R40">
        <v>14137.199999999995</v>
      </c>
    </row>
    <row r="41" spans="1:18" ht="15.75" thickBot="1" x14ac:dyDescent="0.3">
      <c r="A41" s="59"/>
      <c r="B41" s="41"/>
      <c r="C41" s="41"/>
      <c r="D41" s="41"/>
      <c r="E41" s="59"/>
      <c r="F41" s="59"/>
      <c r="G41" s="59"/>
      <c r="H41" s="44" t="s">
        <v>8</v>
      </c>
      <c r="I41" s="28">
        <v>2800</v>
      </c>
      <c r="J41" s="28">
        <v>3220</v>
      </c>
      <c r="K41" s="28">
        <v>4186</v>
      </c>
      <c r="L41" s="58">
        <v>0</v>
      </c>
      <c r="M41" s="58">
        <v>0</v>
      </c>
      <c r="N41" s="58">
        <v>0</v>
      </c>
      <c r="Q41" s="26" t="s">
        <v>468</v>
      </c>
      <c r="R41">
        <v>14137.199999999995</v>
      </c>
    </row>
    <row r="42" spans="1:18" ht="15.75" thickBot="1" x14ac:dyDescent="0.3">
      <c r="A42" s="59"/>
      <c r="B42" s="59"/>
      <c r="C42" s="59"/>
      <c r="D42" s="41"/>
      <c r="E42" s="59"/>
      <c r="F42" s="59"/>
      <c r="G42" s="59"/>
      <c r="H42" s="44" t="s">
        <v>22</v>
      </c>
      <c r="I42" s="58">
        <v>800</v>
      </c>
      <c r="J42" s="58">
        <v>920</v>
      </c>
      <c r="K42" s="28">
        <v>1196</v>
      </c>
      <c r="L42" s="58">
        <v>0</v>
      </c>
      <c r="M42" s="58">
        <v>0</v>
      </c>
      <c r="N42" s="58">
        <v>0</v>
      </c>
      <c r="Q42" s="23" t="s">
        <v>456</v>
      </c>
      <c r="R42">
        <v>12234.749999999985</v>
      </c>
    </row>
    <row r="43" spans="1:18" ht="15.75" thickBot="1" x14ac:dyDescent="0.3">
      <c r="A43" s="59"/>
      <c r="B43" s="41"/>
      <c r="C43" s="41"/>
      <c r="D43" s="41"/>
      <c r="E43" s="59"/>
      <c r="F43" s="59"/>
      <c r="G43" s="59"/>
      <c r="H43" s="44" t="s">
        <v>37</v>
      </c>
      <c r="I43" s="28">
        <v>1200</v>
      </c>
      <c r="J43" s="28">
        <v>1380</v>
      </c>
      <c r="K43" s="28">
        <v>1794</v>
      </c>
      <c r="L43" s="58">
        <v>0</v>
      </c>
      <c r="M43" s="58">
        <v>0</v>
      </c>
      <c r="N43" s="58">
        <v>0</v>
      </c>
      <c r="Q43" s="26" t="s">
        <v>465</v>
      </c>
      <c r="R43">
        <v>12234.749999999985</v>
      </c>
    </row>
    <row r="44" spans="1:18" ht="15.75" thickBot="1" x14ac:dyDescent="0.3">
      <c r="A44" s="59"/>
      <c r="B44" s="41"/>
      <c r="C44" s="41"/>
      <c r="D44" s="41"/>
      <c r="E44" s="59"/>
      <c r="F44" s="59"/>
      <c r="G44" s="59"/>
      <c r="H44" s="44" t="s">
        <v>17</v>
      </c>
      <c r="I44" s="28">
        <v>1200</v>
      </c>
      <c r="J44" s="28">
        <v>1380</v>
      </c>
      <c r="K44" s="28">
        <v>1794</v>
      </c>
      <c r="L44" s="58">
        <v>0</v>
      </c>
      <c r="M44" s="58">
        <v>0</v>
      </c>
      <c r="N44" s="58">
        <v>0</v>
      </c>
      <c r="Q44" s="23" t="s">
        <v>455</v>
      </c>
      <c r="R44">
        <v>20979.600000000035</v>
      </c>
    </row>
    <row r="45" spans="1:18" ht="15.75" thickBot="1" x14ac:dyDescent="0.3">
      <c r="A45" s="59"/>
      <c r="B45" s="41"/>
      <c r="C45" s="41"/>
      <c r="D45" s="41"/>
      <c r="E45" s="59"/>
      <c r="F45" s="59"/>
      <c r="G45" s="59"/>
      <c r="H45" s="44" t="s">
        <v>15</v>
      </c>
      <c r="I45" s="28">
        <v>2000</v>
      </c>
      <c r="J45" s="28">
        <v>2300</v>
      </c>
      <c r="K45" s="28">
        <v>2990</v>
      </c>
      <c r="L45" s="58">
        <v>0</v>
      </c>
      <c r="M45" s="58">
        <v>0</v>
      </c>
      <c r="N45" s="58">
        <v>0</v>
      </c>
      <c r="Q45" s="26" t="s">
        <v>467</v>
      </c>
      <c r="R45">
        <v>20979.600000000035</v>
      </c>
    </row>
    <row r="46" spans="1:18" ht="15.75" thickBot="1" x14ac:dyDescent="0.3">
      <c r="A46" s="37"/>
      <c r="B46" s="38"/>
      <c r="C46" s="38"/>
      <c r="D46" s="38"/>
      <c r="E46" s="37"/>
      <c r="F46" s="37"/>
      <c r="G46" s="37"/>
      <c r="H46" s="45" t="s">
        <v>515</v>
      </c>
      <c r="I46" s="31">
        <v>10000</v>
      </c>
      <c r="J46" s="31">
        <v>11500</v>
      </c>
      <c r="K46" s="31">
        <v>14950</v>
      </c>
      <c r="L46" s="32">
        <v>0</v>
      </c>
      <c r="M46" s="32">
        <v>0</v>
      </c>
      <c r="N46" s="32">
        <v>0</v>
      </c>
      <c r="Q46" s="23" t="s">
        <v>444</v>
      </c>
      <c r="R46">
        <v>57946.349999999824</v>
      </c>
    </row>
    <row r="47" spans="1:18" ht="15.75" thickBot="1" x14ac:dyDescent="0.3">
      <c r="A47" s="59"/>
      <c r="B47" s="59"/>
      <c r="C47" s="59"/>
      <c r="D47" s="59"/>
      <c r="E47" s="59"/>
      <c r="F47" s="59"/>
      <c r="G47" s="59"/>
      <c r="H47" s="44" t="s">
        <v>421</v>
      </c>
      <c r="I47" s="58" t="s">
        <v>507</v>
      </c>
      <c r="J47" s="58" t="s">
        <v>508</v>
      </c>
      <c r="K47" s="58" t="s">
        <v>509</v>
      </c>
      <c r="L47" s="58" t="s">
        <v>510</v>
      </c>
      <c r="M47" s="58" t="s">
        <v>511</v>
      </c>
      <c r="N47" s="58" t="s">
        <v>512</v>
      </c>
    </row>
    <row r="48" spans="1:18" ht="15.75" thickBot="1" x14ac:dyDescent="0.3">
      <c r="A48" s="59"/>
      <c r="B48" s="41"/>
      <c r="C48" s="41"/>
      <c r="D48" s="41"/>
      <c r="E48" s="59"/>
      <c r="F48" s="59"/>
      <c r="G48" s="59"/>
      <c r="H48" s="44" t="s">
        <v>5</v>
      </c>
      <c r="I48" s="28">
        <v>3300</v>
      </c>
      <c r="J48" s="28">
        <v>3795</v>
      </c>
      <c r="K48" s="28">
        <v>4933.5</v>
      </c>
      <c r="L48" s="58">
        <v>0</v>
      </c>
      <c r="M48" s="58">
        <v>0</v>
      </c>
      <c r="N48" s="58">
        <v>0</v>
      </c>
    </row>
    <row r="49" spans="1:14" ht="15.75" thickBot="1" x14ac:dyDescent="0.3">
      <c r="A49" s="59"/>
      <c r="B49" s="41"/>
      <c r="C49" s="41"/>
      <c r="D49" s="41"/>
      <c r="E49" s="59"/>
      <c r="F49" s="59"/>
      <c r="G49" s="59"/>
      <c r="H49" s="44" t="s">
        <v>8</v>
      </c>
      <c r="I49" s="28">
        <v>3900</v>
      </c>
      <c r="J49" s="28">
        <v>4485</v>
      </c>
      <c r="K49" s="28">
        <v>5830.5</v>
      </c>
      <c r="L49" s="58">
        <v>0</v>
      </c>
      <c r="M49" s="58">
        <v>0</v>
      </c>
      <c r="N49" s="58">
        <v>0</v>
      </c>
    </row>
    <row r="50" spans="1:14" ht="15.75" thickBot="1" x14ac:dyDescent="0.3">
      <c r="A50" s="59"/>
      <c r="B50" s="41"/>
      <c r="C50" s="41"/>
      <c r="D50" s="41"/>
      <c r="E50" s="59"/>
      <c r="F50" s="59"/>
      <c r="G50" s="59"/>
      <c r="H50" s="44" t="s">
        <v>22</v>
      </c>
      <c r="I50" s="28">
        <v>1800</v>
      </c>
      <c r="J50" s="28">
        <v>2070</v>
      </c>
      <c r="K50" s="28">
        <v>2691</v>
      </c>
      <c r="L50" s="58">
        <v>0</v>
      </c>
      <c r="M50" s="58">
        <v>0</v>
      </c>
      <c r="N50" s="58">
        <v>0</v>
      </c>
    </row>
    <row r="51" spans="1:14" ht="15.75" thickBot="1" x14ac:dyDescent="0.3">
      <c r="A51" s="59"/>
      <c r="B51" s="41"/>
      <c r="C51" s="41"/>
      <c r="D51" s="41"/>
      <c r="E51" s="59"/>
      <c r="F51" s="59"/>
      <c r="G51" s="59"/>
      <c r="H51" s="44" t="s">
        <v>37</v>
      </c>
      <c r="I51" s="28">
        <v>2700</v>
      </c>
      <c r="J51" s="28">
        <v>3105</v>
      </c>
      <c r="K51" s="28">
        <v>4036.5</v>
      </c>
      <c r="L51" s="58">
        <v>0</v>
      </c>
      <c r="M51" s="58">
        <v>0</v>
      </c>
      <c r="N51" s="58">
        <v>0</v>
      </c>
    </row>
    <row r="52" spans="1:14" ht="15.75" thickBot="1" x14ac:dyDescent="0.3">
      <c r="A52" s="59"/>
      <c r="B52" s="41"/>
      <c r="C52" s="41"/>
      <c r="D52" s="41"/>
      <c r="E52" s="59"/>
      <c r="F52" s="59"/>
      <c r="G52" s="59"/>
      <c r="H52" s="44" t="s">
        <v>17</v>
      </c>
      <c r="I52" s="28">
        <v>2700</v>
      </c>
      <c r="J52" s="28">
        <v>3105</v>
      </c>
      <c r="K52" s="28">
        <v>4036.5</v>
      </c>
      <c r="L52" s="58">
        <v>0</v>
      </c>
      <c r="M52" s="58">
        <v>0</v>
      </c>
      <c r="N52" s="58">
        <v>0</v>
      </c>
    </row>
    <row r="53" spans="1:14" ht="15.75" thickBot="1" x14ac:dyDescent="0.3">
      <c r="A53" s="59"/>
      <c r="B53" s="41"/>
      <c r="C53" s="41"/>
      <c r="D53" s="41"/>
      <c r="E53" s="59"/>
      <c r="F53" s="59"/>
      <c r="G53" s="59"/>
      <c r="H53" s="44" t="s">
        <v>15</v>
      </c>
      <c r="I53" s="28">
        <v>3600</v>
      </c>
      <c r="J53" s="28">
        <v>4140</v>
      </c>
      <c r="K53" s="28">
        <v>5382</v>
      </c>
      <c r="L53" s="58">
        <v>0</v>
      </c>
      <c r="M53" s="58">
        <v>0</v>
      </c>
      <c r="N53" s="58">
        <v>0</v>
      </c>
    </row>
    <row r="54" spans="1:14" ht="15.75" thickBot="1" x14ac:dyDescent="0.3">
      <c r="A54" s="37"/>
      <c r="B54" s="38"/>
      <c r="C54" s="38"/>
      <c r="D54" s="38"/>
      <c r="E54" s="37"/>
      <c r="F54" s="37"/>
      <c r="G54" s="37"/>
      <c r="H54" s="45" t="s">
        <v>515</v>
      </c>
      <c r="I54" s="31">
        <v>18000</v>
      </c>
      <c r="J54" s="31">
        <v>20700</v>
      </c>
      <c r="K54" s="31">
        <v>26910</v>
      </c>
      <c r="L54" s="32">
        <v>0</v>
      </c>
      <c r="M54" s="32">
        <v>0</v>
      </c>
      <c r="N54" s="32">
        <v>0</v>
      </c>
    </row>
    <row r="55" spans="1:14" ht="15.75" thickBot="1" x14ac:dyDescent="0.3">
      <c r="A55" s="59"/>
      <c r="B55" s="59"/>
      <c r="C55" s="59"/>
      <c r="D55" s="59"/>
      <c r="E55" s="59"/>
      <c r="F55" s="59"/>
      <c r="G55" s="59"/>
      <c r="H55" s="44" t="s">
        <v>419</v>
      </c>
      <c r="I55" s="58" t="s">
        <v>507</v>
      </c>
      <c r="J55" s="58" t="s">
        <v>508</v>
      </c>
      <c r="K55" s="58" t="s">
        <v>509</v>
      </c>
      <c r="L55" s="58" t="s">
        <v>510</v>
      </c>
      <c r="M55" s="58" t="s">
        <v>511</v>
      </c>
      <c r="N55" s="58" t="s">
        <v>512</v>
      </c>
    </row>
    <row r="56" spans="1:14" ht="15.75" thickBot="1" x14ac:dyDescent="0.3">
      <c r="A56" s="59"/>
      <c r="B56" s="41"/>
      <c r="C56" s="41"/>
      <c r="D56" s="41"/>
      <c r="E56" s="59"/>
      <c r="F56" s="59"/>
      <c r="G56" s="59"/>
      <c r="H56" s="44" t="s">
        <v>5</v>
      </c>
      <c r="I56" s="28">
        <v>2200</v>
      </c>
      <c r="J56" s="28">
        <v>2530</v>
      </c>
      <c r="K56" s="28">
        <v>3289</v>
      </c>
      <c r="L56" s="58">
        <v>0</v>
      </c>
      <c r="M56" s="58">
        <v>0</v>
      </c>
      <c r="N56" s="58">
        <v>0</v>
      </c>
    </row>
    <row r="57" spans="1:14" ht="15.75" thickBot="1" x14ac:dyDescent="0.3">
      <c r="A57" s="59"/>
      <c r="B57" s="41"/>
      <c r="C57" s="41"/>
      <c r="D57" s="41"/>
      <c r="E57" s="59"/>
      <c r="F57" s="59"/>
      <c r="G57" s="59"/>
      <c r="H57" s="44" t="s">
        <v>8</v>
      </c>
      <c r="I57" s="28">
        <v>2600</v>
      </c>
      <c r="J57" s="28">
        <v>2990</v>
      </c>
      <c r="K57" s="28">
        <v>3887</v>
      </c>
      <c r="L57" s="58">
        <v>0</v>
      </c>
      <c r="M57" s="58">
        <v>0</v>
      </c>
      <c r="N57" s="58">
        <v>0</v>
      </c>
    </row>
    <row r="58" spans="1:14" ht="15.75" thickBot="1" x14ac:dyDescent="0.3">
      <c r="A58" s="59"/>
      <c r="B58" s="41"/>
      <c r="C58" s="41"/>
      <c r="D58" s="41"/>
      <c r="E58" s="59"/>
      <c r="F58" s="59"/>
      <c r="G58" s="59"/>
      <c r="H58" s="44" t="s">
        <v>22</v>
      </c>
      <c r="I58" s="28">
        <v>1200</v>
      </c>
      <c r="J58" s="28">
        <v>1380</v>
      </c>
      <c r="K58" s="28">
        <v>1794</v>
      </c>
      <c r="L58" s="58">
        <v>0</v>
      </c>
      <c r="M58" s="58">
        <v>0</v>
      </c>
      <c r="N58" s="58">
        <v>0</v>
      </c>
    </row>
    <row r="59" spans="1:14" ht="15.75" thickBot="1" x14ac:dyDescent="0.3">
      <c r="A59" s="59"/>
      <c r="B59" s="41"/>
      <c r="C59" s="41"/>
      <c r="D59" s="41"/>
      <c r="E59" s="59"/>
      <c r="F59" s="59"/>
      <c r="G59" s="59"/>
      <c r="H59" s="44" t="s">
        <v>37</v>
      </c>
      <c r="I59" s="28">
        <v>1800</v>
      </c>
      <c r="J59" s="28">
        <v>2070</v>
      </c>
      <c r="K59" s="28">
        <v>2691</v>
      </c>
      <c r="L59" s="58">
        <v>0</v>
      </c>
      <c r="M59" s="58">
        <v>0</v>
      </c>
      <c r="N59" s="58">
        <v>0</v>
      </c>
    </row>
    <row r="60" spans="1:14" ht="15.75" thickBot="1" x14ac:dyDescent="0.3">
      <c r="A60" s="59"/>
      <c r="B60" s="41"/>
      <c r="C60" s="41"/>
      <c r="D60" s="41"/>
      <c r="E60" s="59"/>
      <c r="F60" s="59"/>
      <c r="G60" s="59"/>
      <c r="H60" s="44" t="s">
        <v>17</v>
      </c>
      <c r="I60" s="28">
        <v>1800</v>
      </c>
      <c r="J60" s="28">
        <v>2070</v>
      </c>
      <c r="K60" s="28">
        <v>2691</v>
      </c>
      <c r="L60" s="58">
        <v>0</v>
      </c>
      <c r="M60" s="58">
        <v>0</v>
      </c>
      <c r="N60" s="58">
        <v>0</v>
      </c>
    </row>
    <row r="61" spans="1:14" ht="15.75" thickBot="1" x14ac:dyDescent="0.3">
      <c r="A61" s="59"/>
      <c r="B61" s="41"/>
      <c r="C61" s="41"/>
      <c r="D61" s="41"/>
      <c r="E61" s="59"/>
      <c r="F61" s="59"/>
      <c r="G61" s="59"/>
      <c r="H61" s="44" t="s">
        <v>15</v>
      </c>
      <c r="I61" s="28">
        <v>2400</v>
      </c>
      <c r="J61" s="28">
        <v>2760</v>
      </c>
      <c r="K61" s="28">
        <v>3588</v>
      </c>
      <c r="L61" s="58">
        <v>0</v>
      </c>
      <c r="M61" s="58">
        <v>0</v>
      </c>
      <c r="N61" s="58">
        <v>0</v>
      </c>
    </row>
    <row r="62" spans="1:14" ht="15.75" thickBot="1" x14ac:dyDescent="0.3">
      <c r="A62" s="37"/>
      <c r="B62" s="38"/>
      <c r="C62" s="38"/>
      <c r="D62" s="38"/>
      <c r="E62" s="37"/>
      <c r="F62" s="37"/>
      <c r="G62" s="37"/>
      <c r="H62" s="45" t="s">
        <v>515</v>
      </c>
      <c r="I62" s="31">
        <v>12000</v>
      </c>
      <c r="J62" s="31">
        <v>13800</v>
      </c>
      <c r="K62" s="31">
        <v>17940</v>
      </c>
      <c r="L62" s="32">
        <v>0</v>
      </c>
      <c r="M62" s="32">
        <v>0</v>
      </c>
      <c r="N62" s="32">
        <v>0</v>
      </c>
    </row>
    <row r="63" spans="1:14" ht="15.75" thickBot="1" x14ac:dyDescent="0.3">
      <c r="A63" s="59"/>
      <c r="B63" s="59"/>
      <c r="C63" s="59"/>
      <c r="D63" s="59"/>
      <c r="E63" s="59"/>
      <c r="F63" s="59"/>
      <c r="G63" s="59"/>
      <c r="H63" s="44" t="s">
        <v>422</v>
      </c>
      <c r="I63" s="58" t="s">
        <v>507</v>
      </c>
      <c r="J63" s="58" t="s">
        <v>508</v>
      </c>
      <c r="K63" s="58" t="s">
        <v>509</v>
      </c>
      <c r="L63" s="58" t="s">
        <v>510</v>
      </c>
      <c r="M63" s="58" t="s">
        <v>511</v>
      </c>
      <c r="N63" s="58" t="s">
        <v>512</v>
      </c>
    </row>
    <row r="64" spans="1:14" ht="15.75" thickBot="1" x14ac:dyDescent="0.3">
      <c r="A64" s="59"/>
      <c r="B64" s="41"/>
      <c r="C64" s="41"/>
      <c r="D64" s="41"/>
      <c r="E64" s="59"/>
      <c r="F64" s="59"/>
      <c r="G64" s="59"/>
      <c r="H64" s="44" t="s">
        <v>5</v>
      </c>
      <c r="I64" s="28">
        <v>2000</v>
      </c>
      <c r="J64" s="28">
        <v>2300</v>
      </c>
      <c r="K64" s="28">
        <v>2990</v>
      </c>
      <c r="L64" s="58">
        <v>0</v>
      </c>
      <c r="M64" s="58">
        <v>0</v>
      </c>
      <c r="N64" s="58">
        <v>0</v>
      </c>
    </row>
    <row r="65" spans="1:14" ht="15.75" thickBot="1" x14ac:dyDescent="0.3">
      <c r="A65" s="59"/>
      <c r="B65" s="41"/>
      <c r="C65" s="41"/>
      <c r="D65" s="41"/>
      <c r="E65" s="59"/>
      <c r="F65" s="59"/>
      <c r="G65" s="59"/>
      <c r="H65" s="44" t="s">
        <v>8</v>
      </c>
      <c r="I65" s="28">
        <v>2500</v>
      </c>
      <c r="J65" s="28">
        <v>2875</v>
      </c>
      <c r="K65" s="28">
        <v>3737.5</v>
      </c>
      <c r="L65" s="58">
        <v>0</v>
      </c>
      <c r="M65" s="58">
        <v>0</v>
      </c>
      <c r="N65" s="58">
        <v>0</v>
      </c>
    </row>
    <row r="66" spans="1:14" ht="15.75" thickBot="1" x14ac:dyDescent="0.3">
      <c r="A66" s="59"/>
      <c r="B66" s="41"/>
      <c r="C66" s="41"/>
      <c r="D66" s="41"/>
      <c r="E66" s="59"/>
      <c r="F66" s="59"/>
      <c r="G66" s="59"/>
      <c r="H66" s="44" t="s">
        <v>22</v>
      </c>
      <c r="I66" s="28">
        <v>2000</v>
      </c>
      <c r="J66" s="28">
        <v>2300</v>
      </c>
      <c r="K66" s="28">
        <v>2990</v>
      </c>
      <c r="L66" s="58">
        <v>0</v>
      </c>
      <c r="M66" s="58">
        <v>0</v>
      </c>
      <c r="N66" s="58">
        <v>0</v>
      </c>
    </row>
    <row r="67" spans="1:14" ht="15.75" thickBot="1" x14ac:dyDescent="0.3">
      <c r="A67" s="59"/>
      <c r="B67" s="41"/>
      <c r="C67" s="41"/>
      <c r="D67" s="41"/>
      <c r="E67" s="59"/>
      <c r="F67" s="59"/>
      <c r="G67" s="59"/>
      <c r="H67" s="44" t="s">
        <v>37</v>
      </c>
      <c r="I67" s="28">
        <v>1500</v>
      </c>
      <c r="J67" s="28">
        <v>1725</v>
      </c>
      <c r="K67" s="28">
        <v>2242.5</v>
      </c>
      <c r="L67" s="58">
        <v>0</v>
      </c>
      <c r="M67" s="58">
        <v>0</v>
      </c>
      <c r="N67" s="58">
        <v>0</v>
      </c>
    </row>
    <row r="68" spans="1:14" ht="15.75" thickBot="1" x14ac:dyDescent="0.3">
      <c r="A68" s="59"/>
      <c r="B68" s="41"/>
      <c r="C68" s="41"/>
      <c r="D68" s="41"/>
      <c r="E68" s="59"/>
      <c r="F68" s="59"/>
      <c r="G68" s="59"/>
      <c r="H68" s="44" t="s">
        <v>17</v>
      </c>
      <c r="I68" s="28">
        <v>2500</v>
      </c>
      <c r="J68" s="28">
        <v>2875</v>
      </c>
      <c r="K68" s="28">
        <v>3737.5</v>
      </c>
      <c r="L68" s="58">
        <v>0</v>
      </c>
      <c r="M68" s="58">
        <v>0</v>
      </c>
      <c r="N68" s="58">
        <v>0</v>
      </c>
    </row>
    <row r="69" spans="1:14" ht="15.75" thickBot="1" x14ac:dyDescent="0.3">
      <c r="A69" s="59"/>
      <c r="B69" s="41"/>
      <c r="C69" s="41"/>
      <c r="D69" s="41"/>
      <c r="E69" s="59"/>
      <c r="F69" s="59"/>
      <c r="G69" s="59"/>
      <c r="H69" s="44" t="s">
        <v>15</v>
      </c>
      <c r="I69" s="28">
        <v>4500</v>
      </c>
      <c r="J69" s="28">
        <v>5175</v>
      </c>
      <c r="K69" s="28">
        <v>6727.5</v>
      </c>
      <c r="L69" s="58">
        <v>0</v>
      </c>
      <c r="M69" s="58">
        <v>0</v>
      </c>
      <c r="N69" s="58">
        <v>0</v>
      </c>
    </row>
    <row r="70" spans="1:14" ht="15.75" thickBot="1" x14ac:dyDescent="0.3">
      <c r="A70" s="37"/>
      <c r="B70" s="38"/>
      <c r="C70" s="38"/>
      <c r="D70" s="38"/>
      <c r="E70" s="37"/>
      <c r="F70" s="37"/>
      <c r="G70" s="37"/>
      <c r="H70" s="45" t="s">
        <v>515</v>
      </c>
      <c r="I70" s="31">
        <v>15000</v>
      </c>
      <c r="J70" s="31">
        <v>17250</v>
      </c>
      <c r="K70" s="31">
        <v>22425</v>
      </c>
      <c r="L70" s="32">
        <v>0</v>
      </c>
      <c r="M70" s="32">
        <v>0</v>
      </c>
      <c r="N70" s="32">
        <v>0</v>
      </c>
    </row>
  </sheetData>
  <mergeCells count="3">
    <mergeCell ref="I1:N2"/>
    <mergeCell ref="B29:G30"/>
    <mergeCell ref="I29:N30"/>
  </mergeCells>
  <pageMargins left="0.7" right="0.7" top="0.75" bottom="0.75" header="0.3" footer="0.3"/>
  <pageSetup paperSize="9" orientation="portrait" horizontalDpi="300"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9"/>
  <sheetViews>
    <sheetView zoomScale="95" zoomScaleNormal="95" workbookViewId="0">
      <selection activeCell="C30" sqref="C30"/>
    </sheetView>
  </sheetViews>
  <sheetFormatPr defaultRowHeight="15" x14ac:dyDescent="0.25"/>
  <cols>
    <col min="1" max="1" width="21.7109375" bestFit="1" customWidth="1"/>
    <col min="2" max="2" width="16.85546875" customWidth="1"/>
    <col min="13" max="13" width="17.140625" customWidth="1"/>
  </cols>
  <sheetData>
    <row r="1" spans="1:13" x14ac:dyDescent="0.25">
      <c r="A1" s="67" t="s">
        <v>423</v>
      </c>
      <c r="B1" s="68">
        <v>1</v>
      </c>
      <c r="C1" s="99" t="s">
        <v>503</v>
      </c>
      <c r="D1" s="100"/>
      <c r="E1" s="100"/>
      <c r="F1" s="100"/>
      <c r="G1" s="100"/>
      <c r="H1" s="101"/>
      <c r="K1">
        <v>1</v>
      </c>
      <c r="M1" t="s">
        <v>418</v>
      </c>
    </row>
    <row r="2" spans="1:13" x14ac:dyDescent="0.25">
      <c r="A2" s="69" t="s">
        <v>2</v>
      </c>
      <c r="B2" s="3" t="s">
        <v>524</v>
      </c>
      <c r="C2" s="3" t="s">
        <v>507</v>
      </c>
      <c r="D2" s="3" t="s">
        <v>508</v>
      </c>
      <c r="E2" s="3" t="s">
        <v>509</v>
      </c>
      <c r="F2" s="3" t="s">
        <v>510</v>
      </c>
      <c r="G2" s="3" t="s">
        <v>511</v>
      </c>
      <c r="H2" s="70" t="s">
        <v>512</v>
      </c>
      <c r="K2">
        <v>2</v>
      </c>
      <c r="M2" t="s">
        <v>419</v>
      </c>
    </row>
    <row r="3" spans="1:13" x14ac:dyDescent="0.25">
      <c r="A3" s="95" t="s">
        <v>5</v>
      </c>
      <c r="B3" s="3" t="s">
        <v>472</v>
      </c>
      <c r="C3" s="3">
        <f>IF($B$1='Итоговые таблицы'!$K$1,'Справочная информация'!I4,IF('Итоговые таблицы'!$B$1='Итоговые таблицы'!$K$2,'Справочная информация'!I12,'Справочная информация'!I20))</f>
        <v>5000</v>
      </c>
      <c r="D3" s="3">
        <f>IF($B$1='Итоговые таблицы'!$K$1,'Справочная информация'!J4,IF('Итоговые таблицы'!$B$1='Итоговые таблицы'!$K$2,'Справочная информация'!J12,'Справочная информация'!J20))</f>
        <v>5750</v>
      </c>
      <c r="E3" s="3">
        <f>IF($B$1='Итоговые таблицы'!$K$1,'Справочная информация'!K4,IF('Итоговые таблицы'!$B$1='Итоговые таблицы'!$K$2,'Справочная информация'!K12,'Справочная информация'!K20))</f>
        <v>7475</v>
      </c>
      <c r="F3" s="3">
        <f>IF($B$1='Итоговые таблицы'!$K$1,'Справочная информация'!L4,IF('Итоговые таблицы'!$B$1='Итоговые таблицы'!$K$2,'Справочная информация'!L12,'Справочная информация'!L20))</f>
        <v>0</v>
      </c>
      <c r="G3" s="3">
        <f>IF($B$1='Итоговые таблицы'!$K$1,'Справочная информация'!M4,IF('Итоговые таблицы'!$B$1='Итоговые таблицы'!$K$2,'Справочная информация'!M12,'Справочная информация'!M20))</f>
        <v>0</v>
      </c>
      <c r="H3" s="70">
        <f>IF($B$1='Итоговые таблицы'!$K$1,'Справочная информация'!N4,IF('Итоговые таблицы'!$B$1='Итоговые таблицы'!$K$2,'Справочная информация'!N12,'Справочная информация'!N20))</f>
        <v>0</v>
      </c>
      <c r="K3">
        <v>3</v>
      </c>
      <c r="M3" t="s">
        <v>420</v>
      </c>
    </row>
    <row r="4" spans="1:13" x14ac:dyDescent="0.25">
      <c r="A4" s="96"/>
      <c r="B4" s="3" t="s">
        <v>473</v>
      </c>
      <c r="C4" s="3">
        <f>IF($B$1=$K$1, IFERROR(GETPIVOTDATA("ВЫРУЧКА",'1 id'!$L$3,"Дата продажи (Месяц)","янв","Наименование товара","Товар A"),0), IF('Итоговые таблицы'!$B$1='Итоговые таблицы'!$K$2, IFERROR(GETPIVOTDATA("ВЫРУЧКА",'2 id'!$L$3,"Дата продажи (Месяц)","янв","Наименование товара","Товар A"),0), IF('Итоговые таблицы'!$B$1='Итоговые таблицы'!$K$3, IFERROR(GETPIVOTDATA("ВЫРУЧКА",'3 id'!$L$3,"Дата продажи (Месяц)","янв","Наименование товара","Товар A"),0),0)))</f>
        <v>6096</v>
      </c>
      <c r="D4" s="3">
        <f>IF($B$1=$K$1, IFERROR(GETPIVOTDATA("ВЫРУЧКА",'1 id'!$L$3,"Дата продажи (Месяц)","фев","Наименование товара","Товар A"),0), IF('Итоговые таблицы'!$B$1='Итоговые таблицы'!$K$2, IFERROR(GETPIVOTDATA("ВЫРУЧКА",'2 id'!$L$3,"Дата продажи (Месяц)","фев","Наименование товара","Товар A"),0), IF('Итоговые таблицы'!$B$1='Итоговые таблицы'!$K$3, IFERROR(GETPIVOTDATA("ВЫРУЧКА",'3 id'!$L$3,"Дата продажи (Месяц)","фев","Наименование товара","Товар A"),0),0)))</f>
        <v>6096</v>
      </c>
      <c r="E4" s="3">
        <f>IF($B$1=$K$1, IFERROR(GETPIVOTDATA("ВЫРУЧКА",'1 id'!$L$3,"Дата продажи (Месяц)","мар","Наименование товара","Товар A"),0), IF('Итоговые таблицы'!$B$1='Итоговые таблицы'!$K$2, IFERROR(GETPIVOTDATA("ВЫРУЧКА",'2 id'!$L$3,"Дата продажи (Месяц)","мар","Наименование товара","Товар A"),0), IF('Итоговые таблицы'!$B$1='Итоговые таблицы'!$K$3, IFERROR(GETPIVOTDATA("ВЫРУЧКА",'3 id'!$L$3,"Дата продажи (Месяц)","мар","Наименование товара","Товар A"),0),0)))</f>
        <v>8382</v>
      </c>
      <c r="F4" s="3">
        <f>IF($B$1=$K$1, IFERROR(GETPIVOTDATA("ВЫРУЧКА",'1 id'!$L$3,"Дата продажи (Месяц)","апр","Наименование товара","Товар A"),0), IF('Итоговые таблицы'!$B$1='Итоговые таблицы'!$K$2, IFERROR(GETPIVOTDATA("ВЫРУЧКА",'2 id'!$L$3,"Дата продажи (Месяц)","апр","Наименование товара","Товар A"),0), IF('Итоговые таблицы'!$B$1='Итоговые таблицы'!$K$3, IFERROR(GETPIVOTDATA("ВЫРУЧКА",'3 id'!$L$3,"Дата продажи (Месяц)","апр","Наименование товара","Товар A"),0),0)))</f>
        <v>0</v>
      </c>
      <c r="G4" s="3">
        <f>IF($B$1=$K$1, IFERROR(GETPIVOTDATA("ВЫРУЧКА",'1 id'!$L$3,"Дата продажи (Месяц)","май","Наименование товара","Товар A"),0), IF('Итоговые таблицы'!$B$1='Итоговые таблицы'!$K$2, IFERROR(GETPIVOTDATA("ВЫРУЧКА",'2 id'!$L$3,"Дата продажи (Месяц)","май","Наименование товара","Товар A"),0), IF('Итоговые таблицы'!$B$1='Итоговые таблицы'!$K$3, IFERROR(GETPIVOTDATA("ВЫРУЧКА",'3 id'!$L$3,"Дата продажи (Месяц)","май","Наименование товара","Товар A"),0),0)))</f>
        <v>0</v>
      </c>
      <c r="H4" s="70">
        <f>IF($B$1=$K$1, IFERROR(GETPIVOTDATA("ВЫРУЧКА",'1 id'!$L$3,"Дата продажи (Месяц)","июн","Наименование товара","Товар A"),0), IF('Итоговые таблицы'!$B$1='Итоговые таблицы'!$K$2, IFERROR(GETPIVOTDATA("ВЫРУЧКА",'2 id'!$L$3,"Дата продажи (Месяц)","июн","Наименование товара","Товар A"),0), IF('Итоговые таблицы'!$B$1='Итоговые таблицы'!$K$3, IFERROR(GETPIVOTDATA("ВЫРУЧКА",'3 id'!$L$3,"Дата продажи (Месяц)","июн","Наименование товара","Товар A"),0),0)))</f>
        <v>0</v>
      </c>
      <c r="M4" t="s">
        <v>421</v>
      </c>
    </row>
    <row r="5" spans="1:13" x14ac:dyDescent="0.25">
      <c r="A5" s="97"/>
      <c r="B5" s="3" t="s">
        <v>525</v>
      </c>
      <c r="C5" s="20">
        <f t="shared" ref="C5:H5" si="0">IFERROR(C4/C3*100%-100%,0)</f>
        <v>0.21920000000000006</v>
      </c>
      <c r="D5" s="20">
        <f t="shared" si="0"/>
        <v>6.0173913043478189E-2</v>
      </c>
      <c r="E5" s="20">
        <f t="shared" si="0"/>
        <v>0.1213377926421404</v>
      </c>
      <c r="F5" s="20">
        <f t="shared" si="0"/>
        <v>0</v>
      </c>
      <c r="G5" s="20">
        <f t="shared" si="0"/>
        <v>0</v>
      </c>
      <c r="H5" s="71">
        <f t="shared" si="0"/>
        <v>0</v>
      </c>
      <c r="M5" t="s">
        <v>422</v>
      </c>
    </row>
    <row r="6" spans="1:13" x14ac:dyDescent="0.25">
      <c r="A6" s="95" t="s">
        <v>8</v>
      </c>
      <c r="B6" s="3" t="s">
        <v>472</v>
      </c>
      <c r="C6" s="3">
        <f>IF($B$1='Итоговые таблицы'!$K$1,'Справочная информация'!I5,IF('Итоговые таблицы'!$B$1='Итоговые таблицы'!$K$2,'Справочная информация'!I13,'Справочная информация'!I21))</f>
        <v>7000</v>
      </c>
      <c r="D6" s="3">
        <f>IF($B$1='Итоговые таблицы'!$K$1,'Справочная информация'!J5,IF('Итоговые таблицы'!$B$1='Итоговые таблицы'!$K$2,'Справочная информация'!J13,'Справочная информация'!J21))</f>
        <v>8050</v>
      </c>
      <c r="E6" s="3">
        <f>IF($B$1='Итоговые таблицы'!$K$1,'Справочная информация'!K5,IF('Итоговые таблицы'!$B$1='Итоговые таблицы'!$K$2,'Справочная информация'!K13,'Справочная информация'!K21))</f>
        <v>10465</v>
      </c>
      <c r="F6" s="3">
        <f>IF($B$1='Итоговые таблицы'!$K$1,'Справочная информация'!L5,IF('Итоговые таблицы'!$B$1='Итоговые таблицы'!$K$2,'Справочная информация'!L13,'Справочная информация'!L21))</f>
        <v>0</v>
      </c>
      <c r="G6" s="3">
        <f>IF($B$1='Итоговые таблицы'!$K$1,'Справочная информация'!M5,IF('Итоговые таблицы'!$B$1='Итоговые таблицы'!$K$2,'Справочная информация'!M13,'Справочная информация'!M21))</f>
        <v>0</v>
      </c>
      <c r="H6" s="70">
        <f>IF($B$1='Итоговые таблицы'!$K$1,'Справочная информация'!N5,IF('Итоговые таблицы'!$B$1='Итоговые таблицы'!$K$2,'Справочная информация'!N13,'Справочная информация'!N21))</f>
        <v>0</v>
      </c>
    </row>
    <row r="7" spans="1:13" x14ac:dyDescent="0.25">
      <c r="A7" s="96"/>
      <c r="B7" s="3" t="s">
        <v>473</v>
      </c>
      <c r="C7" s="3">
        <f>IF($B$1=$K$1, IFERROR(GETPIVOTDATA("ВЫРУЧКА",'1 id'!$L$3,"Дата продажи (Месяц)","янв","Наименование товара","Товар B"),0), IF('Итоговые таблицы'!$B$1='Итоговые таблицы'!$K$2, IFERROR(GETPIVOTDATA("ВЫРУЧКА",'2 id'!$L$3,"Дата продажи (Месяц)","янв","Наименование товара","Товар B"),0), IF('Итоговые таблицы'!$B$1='Итоговые таблицы'!$K$3, IFERROR(GETPIVOTDATA("ВЫРУЧКА",'3 id'!$L$3,"Дата продажи (Месяц)","янв","Наименование товара","Товар B"),0),0)))</f>
        <v>11743</v>
      </c>
      <c r="D7" s="3">
        <f>IF($B$1=$K$1, IFERROR(GETPIVOTDATA("ВЫРУЧКА",'1 id'!$L$3,"Дата продажи (Месяц)","фев","Наименование товара","Товар B"),0), IF('Итоговые таблицы'!$B$1='Итоговые таблицы'!$K$2, IFERROR(GETPIVOTDATA("ВЫРУЧКА",'2 id'!$L$3,"Дата продажи (Месяц)","фев","Наименование товара","Товар B"),0), IF('Итоговые таблицы'!$B$1='Итоговые таблицы'!$K$3, IFERROR(GETPIVOTDATA("ВЫРУЧКА",'3 id'!$L$3,"Дата продажи (Месяц)","фев","Наименование товара","Товар B"),0),0)))</f>
        <v>5571</v>
      </c>
      <c r="E7" s="3">
        <f>IF($B$1=$K$1, IFERROR(GETPIVOTDATA("ВЫРУЧКА",'1 id'!$L$3,"Дата продажи (Месяц)","мар","Наименование товара","Товар B"),0), IF('Итоговые таблицы'!$B$1='Итоговые таблицы'!$K$2, IFERROR(GETPIVOTDATA("ВЫРУЧКА",'2 id'!$L$3,"Дата продажи (Месяц)","мар","Наименование товара","Товар B"),0), IF('Итоговые таблицы'!$B$1='Итоговые таблицы'!$K$3, IFERROR(GETPIVOTDATA("ВЫРУЧКА",'3 id'!$L$3,"Дата продажи (Месяц)","мар","Наименование товара","Товар B"),0),0)))</f>
        <v>11100</v>
      </c>
      <c r="F7" s="3">
        <f>IF($B$1=$K$1, IFERROR(GETPIVOTDATA("ВЫРУЧКА",'1 id'!$L$3,"Дата продажи (Месяц)","апр","Наименование товара","Товар B"),0), IF('Итоговые таблицы'!$B$1='Итоговые таблицы'!$K$2, IFERROR(GETPIVOTDATA("ВЫРУЧКА",'2 id'!$L$3,"Дата продажи (Месяц)","апр","Наименование товара","Товар B"),0), IF('Итоговые таблицы'!$B$1='Итоговые таблицы'!$K$3, IFERROR(GETPIVOTDATA("ВЫРУЧКА",'3 id'!$L$3,"Дата продажи (Месяц)","апр","Наименование товара","Товар B"),0),0)))</f>
        <v>0</v>
      </c>
      <c r="G7" s="3">
        <f>IF($B$1=$K$1, IFERROR(GETPIVOTDATA("ВЫРУЧКА",'1 id'!$L$3,"Дата продажи (Месяц)","май","Наименование товара","Товар B"),0), IF('Итоговые таблицы'!$B$1='Итоговые таблицы'!$K$2, IFERROR(GETPIVOTDATA("ВЫРУЧКА",'2 id'!$L$3,"Дата продажи (Месяц)","май","Наименование товара","Товар B"),0), IF('Итоговые таблицы'!$B$1='Итоговые таблицы'!$K$3, IFERROR(GETPIVOTDATA("ВЫРУЧКА",'3 id'!$L$3,"Дата продажи (Месяц)","май","Наименование товара","Товар B"),0),0)))</f>
        <v>0</v>
      </c>
      <c r="H7" s="70">
        <f>IF($B$1=$K$1, IFERROR(GETPIVOTDATA("ВЫРУЧКА",'1 id'!$L$3,"Дата продажи (Месяц)","июн","Наименование товара","Товар B"),0), IF('Итоговые таблицы'!$B$1='Итоговые таблицы'!$K$2, IFERROR(GETPIVOTDATA("ВЫРУЧКА",'2 id'!$L$3,"Дата продажи (Месяц)","июн","Наименование товара","Товар B"),0), IF('Итоговые таблицы'!$B$1='Итоговые таблицы'!$K$3, IFERROR(GETPIVOTDATA("ВЫРУЧКА",'3 id'!$L$3,"Дата продажи (Месяц)","июн","Наименование товара","Товар B"),0),0)))</f>
        <v>0</v>
      </c>
    </row>
    <row r="8" spans="1:13" x14ac:dyDescent="0.25">
      <c r="A8" s="97"/>
      <c r="B8" s="3" t="s">
        <v>525</v>
      </c>
      <c r="C8" s="20">
        <f t="shared" ref="C8:H8" si="1">IFERROR(C7/C6*100%-100%,0)</f>
        <v>0.67757142857142849</v>
      </c>
      <c r="D8" s="20">
        <f t="shared" si="1"/>
        <v>-0.30795031055900624</v>
      </c>
      <c r="E8" s="20">
        <f t="shared" si="1"/>
        <v>6.0678451982799864E-2</v>
      </c>
      <c r="F8" s="20">
        <f t="shared" si="1"/>
        <v>0</v>
      </c>
      <c r="G8" s="20">
        <f t="shared" si="1"/>
        <v>0</v>
      </c>
      <c r="H8" s="71">
        <f t="shared" si="1"/>
        <v>0</v>
      </c>
    </row>
    <row r="9" spans="1:13" x14ac:dyDescent="0.25">
      <c r="A9" s="95" t="s">
        <v>22</v>
      </c>
      <c r="B9" s="3" t="s">
        <v>472</v>
      </c>
      <c r="C9" s="3">
        <f>IF($B$1='Итоговые таблицы'!$K$1,'Справочная информация'!I6,IF('Итоговые таблицы'!$B$1='Итоговые таблицы'!$K$2,'Справочная информация'!I14,'Справочная информация'!I22))</f>
        <v>2000</v>
      </c>
      <c r="D9" s="3">
        <f>IF($B$1='Итоговые таблицы'!$K$1,'Справочная информация'!J6,IF('Итоговые таблицы'!$B$1='Итоговые таблицы'!$K$2,'Справочная информация'!J14,'Справочная информация'!J22))</f>
        <v>2300</v>
      </c>
      <c r="E9" s="3">
        <f>IF($B$1='Итоговые таблицы'!$K$1,'Справочная информация'!K6,IF('Итоговые таблицы'!$B$1='Итоговые таблицы'!$K$2,'Справочная информация'!K14,'Справочная информация'!K22))</f>
        <v>2990</v>
      </c>
      <c r="F9" s="3">
        <f>IF($B$1='Итоговые таблицы'!$K$1,'Справочная информация'!L6,IF('Итоговые таблицы'!$B$1='Итоговые таблицы'!$K$2,'Справочная информация'!L14,'Справочная информация'!L22))</f>
        <v>0</v>
      </c>
      <c r="G9" s="3">
        <f>IF($B$1='Итоговые таблицы'!$K$1,'Справочная информация'!M6,IF('Итоговые таблицы'!$B$1='Итоговые таблицы'!$K$2,'Справочная информация'!M14,'Справочная информация'!M22))</f>
        <v>0</v>
      </c>
      <c r="H9" s="70">
        <f>IF($B$1='Итоговые таблицы'!$K$1,'Справочная информация'!N6,IF('Итоговые таблицы'!$B$1='Итоговые таблицы'!$K$2,'Справочная информация'!N14,'Справочная информация'!N22))</f>
        <v>0</v>
      </c>
    </row>
    <row r="10" spans="1:13" x14ac:dyDescent="0.25">
      <c r="A10" s="96"/>
      <c r="B10" s="3" t="s">
        <v>473</v>
      </c>
      <c r="C10" s="3">
        <f>IF($B$1=$K$1, IFERROR(GETPIVOTDATA("ВЫРУЧКА",'1 id'!$L$3,"Дата продажи (Месяц)","янв","Наименование товара","Товар C"),0), IF('Итоговые таблицы'!$B$1='Итоговые таблицы'!$K$2, IFERROR(GETPIVOTDATA("ВЫРУЧКА",'2 id'!$L$3,"Дата продажи (Месяц)","янв","Наименование товара","Товар C"),0), IF('Итоговые таблицы'!$B$1='Итоговые таблицы'!$K$3, IFERROR(GETPIVOTDATA("ВЫРУЧКА",'3 id'!$L$3,"Дата продажи (Месяц)","янв","Наименование товара","Товар C"),0),0)))</f>
        <v>1392</v>
      </c>
      <c r="D10" s="3">
        <f>IF($B$1=$K$1, IFERROR(GETPIVOTDATA("ВЫРУЧКА",'1 id'!$L$3,"Дата продажи (Месяц)","фев","Наименование товара","Товар C"),0), IF('Итоговые таблицы'!$B$1='Итоговые таблицы'!$K$2, IFERROR(GETPIVOTDATA("ВЫРУЧКА",'2 id'!$L$3,"Дата продажи (Месяц)","фев","Наименование товара","Товар C"),0), IF('Итоговые таблицы'!$B$1='Итоговые таблицы'!$K$3, IFERROR(GETPIVOTDATA("ВЫРУЧКА",'3 id'!$L$3,"Дата продажи (Месяц)","фев","Наименование товара","Товар C"),0),0)))</f>
        <v>5568</v>
      </c>
      <c r="E10" s="3">
        <f>IF($B$1=$K$1, IFERROR(GETPIVOTDATA("ВЫРУЧКА",'1 id'!$L$3,"Дата продажи (Месяц)","мар","Наименование товара","Товар C"),0), IF('Итоговые таблицы'!$B$1='Итоговые таблицы'!$K$2, IFERROR(GETPIVOTDATA("ВЫРУЧКА",'2 id'!$L$3,"Дата продажи (Месяц)","мар","Наименование товара","Товар C"),0), IF('Итоговые таблицы'!$B$1='Итоговые таблицы'!$K$3, IFERROR(GETPIVOTDATA("ВЫРУЧКА",'3 id'!$L$3,"Дата продажи (Месяц)","мар","Наименование товара","Товар C"),0),0)))</f>
        <v>4852</v>
      </c>
      <c r="F10" s="3">
        <f>IF($B$1=$K$1, IFERROR(GETPIVOTDATA("ВЫРУЧКА",'1 id'!$L$3,"Дата продажи (Месяц)","апр","Наименование товара","Товар C"),0), IF('Итоговые таблицы'!$B$1='Итоговые таблицы'!$K$2, IFERROR(GETPIVOTDATA("ВЫРУЧКА",'2 id'!$L$3,"Дата продажи (Месяц)","апр","Наименование товара","Товар C"),0), IF('Итоговые таблицы'!$B$1='Итоговые таблицы'!$K$3, IFERROR(GETPIVOTDATA("ВЫРУЧКА",'3 id'!$L$3,"Дата продажи (Месяц)","апр","Наименование товара","Товар C"),0),0)))</f>
        <v>0</v>
      </c>
      <c r="G10" s="3">
        <f>IF($B$1=$K$1, IFERROR(GETPIVOTDATA("ВЫРУЧКА",'1 id'!$L$3,"Дата продажи (Месяц)","май","Наименование товара","Товар C"),0), IF('Итоговые таблицы'!$B$1='Итоговые таблицы'!$K$2, IFERROR(GETPIVOTDATA("ВЫРУЧКА",'2 id'!$L$3,"Дата продажи (Месяц)","май","Наименование товара","Товар C"),0), IF('Итоговые таблицы'!$B$1='Итоговые таблицы'!$K$3, IFERROR(GETPIVOTDATA("ВЫРУЧКА",'3 id'!$L$3,"Дата продажи (Месяц)","май","Наименование товара","Товар C"),0),0)))</f>
        <v>0</v>
      </c>
      <c r="H10" s="70">
        <f>IF($B$1=$K$1, IFERROR(GETPIVOTDATA("ВЫРУЧКА",'1 id'!$L$3,"Дата продажи (Месяц)","июн","Наименование товара","Товар C"),0), IF('Итоговые таблицы'!$B$1='Итоговые таблицы'!$K$2, IFERROR(GETPIVOTDATA("ВЫРУЧКА",'2 id'!$L$3,"Дата продажи (Месяц)","июн","Наименование товара","Товар C"),0), IF('Итоговые таблицы'!$B$1='Итоговые таблицы'!$K$3, IFERROR(GETPIVOTDATA("ВЫРУЧКА",'3 id'!$L$3,"Дата продажи (Месяц)","июн","Наименование товара","Товар C"),0),0)))</f>
        <v>0</v>
      </c>
    </row>
    <row r="11" spans="1:13" x14ac:dyDescent="0.25">
      <c r="A11" s="97"/>
      <c r="B11" s="3" t="s">
        <v>525</v>
      </c>
      <c r="C11" s="20">
        <f t="shared" ref="C11:H11" si="2">IFERROR(C10/C9*100%-100%,0)</f>
        <v>-0.30400000000000005</v>
      </c>
      <c r="D11" s="20">
        <f t="shared" si="2"/>
        <v>1.4208695652173913</v>
      </c>
      <c r="E11" s="20">
        <f t="shared" si="2"/>
        <v>0.6227424749163879</v>
      </c>
      <c r="F11" s="20">
        <f t="shared" si="2"/>
        <v>0</v>
      </c>
      <c r="G11" s="20">
        <f t="shared" si="2"/>
        <v>0</v>
      </c>
      <c r="H11" s="71">
        <f t="shared" si="2"/>
        <v>0</v>
      </c>
    </row>
    <row r="12" spans="1:13" x14ac:dyDescent="0.25">
      <c r="A12" s="95" t="s">
        <v>37</v>
      </c>
      <c r="B12" s="3" t="s">
        <v>472</v>
      </c>
      <c r="C12" s="3">
        <f>IF($B$1='Итоговые таблицы'!$K$1,'Справочная информация'!I7,IF('Итоговые таблицы'!$B$1='Итоговые таблицы'!$K$2,'Справочная информация'!I15,'Справочная информация'!I23))</f>
        <v>3000</v>
      </c>
      <c r="D12" s="3">
        <f>IF($B$1='Итоговые таблицы'!$K$1,'Справочная информация'!J7,IF('Итоговые таблицы'!$B$1='Итоговые таблицы'!$K$2,'Справочная информация'!J15,'Справочная информация'!J23))</f>
        <v>3450</v>
      </c>
      <c r="E12" s="3">
        <f>IF($B$1='Итоговые таблицы'!$K$1,'Справочная информация'!K7,IF('Итоговые таблицы'!$B$1='Итоговые таблицы'!$K$2,'Справочная информация'!K15,'Справочная информация'!K23))</f>
        <v>4485</v>
      </c>
      <c r="F12" s="3">
        <f>IF($B$1='Итоговые таблицы'!$K$1,'Справочная информация'!L7,IF('Итоговые таблицы'!$B$1='Итоговые таблицы'!$K$2,'Справочная информация'!L15,'Справочная информация'!L23))</f>
        <v>0</v>
      </c>
      <c r="G12" s="3">
        <f>IF($B$1='Итоговые таблицы'!$K$1,'Справочная информация'!M7,IF('Итоговые таблицы'!$B$1='Итоговые таблицы'!$K$2,'Справочная информация'!M15,'Справочная информация'!M23))</f>
        <v>0</v>
      </c>
      <c r="H12" s="70">
        <f>IF($B$1='Итоговые таблицы'!$K$1,'Справочная информация'!N7,IF('Итоговые таблицы'!$B$1='Итоговые таблицы'!$K$2,'Справочная информация'!N15,'Справочная информация'!N23))</f>
        <v>0</v>
      </c>
    </row>
    <row r="13" spans="1:13" x14ac:dyDescent="0.25">
      <c r="A13" s="96"/>
      <c r="B13" s="3" t="s">
        <v>473</v>
      </c>
      <c r="C13" s="3">
        <f>IF($B$1=$K$1, IFERROR(GETPIVOTDATA("ВЫРУЧКА",'1 id'!$L$3,"Дата продажи (Месяц)","янв","Наименование товара","Товар D"),0), IF('Итоговые таблицы'!$B$1='Итоговые таблицы'!$K$2, IFERROR(GETPIVOTDATA("ВЫРУЧКА",'2 id'!$L$3,"Дата продажи (Месяц)","янв","Наименование товара","Товар D"),0), IF('Итоговые таблицы'!$B$1='Итоговые таблицы'!$K$3, IFERROR(GETPIVOTDATA("ВЫРУЧКА",'3 id'!$L$3,"Дата продажи (Месяц)","янв","Наименование товара","Товар D"),0),0)))</f>
        <v>3405</v>
      </c>
      <c r="D13" s="3">
        <f>IF($B$1=$K$1, IFERROR(GETPIVOTDATA("ВЫРУЧКА",'1 id'!$L$3,"Дата продажи (Месяц)","фев","Наименование товара","Товар D"),0), IF('Итоговые таблицы'!$B$1='Итоговые таблицы'!$K$2, IFERROR(GETPIVOTDATA("ВЫРУЧКА",'2 id'!$L$3,"Дата продажи (Месяц)","фев","Наименование товара","Товар D"),0), IF('Итоговые таблицы'!$B$1='Итоговые таблицы'!$K$3, IFERROR(GETPIVOTDATA("ВЫРУЧКА",'3 id'!$L$3,"Дата продажи (Месяц)","фев","Наименование товара","Товар D"),0),0)))</f>
        <v>6095</v>
      </c>
      <c r="E13" s="3">
        <f>IF($B$1=$K$1, IFERROR(GETPIVOTDATA("ВЫРУЧКА",'1 id'!$L$3,"Дата продажи (Месяц)","мар","Наименование товара","Товар D"),0), IF('Итоговые таблицы'!$B$1='Итоговые таблицы'!$K$2, IFERROR(GETPIVOTDATA("ВЫРУЧКА",'2 id'!$L$3,"Дата продажи (Месяц)","мар","Наименование товара","Товар D"),0), IF('Итоговые таблицы'!$B$1='Итоговые таблицы'!$K$3, IFERROR(GETPIVOTDATA("ВЫРУЧКА",'3 id'!$L$3,"Дата продажи (Месяц)","мар","Наименование товара","Товар D"),0),0)))</f>
        <v>3405</v>
      </c>
      <c r="F13" s="3">
        <f>IF($B$1=$K$1, IFERROR(GETPIVOTDATA("ВЫРУЧКА",'1 id'!$L$3,"Дата продажи (Месяц)","апр","Наименование товара","Товар D"),0), IF('Итоговые таблицы'!$B$1='Итоговые таблицы'!$K$2, IFERROR(GETPIVOTDATA("ВЫРУЧКА",'2 id'!$L$3,"Дата продажи (Месяц)","апр","Наименование товара","Товар D"),0), IF('Итоговые таблицы'!$B$1='Итоговые таблицы'!$K$3, IFERROR(GETPIVOTDATA("ВЫРУЧКА",'3 id'!$L$3,"Дата продажи (Месяц)","апр","Наименование товара","Товар D"),0),0)))</f>
        <v>0</v>
      </c>
      <c r="G13" s="3">
        <f>IF($B$1=$K$1, IFERROR(GETPIVOTDATA("ВЫРУЧКА",'1 id'!$L$3,"Дата продажи (Месяц)","май","Наименование товара","Товар D"),0), IF('Итоговые таблицы'!$B$1='Итоговые таблицы'!$K$2, IFERROR(GETPIVOTDATA("ВЫРУЧКА",'2 id'!$L$3,"Дата продажи (Месяц)","май","Наименование товара","Товар D"),0), IF('Итоговые таблицы'!$B$1='Итоговые таблицы'!$K$3, IFERROR(GETPIVOTDATA("ВЫРУЧКА",'3 id'!$L$3,"Дата продажи (Месяц)","май","Наименование товара","Товар D"),0),0)))</f>
        <v>0</v>
      </c>
      <c r="H13" s="70">
        <f>IF($B$1=$K$1, IFERROR(GETPIVOTDATA("ВЫРУЧКА",'1 id'!$L$3,"Дата продажи (Месяц)","июн","Наименование товара","Товар D"),0), IF('Итоговые таблицы'!$B$1='Итоговые таблицы'!$K$2, IFERROR(GETPIVOTDATA("ВЫРУЧКА",'2 id'!$L$3,"Дата продажи (Месяц)","июн","Наименование товара","Товар D"),0), IF('Итоговые таблицы'!$B$1='Итоговые таблицы'!$K$3, IFERROR(GETPIVOTDATA("ВЫРУЧКА",'3 id'!$L$3,"Дата продажи (Месяц)","июн","Наименование товара","Товар D"),0),0)))</f>
        <v>0</v>
      </c>
    </row>
    <row r="14" spans="1:13" x14ac:dyDescent="0.25">
      <c r="A14" s="97"/>
      <c r="B14" s="3" t="s">
        <v>525</v>
      </c>
      <c r="C14" s="20">
        <f t="shared" ref="C14:H14" si="3">IFERROR(C13/C12*100%-100%,0)</f>
        <v>0.13500000000000001</v>
      </c>
      <c r="D14" s="20">
        <f t="shared" si="3"/>
        <v>0.76666666666666661</v>
      </c>
      <c r="E14" s="20">
        <f t="shared" si="3"/>
        <v>-0.24080267558528423</v>
      </c>
      <c r="F14" s="20">
        <f t="shared" si="3"/>
        <v>0</v>
      </c>
      <c r="G14" s="20">
        <f t="shared" si="3"/>
        <v>0</v>
      </c>
      <c r="H14" s="71">
        <f t="shared" si="3"/>
        <v>0</v>
      </c>
    </row>
    <row r="15" spans="1:13" x14ac:dyDescent="0.25">
      <c r="A15" s="95" t="s">
        <v>17</v>
      </c>
      <c r="B15" s="3" t="s">
        <v>472</v>
      </c>
      <c r="C15" s="3">
        <f>IF($B$1='Итоговые таблицы'!$K$1,'Справочная информация'!I8,IF('Итоговые таблицы'!$B$1='Итоговые таблицы'!$K$2,'Справочная информация'!I16,'Справочная информация'!I24))</f>
        <v>3000</v>
      </c>
      <c r="D15" s="3">
        <f>IF($B$1='Итоговые таблицы'!$K$1,'Справочная информация'!J8,IF('Итоговые таблицы'!$B$1='Итоговые таблицы'!$K$2,'Справочная информация'!J16,'Справочная информация'!J24))</f>
        <v>3450</v>
      </c>
      <c r="E15" s="3">
        <f>IF($B$1='Итоговые таблицы'!$K$1,'Справочная информация'!K8,IF('Итоговые таблицы'!$B$1='Итоговые таблицы'!$K$2,'Справочная информация'!K16,'Справочная информация'!K24))</f>
        <v>4485</v>
      </c>
      <c r="F15" s="3">
        <f>IF($B$1='Итоговые таблицы'!$K$1,'Справочная информация'!L8,IF('Итоговые таблицы'!$B$1='Итоговые таблицы'!$K$2,'Справочная информация'!L16,'Справочная информация'!L24))</f>
        <v>0</v>
      </c>
      <c r="G15" s="3">
        <f>IF($B$1='Итоговые таблицы'!$K$1,'Справочная информация'!M8,IF('Итоговые таблицы'!$B$1='Итоговые таблицы'!$K$2,'Справочная информация'!M16,'Справочная информация'!M24))</f>
        <v>0</v>
      </c>
      <c r="H15" s="70">
        <f>IF($B$1='Итоговые таблицы'!$K$1,'Справочная информация'!N8,IF('Итоговые таблицы'!$B$1='Итоговые таблицы'!$K$2,'Справочная информация'!N16,'Справочная информация'!N24))</f>
        <v>0</v>
      </c>
    </row>
    <row r="16" spans="1:13" x14ac:dyDescent="0.25">
      <c r="A16" s="96"/>
      <c r="B16" s="3" t="s">
        <v>473</v>
      </c>
      <c r="C16" s="3">
        <f>IF($B$1=$K$1, IFERROR(GETPIVOTDATA("ВЫРУЧКА",'1 id'!$L$3,"Дата продажи (Месяц)","янв","Наименование товара","Товар E"),0), IF('Итоговые таблицы'!$B$1='Итоговые таблицы'!$K$2, IFERROR(GETPIVOTDATA("ВЫРУЧКА",'2 id'!$L$3,"Дата продажи (Месяц)","янв","Наименование товара","Товар E"),0), IF('Итоговые таблицы'!$B$1='Итоговые таблицы'!$K$3, IFERROR(GETPIVOTDATA("ВЫРУЧКА",'3 id'!$L$3,"Дата продажи (Месяц)","янв","Наименование товара","Товар E"),0),0)))</f>
        <v>7830</v>
      </c>
      <c r="D16" s="3">
        <f>IF($B$1=$K$1, IFERROR(GETPIVOTDATA("ВЫРУЧКА",'1 id'!$L$3,"Дата продажи (Месяц)","фев","Наименование товара","Товар E"),0), IF('Итоговые таблицы'!$B$1='Итоговые таблицы'!$K$2, IFERROR(GETPIVOTDATA("ВЫРУЧКА",'2 id'!$L$3,"Дата продажи (Месяц)","фев","Наименование товара","Товар E"),0), IF('Итоговые таблицы'!$B$1='Итоговые таблицы'!$K$3, IFERROR(GETPIVOTDATA("ВЫРУЧКА",'3 id'!$L$3,"Дата продажи (Месяц)","фев","Наименование товара","Товар E"),0),0)))</f>
        <v>5720</v>
      </c>
      <c r="E16" s="3">
        <f>IF($B$1=$K$1, IFERROR(GETPIVOTDATA("ВЫРУЧКА",'1 id'!$L$3,"Дата продажи (Месяц)","мар","Наименование товара","Товар E"),0), IF('Итоговые таблицы'!$B$1='Итоговые таблицы'!$K$2, IFERROR(GETPIVOTDATA("ВЫРУЧКА",'2 id'!$L$3,"Дата продажи (Месяц)","мар","Наименование товара","Товар E"),0), IF('Итоговые таблицы'!$B$1='Итоговые таблицы'!$K$3, IFERROR(GETPIVOTDATA("ВЫРУЧКА",'3 id'!$L$3,"Дата продажи (Месяц)","мар","Наименование товара","Товар E"),0),0)))</f>
        <v>7865</v>
      </c>
      <c r="F16" s="3">
        <f>IF($B$1=$K$1, IFERROR(GETPIVOTDATA("ВЫРУЧКА",'1 id'!$L$3,"Дата продажи (Месяц)","апр","Наименование товара","Товар E"),0), IF('Итоговые таблицы'!$B$1='Итоговые таблицы'!$K$2, IFERROR(GETPIVOTDATA("ВЫРУЧКА",'2 id'!$L$3,"Дата продажи (Месяц)","апр","Наименование товара","Товар E"),0), IF('Итоговые таблицы'!$B$1='Итоговые таблицы'!$K$3, IFERROR(GETPIVOTDATA("ВЫРУЧКА",'3 id'!$L$3,"Дата продажи (Месяц)","апр","Наименование товара","Товар E"),0),0)))</f>
        <v>0</v>
      </c>
      <c r="G16" s="3">
        <f>IF($B$1=$K$1, IFERROR(GETPIVOTDATA("ВЫРУЧКА",'1 id'!$L$3,"Дата продажи (Месяц)","май","Наименование товара","Товар E"),0), IF('Итоговые таблицы'!$B$1='Итоговые таблицы'!$K$2, IFERROR(GETPIVOTDATA("ВЫРУЧКА",'2 id'!$L$3,"Дата продажи (Месяц)","май","Наименование товара","Товар E"),0), IF('Итоговые таблицы'!$B$1='Итоговые таблицы'!$K$3, IFERROR(GETPIVOTDATA("ВЫРУЧКА",'3 id'!$L$3,"Дата продажи (Месяц)","май","Наименование товара","Товар E"),0),0)))</f>
        <v>0</v>
      </c>
      <c r="H16" s="70">
        <f>IF($B$1=$K$1, IFERROR(GETPIVOTDATA("ВЫРУЧКА",'1 id'!$L$3,"Дата продажи (Месяц)","июн","Наименование товара","Товар E"),0), IF('Итоговые таблицы'!$B$1='Итоговые таблицы'!$K$2, IFERROR(GETPIVOTDATA("ВЫРУЧКА",'2 id'!$L$3,"Дата продажи (Месяц)","июн","Наименование товара","Товар E"),0), IF('Итоговые таблицы'!$B$1='Итоговые таблицы'!$K$3, IFERROR(GETPIVOTDATA("ВЫРУЧКА",'3 id'!$L$3,"Дата продажи (Месяц)","июн","Наименование товара","Товар E"),0),0)))</f>
        <v>0</v>
      </c>
    </row>
    <row r="17" spans="1:8" x14ac:dyDescent="0.25">
      <c r="A17" s="97"/>
      <c r="B17" s="3" t="s">
        <v>525</v>
      </c>
      <c r="C17" s="20">
        <f t="shared" ref="C17:H17" si="4">IFERROR(C16/C15*100%-100%,0)</f>
        <v>1.6099999999999999</v>
      </c>
      <c r="D17" s="20">
        <f t="shared" si="4"/>
        <v>0.65797101449275353</v>
      </c>
      <c r="E17" s="20">
        <f t="shared" si="4"/>
        <v>0.75362318840579712</v>
      </c>
      <c r="F17" s="20">
        <f t="shared" si="4"/>
        <v>0</v>
      </c>
      <c r="G17" s="20">
        <f t="shared" si="4"/>
        <v>0</v>
      </c>
      <c r="H17" s="71">
        <f t="shared" si="4"/>
        <v>0</v>
      </c>
    </row>
    <row r="18" spans="1:8" x14ac:dyDescent="0.25">
      <c r="A18" s="95" t="s">
        <v>15</v>
      </c>
      <c r="B18" s="3" t="s">
        <v>472</v>
      </c>
      <c r="C18" s="3">
        <f>IF($B$1='Итоговые таблицы'!$K$1,'Справочная информация'!I9,IF('Итоговые таблицы'!$B$1='Итоговые таблицы'!$K$2,'Справочная информация'!I17,'Справочная информация'!I25))</f>
        <v>5000</v>
      </c>
      <c r="D18" s="3">
        <f>IF($B$1='Итоговые таблицы'!$K$1,'Справочная информация'!J9,IF('Итоговые таблицы'!$B$1='Итоговые таблицы'!$K$2,'Справочная информация'!J17,'Справочная информация'!J25))</f>
        <v>5750</v>
      </c>
      <c r="E18" s="3">
        <f>IF($B$1='Итоговые таблицы'!$K$1,'Справочная информация'!K9,IF('Итоговые таблицы'!$B$1='Итоговые таблицы'!$K$2,'Справочная информация'!K17,'Справочная информация'!K25))</f>
        <v>7475</v>
      </c>
      <c r="F18" s="3">
        <f>IF($B$1='Итоговые таблицы'!$K$1,'Справочная информация'!L9,IF('Итоговые таблицы'!$B$1='Итоговые таблицы'!$K$2,'Справочная информация'!L17,'Справочная информация'!L25))</f>
        <v>0</v>
      </c>
      <c r="G18" s="3">
        <f>IF($B$1='Итоговые таблицы'!$K$1,'Справочная информация'!M9,IF('Итоговые таблицы'!$B$1='Итоговые таблицы'!$K$2,'Справочная информация'!M17,'Справочная информация'!M25))</f>
        <v>0</v>
      </c>
      <c r="H18" s="70">
        <f>IF($B$1='Итоговые таблицы'!$K$1,'Справочная информация'!N9,IF('Итоговые таблицы'!$B$1='Итоговые таблицы'!$K$2,'Справочная информация'!N17,'Справочная информация'!N25))</f>
        <v>0</v>
      </c>
    </row>
    <row r="19" spans="1:8" x14ac:dyDescent="0.25">
      <c r="A19" s="96"/>
      <c r="B19" s="3" t="s">
        <v>473</v>
      </c>
      <c r="C19" s="3">
        <f>IF($B$1=$K$1, IFERROR(GETPIVOTDATA("ВЫРУЧКА",'1 id'!$L$3,"Дата продажи (Месяц)","янв","Наименование товара","Товар F"),0), IF('Итоговые таблицы'!$B$1='Итоговые таблицы'!$K$2, IFERROR(GETPIVOTDATA("ВЫРУЧКА",'2 id'!$L$3,"Дата продажи (Месяц)","янв","Наименование товара","Товар F"),0), IF('Итоговые таблицы'!$B$1='Итоговые таблицы'!$K$3, IFERROR(GETPIVOTDATA("ВЫРУЧКА",'3 id'!$L$3,"Дата продажи (Месяц)","янв","Наименование товара","Товар F"),0),0)))</f>
        <v>5600</v>
      </c>
      <c r="D19" s="3">
        <f>IF($B$1=$K$1, IFERROR(GETPIVOTDATA("ВЫРУЧКА",'1 id'!$L$3,"Дата продажи (Месяц)","фев","Наименование товара","Товар F"),0), IF('Итоговые таблицы'!$B$1='Итоговые таблицы'!$K$2, IFERROR(GETPIVOTDATA("ВЫРУЧКА",'2 id'!$L$3,"Дата продажи (Месяц)","фев","Наименование товара","Товар F"),0), IF('Итоговые таблицы'!$B$1='Итоговые таблицы'!$K$3, IFERROR(GETPIVOTDATA("ВЫРУЧКА",'3 id'!$L$3,"Дата продажи (Месяц)","фев","Наименование товара","Товар F"),0),0)))</f>
        <v>4480</v>
      </c>
      <c r="E19" s="3">
        <f>IF($B$1=$K$1, IFERROR(GETPIVOTDATA("ВЫРУЧКА",'1 id'!$L$3,"Дата продажи (Месяц)","мар","Наименование товара","Товар F"),0), IF('Итоговые таблицы'!$B$1='Итоговые таблицы'!$K$2, IFERROR(GETPIVOTDATA("ВЫРУЧКА",'2 id'!$L$3,"Дата продажи (Месяц)","мар","Наименование товара","Товар F"),0), IF('Итоговые таблицы'!$B$1='Итоговые таблицы'!$K$3, IFERROR(GETPIVOTDATA("ВЫРУЧКА",'3 id'!$L$3,"Дата продажи (Месяц)","мар","Наименование товара","Товар F"),0),0)))</f>
        <v>8960</v>
      </c>
      <c r="F19" s="3">
        <f>IF($B$1=$K$1, IFERROR(GETPIVOTDATA("ВЫРУЧКА",'1 id'!$L$3,"Дата продажи (Месяц)","апр","Наименование товара","Товар F"),0), IF('Итоговые таблицы'!$B$1='Итоговые таблицы'!$K$2, IFERROR(GETPIVOTDATA("ВЫРУЧКА",'2 id'!$L$3,"Дата продажи (Месяц)","апр","Наименование товара","Товар F"),0), IF('Итоговые таблицы'!$B$1='Итоговые таблицы'!$K$3, IFERROR(GETPIVOTDATA("ВЫРУЧКА",'3 id'!$L$3,"Дата продажи (Месяц)","апр","Наименование товара","Товар F"),0),0)))</f>
        <v>0</v>
      </c>
      <c r="G19" s="3">
        <f>IF($B$1=$K$1, IFERROR(GETPIVOTDATA("ВЫРУЧКА",'1 id'!$L$3,"Дата продажи (Месяц)","май","Наименование товара","Товар F"),0), IF('Итоговые таблицы'!$B$1='Итоговые таблицы'!$K$2, IFERROR(GETPIVOTDATA("ВЫРУЧКА",'2 id'!$L$3,"Дата продажи (Месяц)","май","Наименование товара","Товар F"),0), IF('Итоговые таблицы'!$B$1='Итоговые таблицы'!$K$3, IFERROR(GETPIVOTDATA("ВЫРУЧКА",'3 id'!$L$3,"Дата продажи (Месяц)","май","Наименование товара","Товар F"),0),0)))</f>
        <v>0</v>
      </c>
      <c r="H19" s="70">
        <f>IF($B$1=$K$1, IFERROR(GETPIVOTDATA("ВЫРУЧКА",'1 id'!$L$3,"Дата продажи (Месяц)","июн","Наименование товара","Товар F"),0), IF('Итоговые таблицы'!$B$1='Итоговые таблицы'!$K$2, IFERROR(GETPIVOTDATA("ВЫРУЧКА",'2 id'!$L$3,"Дата продажи (Месяц)","июн","Наименование товара","Товар F"),0), IF('Итоговые таблицы'!$B$1='Итоговые таблицы'!$K$3, IFERROR(GETPIVOTDATA("ВЫРУЧКА",'3 id'!$L$3,"Дата продажи (Месяц)","июн","Наименование товара","Товар F"),0),0)))</f>
        <v>0</v>
      </c>
    </row>
    <row r="20" spans="1:8" x14ac:dyDescent="0.25">
      <c r="A20" s="97"/>
      <c r="B20" s="3" t="s">
        <v>525</v>
      </c>
      <c r="C20" s="20">
        <f t="shared" ref="C20:H20" si="5">IFERROR(C19/C18*100%-100%,0)</f>
        <v>0.12000000000000011</v>
      </c>
      <c r="D20" s="20">
        <f t="shared" si="5"/>
        <v>-0.22086956521739132</v>
      </c>
      <c r="E20" s="20">
        <f t="shared" si="5"/>
        <v>0.19866220735785944</v>
      </c>
      <c r="F20" s="20">
        <f t="shared" si="5"/>
        <v>0</v>
      </c>
      <c r="G20" s="20">
        <f t="shared" si="5"/>
        <v>0</v>
      </c>
      <c r="H20" s="71">
        <f t="shared" si="5"/>
        <v>0</v>
      </c>
    </row>
    <row r="21" spans="1:8" x14ac:dyDescent="0.25">
      <c r="A21" s="95" t="s">
        <v>522</v>
      </c>
      <c r="B21" s="3" t="s">
        <v>472</v>
      </c>
      <c r="C21" s="3">
        <f>IF($B$1='Итоговые таблицы'!$K$1,'Справочная информация'!I10,IF('Итоговые таблицы'!$B$1='Итоговые таблицы'!$K$2,'Справочная информация'!I18,'Справочная информация'!I26))</f>
        <v>25000</v>
      </c>
      <c r="D21" s="3">
        <f>IF($B$1='Итоговые таблицы'!$K$1,'Справочная информация'!J10,IF('Итоговые таблицы'!$B$1='Итоговые таблицы'!$K$2,'Справочная информация'!J18,'Справочная информация'!J26))</f>
        <v>28750</v>
      </c>
      <c r="E21" s="3">
        <f>IF($B$1='Итоговые таблицы'!$K$1,'Справочная информация'!K10,IF('Итоговые таблицы'!$B$1='Итоговые таблицы'!$K$2,'Справочная информация'!K18,'Справочная информация'!K26))</f>
        <v>37375</v>
      </c>
      <c r="F21" s="3">
        <f>IF($B$1='Итоговые таблицы'!$K$1,'Справочная информация'!L10,IF('Итоговые таблицы'!$B$1='Итоговые таблицы'!$K$2,'Справочная информация'!L18,'Справочная информация'!L26))</f>
        <v>0</v>
      </c>
      <c r="G21" s="3">
        <f>IF($B$1='Итоговые таблицы'!$K$1,'Справочная информация'!M10,IF('Итоговые таблицы'!$B$1='Итоговые таблицы'!$K$2,'Справочная информация'!M18,'Справочная информация'!M26))</f>
        <v>0</v>
      </c>
      <c r="H21" s="70">
        <f>IF($B$1='Итоговые таблицы'!$K$1,'Справочная информация'!N10,IF('Итоговые таблицы'!$B$1='Итоговые таблицы'!$K$2,'Справочная информация'!N18,'Справочная информация'!N26))</f>
        <v>0</v>
      </c>
    </row>
    <row r="22" spans="1:8" x14ac:dyDescent="0.25">
      <c r="A22" s="96"/>
      <c r="B22" s="3" t="s">
        <v>473</v>
      </c>
      <c r="C22" s="3">
        <f>IF($B$1=$K$1, IFERROR(GETPIVOTDATA("ВЫРУЧКА",'1 id'!$L$3,"Дата продажи (Месяц)","янв"),0), IF('Итоговые таблицы'!$B$1='Итоговые таблицы'!$K$2, IFERROR(GETPIVOTDATA("ВЫРУЧКА",'2 id'!$L$3,"Дата продажи (Месяц)","янв"),0), IF('Итоговые таблицы'!$B$1='Итоговые таблицы'!$K$3, IFERROR(GETPIVOTDATA("ВЫРУЧКА",'3 id'!$L$3,"Дата продажи (Месяц)","янв"),0),0)))</f>
        <v>36066</v>
      </c>
      <c r="D22" s="3">
        <f>IF($B$1=$K$1, IFERROR(GETPIVOTDATA("ВЫРУЧКА",'1 id'!$L$3,"Дата продажи (Месяц)","фев"),0), IF('Итоговые таблицы'!$B$1='Итоговые таблицы'!$K$2, IFERROR(GETPIVOTDATA("ВЫРУЧКА",'2 id'!$L$3,"Дата продажи (Месяц)","фев"),0), IF('Итоговые таблицы'!$B$1='Итоговые таблицы'!$K$3, IFERROR(GETPIVOTDATA("ВЫРУЧКА",'3 id'!$L$3,"Дата продажи (Месяц)","фев"),0),0)))</f>
        <v>33530</v>
      </c>
      <c r="E22" s="3">
        <f>IF($B$1=$K$1, IFERROR(GETPIVOTDATA("ВЫРУЧКА",'1 id'!$L$3,"Дата продажи (Месяц)","мар"),0), IF('Итоговые таблицы'!$B$1='Итоговые таблицы'!$K$2, IFERROR(GETPIVOTDATA("ВЫРУЧКА",'2 id'!$L$3,"Дата продажи (Месяц)","мар"),0), IF('Итоговые таблицы'!$B$1='Итоговые таблицы'!$K$3, IFERROR(GETPIVOTDATA("ВЫРУЧКА",'3 id'!$L$3,"Дата продажи (Месяц)","мар"),0),0)))</f>
        <v>44564</v>
      </c>
      <c r="F22" s="3">
        <f>IF($B$1=$K$1, IFERROR(GETPIVOTDATA("ВЫРУЧКА",'1 id'!$L$3,"Дата продажи (Месяц)","апр"),0), IF('Итоговые таблицы'!$B$1='Итоговые таблицы'!$K$2, IFERROR(GETPIVOTDATA("ВЫРУЧКА",'2 id'!$L$3,"Дата продажи (Месяц)","апр"),0), IF('Итоговые таблицы'!$B$1='Итоговые таблицы'!$K$3, IFERROR(GETPIVOTDATA("ВЫРУЧКА",'3 id'!$L$3,"Дата продажи (Месяц)","апр"),0),0)))</f>
        <v>0</v>
      </c>
      <c r="G22" s="3">
        <f>IF($B$1=$K$1, IFERROR(GETPIVOTDATA("ВЫРУЧКА",'1 id'!$L$3,"Дата продажи (Месяц)","май"),0), IF('Итоговые таблицы'!$B$1='Итоговые таблицы'!$K$2, IFERROR(GETPIVOTDATA("ВЫРУЧКА",'2 id'!$L$3,"Дата продажи (Месяц)","май"),0), IF('Итоговые таблицы'!$B$1='Итоговые таблицы'!$K$3, IFERROR(GETPIVOTDATA("ВЫРУЧКА",'3 id'!$L$3,"Дата продажи (Месяц)","май"),0),0)))</f>
        <v>0</v>
      </c>
      <c r="H22" s="70">
        <f>IF($B$1=$K$1, IFERROR(GETPIVOTDATA("ВЫРУЧКА",'1 id'!$L$3,"Дата продажи (Месяц)","июн"),0), IF('Итоговые таблицы'!$B$1='Итоговые таблицы'!$K$2, IFERROR(GETPIVOTDATA("ВЫРУЧКА",'2 id'!$L$3,"Дата продажи (Месяц)","июн"),0), IF('Итоговые таблицы'!$B$1='Итоговые таблицы'!$K$3, IFERROR(GETPIVOTDATA("ВЫРУЧКА",'3 id'!$L$3,"Дата продажи (Месяц)","июн"),0),0)))</f>
        <v>0</v>
      </c>
    </row>
    <row r="23" spans="1:8" ht="15.75" thickBot="1" x14ac:dyDescent="0.3">
      <c r="A23" s="98"/>
      <c r="B23" s="72" t="s">
        <v>525</v>
      </c>
      <c r="C23" s="73">
        <f t="shared" ref="C23:H23" si="6">IFERROR(C22/C21*100%-100%,0)</f>
        <v>0.44263999999999992</v>
      </c>
      <c r="D23" s="73">
        <f t="shared" si="6"/>
        <v>0.16626086956521746</v>
      </c>
      <c r="E23" s="73">
        <f t="shared" si="6"/>
        <v>0.19234782608695644</v>
      </c>
      <c r="F23" s="73">
        <f t="shared" si="6"/>
        <v>0</v>
      </c>
      <c r="G23" s="73">
        <f t="shared" si="6"/>
        <v>0</v>
      </c>
      <c r="H23" s="74">
        <f t="shared" si="6"/>
        <v>0</v>
      </c>
    </row>
    <row r="26" spans="1:8" ht="15.75" thickBot="1" x14ac:dyDescent="0.3"/>
    <row r="27" spans="1:8" x14ac:dyDescent="0.25">
      <c r="A27" s="67" t="s">
        <v>480</v>
      </c>
      <c r="B27" s="68" t="s">
        <v>418</v>
      </c>
      <c r="C27" s="93" t="s">
        <v>503</v>
      </c>
      <c r="D27" s="93"/>
      <c r="E27" s="93"/>
      <c r="F27" s="93"/>
      <c r="G27" s="93"/>
      <c r="H27" s="94"/>
    </row>
    <row r="28" spans="1:8" x14ac:dyDescent="0.25">
      <c r="A28" s="69" t="s">
        <v>2</v>
      </c>
      <c r="B28" s="3" t="s">
        <v>524</v>
      </c>
      <c r="C28" s="3" t="s">
        <v>507</v>
      </c>
      <c r="D28" s="3" t="s">
        <v>508</v>
      </c>
      <c r="E28" s="3" t="s">
        <v>509</v>
      </c>
      <c r="F28" s="3" t="s">
        <v>510</v>
      </c>
      <c r="G28" s="3" t="s">
        <v>511</v>
      </c>
      <c r="H28" s="70" t="s">
        <v>512</v>
      </c>
    </row>
    <row r="29" spans="1:8" x14ac:dyDescent="0.25">
      <c r="A29" s="91" t="s">
        <v>5</v>
      </c>
      <c r="B29" s="3" t="s">
        <v>472</v>
      </c>
      <c r="C29" s="3">
        <f>IF($B$27=$M$1,'Справочная информация'!I40,IF('Итоговые таблицы'!$B$27='Итоговые таблицы'!$M$2,'Справочная информация'!I56,IF('Итоговые таблицы'!$B$27='Итоговые таблицы'!$M$3,'Справочная информация'!I32,IF('Итоговые таблицы'!$M$4='Итоговые таблицы'!B27,'Справочная информация'!I48,'Справочная информация'!I64))))</f>
        <v>2000</v>
      </c>
      <c r="D29" s="3">
        <f>IF($B$27=$M$1,'Справочная информация'!J40,IF('Итоговые таблицы'!$B$27='Итоговые таблицы'!$M$2,'Справочная информация'!J56,IF('Итоговые таблицы'!$B$27='Итоговые таблицы'!$M$3,'Справочная информация'!J32,IF('Итоговые таблицы'!$M$4='Итоговые таблицы'!C27,'Справочная информация'!J48,'Справочная информация'!J64))))</f>
        <v>2300</v>
      </c>
      <c r="E29" s="3">
        <f>IF($B$27=$M$1,'Справочная информация'!K40,IF('Итоговые таблицы'!$B$27='Итоговые таблицы'!$M$2,'Справочная информация'!K56,IF('Итоговые таблицы'!$B$27='Итоговые таблицы'!$M$3,'Справочная информация'!K32,IF('Итоговые таблицы'!$M$4='Итоговые таблицы'!D27,'Справочная информация'!K48,'Справочная информация'!K64))))</f>
        <v>2990</v>
      </c>
      <c r="F29" s="3">
        <f>IF($B$27=$M$1,'Справочная информация'!L40,IF('Итоговые таблицы'!$B$27='Итоговые таблицы'!$M$2,'Справочная информация'!L56,IF('Итоговые таблицы'!$B$27='Итоговые таблицы'!$M$3,'Справочная информация'!L32,IF('Итоговые таблицы'!$M$4='Итоговые таблицы'!E27,'Справочная информация'!L48,'Справочная информация'!L64))))</f>
        <v>0</v>
      </c>
      <c r="G29" s="3">
        <f>IF($B$27=$M$1,'Справочная информация'!M40,IF('Итоговые таблицы'!$B$27='Итоговые таблицы'!$M$2,'Справочная информация'!M56,IF('Итоговые таблицы'!$B$27='Итоговые таблицы'!$M$3,'Справочная информация'!M32,IF('Итоговые таблицы'!$M$4='Итоговые таблицы'!F27,'Справочная информация'!M48,'Справочная информация'!M64))))</f>
        <v>0</v>
      </c>
      <c r="H29" s="70">
        <f>IF($B$27=$M$1,'Справочная информация'!N40,IF('Итоговые таблицы'!$B$27='Итоговые таблицы'!$M$2,'Справочная информация'!N56,IF('Итоговые таблицы'!$B$27='Итоговые таблицы'!$M$3,'Справочная информация'!N32,IF('Итоговые таблицы'!$M$4='Итоговые таблицы'!G27,'Справочная информация'!N48,'Справочная информация'!N64))))</f>
        <v>0</v>
      </c>
    </row>
    <row r="30" spans="1:8" x14ac:dyDescent="0.25">
      <c r="A30" s="91"/>
      <c r="B30" s="3" t="s">
        <v>473</v>
      </c>
      <c r="C30" s="3">
        <f>IF($B$27=$M$1,IFERROR(GETPIVOTDATA("Выручка",'1 id'!$Y$5,"Дата продажи (Месяц)","янв","Наименование товара","Товар A"),0),IF($B$27=$M$2,IFERROR(GETPIVOTDATA("Выручка",'2 id'!$X$5,"Дата продажи (Месяц)","янв","Наименование товара","Товар A"),0),IF($B$27=$M$3,IFERROR(GETPIVOTDATA("Выручка",'1 id'!$AI$5,"Дата продажи (Месяц)","янв","Наименование товара","Товар A"),0),IF($B$27=$M$4,IFERROR(GETPIVOTDATA("Выручка",'2 id'!$AF$5,"Дата продажи (Месяц)","янв","Наименование товара","Товар A"),0),IF($B$27=$M$5,IFERROR(GETPIVOTDATA("Выручка",'3 id'!$X$5,"Дата продажи (Месяц)","янв","Наименование товара","Товар A"),0),0)))))</f>
        <v>2286</v>
      </c>
      <c r="D30" s="3">
        <f>IF($B$27=$M$1,IFERROR(GETPIVOTDATA("Выручка",'1 id'!$Y$5,"Дата продажи (Месяц)","фев","Наименование товара","Товар A"),0),IF($B$27=$M$2,IFERROR(GETPIVOTDATA("Выручка",'2 id'!$X$5,"Дата продажи (Месяц)","фев","Наименование товара","Товар A"),0),IF($B$27=$M$3,IFERROR(GETPIVOTDATA("Выручка",'1 id'!$AI$5,"Дата продажи (Месяц)","фев","Наименование товара","Товар A"),0),IF($B$27=$M$4,IFERROR(GETPIVOTDATA("Выручка",'2 id'!$AF$5,"Дата продажи (Месяц)","фев","Наименование товара","Товар A"),0),IF($B$27=$M$5,IFERROR(GETPIVOTDATA("Выручка",'3 id'!$X$5,"Дата продажи (Месяц)","фев","Наименование товара","Товар A"),0),0)))))</f>
        <v>1524</v>
      </c>
      <c r="E30" s="3">
        <f>IF($B$27=$M$1,IFERROR(GETPIVOTDATA("Выручка",'1 id'!$Y$5,"Дата продажи (Месяц)","мар","Наименование товара","Товар A"),0),IF($B$27=$M$2,IFERROR(GETPIVOTDATA("Выручка",'2 id'!$X$5,"Дата продажи (Месяц)","мар","Наименование товара","Товар A"),0),IF($B$27=$M$3,IFERROR(GETPIVOTDATA("Выручка",'1 id'!$AI$5,"Дата продажи (Месяц)","мар","Наименование товара","Товар A"),0),IF($B$27=$M$4,IFERROR(GETPIVOTDATA("Выручка",'2 id'!$AF$5,"Дата продажи (Месяц)","мар","Наименование товара","Товар A"),0),IF($B$27=$M$5,IFERROR(GETPIVOTDATA("Выручка",'3 id'!$X$5,"Дата продажи (Месяц)","мар","Наименование товара","Товар A"),0),0)))))</f>
        <v>4572</v>
      </c>
      <c r="F30" s="3">
        <f>IF($B$27=$M$1,IFERROR(GETPIVOTDATA("Выручка",'1 id'!$Y$5,"Дата продажи (Месяц)","апр","Наименование товара","Товар A"),0),IF($B$27=$M$2,IFERROR(GETPIVOTDATA("Выручка",'2 id'!$X$5,"Дата продажи (Месяц)","апр","Наименование товара","Товар A"),0),IF($B$27=$M$3,IFERROR(GETPIVOTDATA("Выручка",'1 id'!$AI$5,"Дата продажи (Месяц)","апр","Наименование товара","Товар A"),0),IF($B$27=$M$4,IFERROR(GETPIVOTDATA("Выручка",'2 id'!$AF$5,"Дата продажи (Месяц)","апр","Наименование товара","Товар A"),0),IF($B$27=$M$5,IFERROR(GETPIVOTDATA("Выручка",'3 id'!$X$5,"Дата продажи (Месяц)","апр","Наименование товара","Товар A"),0),0)))))</f>
        <v>0</v>
      </c>
      <c r="G30" s="3">
        <f>IF($B$27=$M$1,IFERROR(GETPIVOTDATA("Выручка",'1 id'!$Y$5,"Дата продажи (Месяц)","май","Наименование товара","Товар A"),0),IF($B$27=$M$2,IFERROR(GETPIVOTDATA("Выручка",'2 id'!$X$5,"Дата продажи (Месяц)","май","Наименование товара","Товар A"),0),IF($B$27=$M$3,IFERROR(GETPIVOTDATA("Выручка",'1 id'!$AI$5,"Дата продажи (Месяц)","май","Наименование товара","Товар A"),0),IF($B$27=$M$4,IFERROR(GETPIVOTDATA("Выручка",'2 id'!$AF$5,"Дата продажи (Месяц)","май","Наименование товара","Товар A"),0),IF($B$27=$M$5,IFERROR(GETPIVOTDATA("Выручка",'3 id'!$X$5,"Дата продажи (Месяц)","май","Наименование товара","Товар A"),0),0)))))</f>
        <v>0</v>
      </c>
      <c r="H30" s="70">
        <f>IF($B$27=$M$1,IFERROR(GETPIVOTDATA("Выручка",'1 id'!$Y$5,"Дата продажи (Месяц)","июн","Наименование товара","Товар A"),0),IF($B$27=$M$2,IFERROR(GETPIVOTDATA("Выручка",'2 id'!$X$5,"Дата продажи (Месяц)","июн","Наименование товара","Товар A"),0),IF($B$27=$M$3,IFERROR(GETPIVOTDATA("Выручка",'1 id'!$AI$5,"Дата продажи (Месяц)","июн","Наименование товара","Товар A"),0),IF($B$27=$M$4,IFERROR(GETPIVOTDATA("Выручка",'2 id'!$AF$5,"Дата продажи (Месяц)","июн","Наименование товара","Товар A"),0),IF($B$27=$M$5,IFERROR(GETPIVOTDATA("Выручка",'3 id'!$X$5,"Дата продажи (Месяц)","июн","Наименование товара","Товар A"),0),0)))))</f>
        <v>0</v>
      </c>
    </row>
    <row r="31" spans="1:8" x14ac:dyDescent="0.25">
      <c r="A31" s="91"/>
      <c r="B31" s="3" t="s">
        <v>525</v>
      </c>
      <c r="C31" s="20">
        <f t="shared" ref="C31:H31" si="7">IFERROR(C30/C29*100%-100%,0)</f>
        <v>0.14300000000000002</v>
      </c>
      <c r="D31" s="20">
        <f t="shared" si="7"/>
        <v>-0.33739130434782605</v>
      </c>
      <c r="E31" s="20">
        <f t="shared" si="7"/>
        <v>0.52909698996655519</v>
      </c>
      <c r="F31" s="20">
        <f t="shared" si="7"/>
        <v>0</v>
      </c>
      <c r="G31" s="20">
        <f t="shared" si="7"/>
        <v>0</v>
      </c>
      <c r="H31" s="71">
        <f t="shared" si="7"/>
        <v>0</v>
      </c>
    </row>
    <row r="32" spans="1:8" x14ac:dyDescent="0.25">
      <c r="A32" s="91" t="s">
        <v>8</v>
      </c>
      <c r="B32" s="3" t="s">
        <v>472</v>
      </c>
      <c r="C32" s="3">
        <f>IF($B$27=$M$1,'Справочная информация'!I41,IF('Итоговые таблицы'!$B$27='Итоговые таблицы'!$M$2,'Справочная информация'!I57,IF('Итоговые таблицы'!$B$27='Итоговые таблицы'!$M$3,'Справочная информация'!I33,IF('Итоговые таблицы'!$M$4='Итоговые таблицы'!B27,'Справочная информация'!I49,'Справочная информация'!I65))))</f>
        <v>2800</v>
      </c>
      <c r="D32" s="3">
        <f>IF($B$27=$M$1,'Справочная информация'!J41,IF('Итоговые таблицы'!$B$27='Итоговые таблицы'!$M$2,'Справочная информация'!J57,IF('Итоговые таблицы'!$B$27='Итоговые таблицы'!$M$3,'Справочная информация'!J33,IF('Итоговые таблицы'!$M$4='Итоговые таблицы'!C27,'Справочная информация'!J49,'Справочная информация'!J65))))</f>
        <v>3220</v>
      </c>
      <c r="E32" s="3">
        <f>IF($B$27=$M$1,'Справочная информация'!K41,IF('Итоговые таблицы'!$B$27='Итоговые таблицы'!$M$2,'Справочная информация'!K57,IF('Итоговые таблицы'!$B$27='Итоговые таблицы'!$M$3,'Справочная информация'!K33,IF('Итоговые таблицы'!$M$4='Итоговые таблицы'!D27,'Справочная информация'!K49,'Справочная информация'!K65))))</f>
        <v>4186</v>
      </c>
      <c r="F32" s="3">
        <f>IF($B$27=$M$1,'Справочная информация'!L41,IF('Итоговые таблицы'!$B$27='Итоговые таблицы'!$M$2,'Справочная информация'!L57,IF('Итоговые таблицы'!$B$27='Итоговые таблицы'!$M$3,'Справочная информация'!L33,IF('Итоговые таблицы'!$M$4='Итоговые таблицы'!E27,'Справочная информация'!L49,'Справочная информация'!L65))))</f>
        <v>0</v>
      </c>
      <c r="G32" s="3">
        <f>IF($B$27=$M$1,'Справочная информация'!M41,IF('Итоговые таблицы'!$B$27='Итоговые таблицы'!$M$2,'Справочная информация'!M57,IF('Итоговые таблицы'!$B$27='Итоговые таблицы'!$M$3,'Справочная информация'!M33,IF('Итоговые таблицы'!$M$4='Итоговые таблицы'!F27,'Справочная информация'!M49,'Справочная информация'!M65))))</f>
        <v>0</v>
      </c>
      <c r="H32" s="70">
        <f>IF($B$27=$M$1,'Справочная информация'!N41,IF('Итоговые таблицы'!$B$27='Итоговые таблицы'!$M$2,'Справочная информация'!N57,IF('Итоговые таблицы'!$B$27='Итоговые таблицы'!$M$3,'Справочная информация'!N33,IF('Итоговые таблицы'!$M$4='Итоговые таблицы'!G27,'Справочная информация'!N49,'Справочная информация'!N65))))</f>
        <v>0</v>
      </c>
    </row>
    <row r="33" spans="1:8" x14ac:dyDescent="0.25">
      <c r="A33" s="91"/>
      <c r="B33" s="3" t="s">
        <v>473</v>
      </c>
      <c r="C33" s="3">
        <f>IF($B$27=$M$1,IFERROR(GETPIVOTDATA("Выручка",'1 id'!$Y$6,"Дата продажи (Месяц)","янв","Наименование товара","Товар B"),0),IF($B$27=$M$2,IFERROR(GETPIVOTDATA("Выручка",'2 id'!$X$6,"Дата продажи (Месяц)","янв","Наименование товара","Товар B"),0),IF($B$27=$M$3,IFERROR(GETPIVOTDATA("Выручка",'1 id'!$AI$6,"Дата продажи (Месяц)","янв","Наименование товара","Товар B"),0),IF($B$27=$M$4,IFERROR(GETPIVOTDATA("Выручка",'2 id'!$AF$6,"Дата продажи (Месяц)","янв","Наименование товара","Товар B"),0),IF($B$27=$M$5,IFERROR(GETPIVOTDATA("Выручка",'3 id'!$X$6,"Дата продажи (Месяц)","янв","Наименование товара","Товар B"),0),0)))))</f>
        <v>6190</v>
      </c>
      <c r="D33" s="3">
        <f>IF($B$27=$M$1,IFERROR(GETPIVOTDATA("Выручка",'1 id'!$Y$6,"Дата продажи (Месяц)","фев","Наименование товара","Товар B"),0),IF($B$27=$M$2,IFERROR(GETPIVOTDATA("Выручка",'2 id'!$X$6,"Дата продажи (Месяц)","фев","Наименование товара","Товар B"),0),IF($B$27=$M$3,IFERROR(GETPIVOTDATA("Выручка",'1 id'!$AI$6,"Дата продажи (Месяц)","фев","Наименование товара","Товар B"),0),IF($B$27=$M$4,IFERROR(GETPIVOTDATA("Выручка",'2 id'!$AF$6,"Дата продажи (Месяц)","фев","Наименование товара","Товар B"),0),IF($B$27=$M$5,IFERROR(GETPIVOTDATA("Выручка",'3 id'!$X$6,"Дата продажи (Месяц)","фев","Наименование товара","Товар B"),0),0)))))</f>
        <v>1857</v>
      </c>
      <c r="E33" s="3">
        <f>IF($B$27=$M$1,IFERROR(GETPIVOTDATA("Выручка",'1 id'!$Y$6,"Дата продажи (Месяц)","мар","Наименование товара","Товар B"),0),IF($B$27=$M$2,IFERROR(GETPIVOTDATA("Выручка",'2 id'!$X$6,"Дата продажи (Месяц)","мар","Наименование товара","Товар B"),0),IF($B$27=$M$3,IFERROR(GETPIVOTDATA("Выручка",'1 id'!$AI$6,"Дата продажи (Месяц)","мар","Наименование товара","Товар B"),0),IF($B$27=$M$4,IFERROR(GETPIVOTDATA("Выручка",'2 id'!$AF$6,"Дата продажи (Месяц)","мар","Наименование товара","Товар B"),0),IF($B$27=$M$5,IFERROR(GETPIVOTDATA("Выручка",'3 id'!$X$6,"Дата продажи (Месяц)","мар","Наименование товара","Товар B"),0),0)))))</f>
        <v>6148</v>
      </c>
      <c r="F33" s="3">
        <f>IF($B$27=$M$1,IFERROR(GETPIVOTDATA("Выручка",'1 id'!$Y$6,"Дата продажи (Месяц)","апр","Наименование товара","Товар B"),0),IF($B$27=$M$2,IFERROR(GETPIVOTDATA("Выручка",'2 id'!$X$6,"Дата продажи (Месяц)","апр","Наименование товара","Товар B"),0),IF($B$27=$M$3,IFERROR(GETPIVOTDATA("Выручка",'1 id'!$AI$6,"Дата продажи (Месяц)","апр","Наименование товара","Товар B"),0),IF($B$27=$M$4,IFERROR(GETPIVOTDATA("Выручка",'2 id'!$AF$6,"Дата продажи (Месяц)","апр","Наименование товара","Товар B"),0),IF($B$27=$M$5,IFERROR(GETPIVOTDATA("Выручка",'3 id'!$X$6,"Дата продажи (Месяц)","апр","Наименование товара","Товар B"),0),0)))))</f>
        <v>0</v>
      </c>
      <c r="G33" s="3">
        <f>IF($B$27=$M$1,IFERROR(GETPIVOTDATA("Выручка",'1 id'!$Y$6,"Дата продажи (Месяц)","май","Наименование товара","Товар B"),0),IF($B$27=$M$2,IFERROR(GETPIVOTDATA("Выручка",'2 id'!$X$6,"Дата продажи (Месяц)","май","Наименование товара","Товар B"),0),IF($B$27=$M$3,IFERROR(GETPIVOTDATA("Выручка",'1 id'!$AI$6,"Дата продажи (Месяц)","май","Наименование товара","Товар B"),0),IF($B$27=$M$4,IFERROR(GETPIVOTDATA("Выручка",'2 id'!$AF$6,"Дата продажи (Месяц)","май","Наименование товара","Товар B"),0),IF($B$27=$M$5,IFERROR(GETPIVOTDATA("Выручка",'3 id'!$X$6,"Дата продажи (Месяц)","май","Наименование товара","Товар B"),0),0)))))</f>
        <v>0</v>
      </c>
      <c r="H33" s="70">
        <f>IF($B$27=$M$1,IFERROR(GETPIVOTDATA("Выручка",'1 id'!$Y$6,"Дата продажи (Месяц)","июн","Наименование товара","Товар B"),0),IF($B$27=$M$2,IFERROR(GETPIVOTDATA("Выручка",'2 id'!$X$6,"Дата продажи (Месяц)","июн","Наименование товара","Товар B"),0),IF($B$27=$M$3,IFERROR(GETPIVOTDATA("Выручка",'1 id'!$AI$6,"Дата продажи (Месяц)","июн","Наименование товара","Товар B"),0),IF($B$27=$M$4,IFERROR(GETPIVOTDATA("Выручка",'2 id'!$AF$6,"Дата продажи (Месяц)","июн","Наименование товара","Товар B"),0),IF($B$27=$M$5,IFERROR(GETPIVOTDATA("Выручка",'3 id'!$X$6,"Дата продажи (Месяц)","июн","Наименование товара","Товар B"),0),0)))))</f>
        <v>0</v>
      </c>
    </row>
    <row r="34" spans="1:8" x14ac:dyDescent="0.25">
      <c r="A34" s="91"/>
      <c r="B34" s="3" t="s">
        <v>525</v>
      </c>
      <c r="C34" s="20">
        <f t="shared" ref="C34:H34" si="8">IFERROR(C33/C32*100%-100%,0)</f>
        <v>1.2107142857142859</v>
      </c>
      <c r="D34" s="20">
        <f t="shared" si="8"/>
        <v>-0.42329192546583849</v>
      </c>
      <c r="E34" s="20">
        <f t="shared" si="8"/>
        <v>0.46870520783564262</v>
      </c>
      <c r="F34" s="20">
        <f t="shared" si="8"/>
        <v>0</v>
      </c>
      <c r="G34" s="20">
        <f t="shared" si="8"/>
        <v>0</v>
      </c>
      <c r="H34" s="71">
        <f t="shared" si="8"/>
        <v>0</v>
      </c>
    </row>
    <row r="35" spans="1:8" x14ac:dyDescent="0.25">
      <c r="A35" s="91" t="s">
        <v>22</v>
      </c>
      <c r="B35" s="3" t="s">
        <v>472</v>
      </c>
      <c r="C35" s="3">
        <f>IF($B$27=$M$1,'Справочная информация'!I42,IF('Итоговые таблицы'!$B$27='Итоговые таблицы'!$M$2,'Справочная информация'!I58,IF('Итоговые таблицы'!$B$27='Итоговые таблицы'!$M$3,'Справочная информация'!I34,IF('Итоговые таблицы'!$M$4='Итоговые таблицы'!B27,'Справочная информация'!I50,'Справочная информация'!I66))))</f>
        <v>800</v>
      </c>
      <c r="D35" s="3">
        <f>IF($B$27=$M$1,'Справочная информация'!J42,IF('Итоговые таблицы'!$B$27='Итоговые таблицы'!$M$2,'Справочная информация'!J58,IF('Итоговые таблицы'!$B$27='Итоговые таблицы'!$M$3,'Справочная информация'!J34,IF('Итоговые таблицы'!$M$4='Итоговые таблицы'!C27,'Справочная информация'!J50,'Справочная информация'!J66))))</f>
        <v>920</v>
      </c>
      <c r="E35" s="3">
        <f>IF($B$27=$M$1,'Справочная информация'!K42,IF('Итоговые таблицы'!$B$27='Итоговые таблицы'!$M$2,'Справочная информация'!K58,IF('Итоговые таблицы'!$B$27='Итоговые таблицы'!$M$3,'Справочная информация'!K34,IF('Итоговые таблицы'!$M$4='Итоговые таблицы'!D27,'Справочная информация'!K50,'Справочная информация'!K66))))</f>
        <v>1196</v>
      </c>
      <c r="F35" s="3">
        <f>IF($B$27=$M$1,'Справочная информация'!L42,IF('Итоговые таблицы'!$B$27='Итоговые таблицы'!$M$2,'Справочная информация'!L58,IF('Итоговые таблицы'!$B$27='Итоговые таблицы'!$M$3,'Справочная информация'!L34,IF('Итоговые таблицы'!$M$4='Итоговые таблицы'!E27,'Справочная информация'!L50,'Справочная информация'!L66))))</f>
        <v>0</v>
      </c>
      <c r="G35" s="3">
        <f>IF($B$27=$M$1,'Справочная информация'!M42,IF('Итоговые таблицы'!$B$27='Итоговые таблицы'!$M$2,'Справочная информация'!M58,IF('Итоговые таблицы'!$B$27='Итоговые таблицы'!$M$3,'Справочная информация'!M34,IF('Итоговые таблицы'!$M$4='Итоговые таблицы'!F27,'Справочная информация'!M50,'Справочная информация'!M66))))</f>
        <v>0</v>
      </c>
      <c r="H35" s="70">
        <f>IF($B$27=$M$1,'Справочная информация'!N42,IF('Итоговые таблицы'!$B$27='Итоговые таблицы'!$M$2,'Справочная информация'!N58,IF('Итоговые таблицы'!$B$27='Итоговые таблицы'!$M$3,'Справочная информация'!N34,IF('Итоговые таблицы'!$M$4='Итоговые таблицы'!G27,'Справочная информация'!N50,'Справочная информация'!N66))))</f>
        <v>0</v>
      </c>
    </row>
    <row r="36" spans="1:8" x14ac:dyDescent="0.25">
      <c r="A36" s="91"/>
      <c r="B36" s="3" t="s">
        <v>473</v>
      </c>
      <c r="C36" s="3">
        <f>IF($B$27=$M$1,IFERROR(GETPIVOTDATA("Выручка",'1 id'!$Y$7,"Дата продажи (Месяц)","янв","Наименование товара","Товар C"),0),IF($B$27=$M$2,IFERROR(GETPIVOTDATA("Выручка",'2 id'!$X$7,"Дата продажи (Месяц)","янв","Наименование товара","Товар C"),0),IF($B$27=$M$3,IFERROR(GETPIVOTDATA("Выручка",'1 id'!$AI$7,"Дата продажи (Месяц)","янв","Наименование товара","Товар C"),0),IF($B$27=$M$4,IFERROR(GETPIVOTDATA("Выручка",'2 id'!$AF$7,"Дата продажи (Месяц)","янв","Наименование товара","Товар C"),0),IF($B$27=$M$5,IFERROR(GETPIVOTDATA("Выручка",'3 id'!$X$7,"Дата продажи (Месяц)","янв","Наименование товара","Товар C"),0),0)))))</f>
        <v>1392</v>
      </c>
      <c r="D36" s="3">
        <f>IF($B$27=$M$1,IFERROR(GETPIVOTDATA("Выручка",'1 id'!$Y$7,"Дата продажи (Месяц)","фев","Наименование товара","Товар C"),0),IF($B$27=$M$2,IFERROR(GETPIVOTDATA("Выручка",'2 id'!$X$7,"Дата продажи (Месяц)","фев","Наименование товара","Товар C"),0),IF($B$27=$M$3,IFERROR(GETPIVOTDATA("Выручка",'1 id'!$AI$7,"Дата продажи (Месяц)","фев","Наименование товара","Товар C"),0),IF($B$27=$M$4,IFERROR(GETPIVOTDATA("Выручка",'2 id'!$AF$7,"Дата продажи (Месяц)","фев","Наименование товара","Товар C"),0),IF($B$27=$M$5,IFERROR(GETPIVOTDATA("Выручка",'3 id'!$X$7,"Дата продажи (Месяц)","фев","Наименование товара","Товар C"),0),0)))))</f>
        <v>1392</v>
      </c>
      <c r="E36" s="3">
        <f>IF($B$27=$M$1,IFERROR(GETPIVOTDATA("Выручка",'1 id'!$Y$7,"Дата продажи (Месяц)","мар","Наименование товара","Товар C"),0),IF($B$27=$M$2,IFERROR(GETPIVOTDATA("Выручка",'2 id'!$X$7,"Дата продажи (Месяц)","мар","Наименование товара","Товар C"),0),IF($B$27=$M$3,IFERROR(GETPIVOTDATA("Выручка",'1 id'!$AI$7,"Дата продажи (Месяц)","мар","Наименование товара","Товар C"),0),IF($B$27=$M$4,IFERROR(GETPIVOTDATA("Выручка",'2 id'!$AF$7,"Дата продажи (Месяц)","мар","Наименование товара","Товар C"),0),IF($B$27=$M$5,IFERROR(GETPIVOTDATA("Выручка",'3 id'!$X$7,"Дата продажи (Месяц)","мар","Наименование товара","Товар C"),0),0)))))</f>
        <v>0</v>
      </c>
      <c r="F36" s="3">
        <f>IF($B$27=$M$1,IFERROR(GETPIVOTDATA("Выручка",'1 id'!$Y$7,"Дата продажи (Месяц)","апр","Наименование товара","Товар C"),0),IF($B$27=$M$2,IFERROR(GETPIVOTDATA("Выручка",'2 id'!$X$7,"Дата продажи (Месяц)","апр","Наименование товара","Товар C"),0),IF($B$27=$M$3,IFERROR(GETPIVOTDATA("Выручка",'1 id'!$AI$7,"Дата продажи (Месяц)","апр","Наименование товара","Товар C"),0),IF($B$27=$M$4,IFERROR(GETPIVOTDATA("Выручка",'2 id'!$AF$7,"Дата продажи (Месяц)","апр","Наименование товара","Товар C"),0),IF($B$27=$M$5,IFERROR(GETPIVOTDATA("Выручка",'3 id'!$X$7,"Дата продажи (Месяц)","апр","Наименование товара","Товар C"),0),0)))))</f>
        <v>0</v>
      </c>
      <c r="G36" s="3">
        <f>IF($B$27=$M$1,IFERROR(GETPIVOTDATA("Выручка",'1 id'!$Y$7,"Дата продажи (Месяц)","май","Наименование товара","Товар C"),0),IF($B$27=$M$2,IFERROR(GETPIVOTDATA("Выручка",'2 id'!$X$7,"Дата продажи (Месяц)","май","Наименование товара","Товар C"),0),IF($B$27=$M$3,IFERROR(GETPIVOTDATA("Выручка",'1 id'!$AI$7,"Дата продажи (Месяц)","май","Наименование товара","Товар C"),0),IF($B$27=$M$4,IFERROR(GETPIVOTDATA("Выручка",'2 id'!$AF$7,"Дата продажи (Месяц)","май","Наименование товара","Товар C"),0),IF($B$27=$M$5,IFERROR(GETPIVOTDATA("Выручка",'3 id'!$X$7,"Дата продажи (Месяц)","май","Наименование товара","Товар C"),0),0)))))</f>
        <v>0</v>
      </c>
      <c r="H36" s="70">
        <f>IF($B$27=$M$1,IFERROR(GETPIVOTDATA("Выручка",'1 id'!$Y$7,"Дата продажи (Месяц)","июн","Наименование товара","Товар C"),0),IF($B$27=$M$2,IFERROR(GETPIVOTDATA("Выручка",'2 id'!$X$7,"Дата продажи (Месяц)","июн","Наименование товара","Товар C"),0),IF($B$27=$M$3,IFERROR(GETPIVOTDATA("Выручка",'1 id'!$AI$7,"Дата продажи (Месяц)","июн","Наименование товара","Товар C"),0),IF($B$27=$M$4,IFERROR(GETPIVOTDATA("Выручка",'2 id'!$AF$7,"Дата продажи (Месяц)","июн","Наименование товара","Товар C"),0),IF($B$27=$M$5,IFERROR(GETPIVOTDATA("Выручка",'3 id'!$X$7,"Дата продажи (Месяц)","июн","Наименование товара","Товар C"),0),0)))))</f>
        <v>0</v>
      </c>
    </row>
    <row r="37" spans="1:8" x14ac:dyDescent="0.25">
      <c r="A37" s="91"/>
      <c r="B37" s="3" t="s">
        <v>525</v>
      </c>
      <c r="C37" s="20">
        <f t="shared" ref="C37:H37" si="9">IFERROR(C36/C35*100%-100%,0)</f>
        <v>0.74</v>
      </c>
      <c r="D37" s="20">
        <f t="shared" si="9"/>
        <v>0.51304347826086949</v>
      </c>
      <c r="E37" s="20">
        <f t="shared" si="9"/>
        <v>-1</v>
      </c>
      <c r="F37" s="20">
        <f t="shared" si="9"/>
        <v>0</v>
      </c>
      <c r="G37" s="20">
        <f t="shared" si="9"/>
        <v>0</v>
      </c>
      <c r="H37" s="71">
        <f t="shared" si="9"/>
        <v>0</v>
      </c>
    </row>
    <row r="38" spans="1:8" x14ac:dyDescent="0.25">
      <c r="A38" s="91" t="s">
        <v>37</v>
      </c>
      <c r="B38" s="3" t="s">
        <v>472</v>
      </c>
      <c r="C38" s="3">
        <f>IF($B$27=$M$1,'Справочная информация'!I43,IF('Итоговые таблицы'!$B$27='Итоговые таблицы'!$M$2,'Справочная информация'!I59,IF('Итоговые таблицы'!$B$27='Итоговые таблицы'!$M$3,'Справочная информация'!I35,IF('Итоговые таблицы'!$M$4='Итоговые таблицы'!B27,'Справочная информация'!I51,'Справочная информация'!I67))))</f>
        <v>1200</v>
      </c>
      <c r="D38" s="3">
        <f>IF($B$27=$M$1,'Справочная информация'!J43,IF('Итоговые таблицы'!$B$27='Итоговые таблицы'!$M$2,'Справочная информация'!J59,IF('Итоговые таблицы'!$B$27='Итоговые таблицы'!$M$3,'Справочная информация'!J35,IF('Итоговые таблицы'!$M$4='Итоговые таблицы'!C27,'Справочная информация'!J51,'Справочная информация'!J67))))</f>
        <v>1380</v>
      </c>
      <c r="E38" s="3">
        <f>IF($B$27=$M$1,'Справочная информация'!K43,IF('Итоговые таблицы'!$B$27='Итоговые таблицы'!$M$2,'Справочная информация'!K59,IF('Итоговые таблицы'!$B$27='Итоговые таблицы'!$M$3,'Справочная информация'!K35,IF('Итоговые таблицы'!$M$4='Итоговые таблицы'!D27,'Справочная информация'!K51,'Справочная информация'!K67))))</f>
        <v>1794</v>
      </c>
      <c r="F38" s="3">
        <f>IF($B$27=$M$1,'Справочная информация'!L43,IF('Итоговые таблицы'!$B$27='Итоговые таблицы'!$M$2,'Справочная информация'!L59,IF('Итоговые таблицы'!$B$27='Итоговые таблицы'!$M$3,'Справочная информация'!L35,IF('Итоговые таблицы'!$M$4='Итоговые таблицы'!E27,'Справочная информация'!L51,'Справочная информация'!L67))))</f>
        <v>0</v>
      </c>
      <c r="G38" s="3">
        <f>IF($B$27=$M$1,'Справочная информация'!M43,IF('Итоговые таблицы'!$B$27='Итоговые таблицы'!$M$2,'Справочная информация'!M59,IF('Итоговые таблицы'!$B$27='Итоговые таблицы'!$M$3,'Справочная информация'!M35,IF('Итоговые таблицы'!$M$4='Итоговые таблицы'!F27,'Справочная информация'!M51,'Справочная информация'!M67))))</f>
        <v>0</v>
      </c>
      <c r="H38" s="70">
        <f>IF($B$27=$M$1,'Справочная информация'!N43,IF('Итоговые таблицы'!$B$27='Итоговые таблицы'!$M$2,'Справочная информация'!N59,IF('Итоговые таблицы'!$B$27='Итоговые таблицы'!$M$3,'Справочная информация'!N35,IF('Итоговые таблицы'!$M$4='Итоговые таблицы'!G27,'Справочная информация'!N51,'Справочная информация'!N67))))</f>
        <v>0</v>
      </c>
    </row>
    <row r="39" spans="1:8" x14ac:dyDescent="0.25">
      <c r="A39" s="91"/>
      <c r="B39" s="3" t="s">
        <v>473</v>
      </c>
      <c r="C39" s="3">
        <f>IF($B$27=$M$1,IFERROR(GETPIVOTDATA("Выручка",'1 id'!$Y$8,"Дата продажи (Месяц)","янв","Наименование товара","Товар D"),0),IF($B$27=$M$2,IFERROR(GETPIVOTDATA("Выручка",'2 id'!$X$8,"Дата продажи (Месяц)","янв","Наименование товара","Товар D"),0),IF($B$27=$M$3,IFERROR(GETPIVOTDATA("Выручка",'1 id'!$AI$8,"Дата продажи (Месяц)","янв","Наименование товара","Товар D"),0),IF($B$27=$M$4,IFERROR(GETPIVOTDATA("Выручка",'2 id'!$AF$8,"Дата продажи (Месяц)","янв","Наименование товара","Товар D"),0),IF($B$27=$M$5,IFERROR(GETPIVOTDATA("Выручка",'3 id'!$X$8,"Дата продажи (Месяц)","янв","Наименование товара","Товар D"),0),0)))))</f>
        <v>681</v>
      </c>
      <c r="D39" s="3">
        <f>IF($B$27=$M$1,IFERROR(GETPIVOTDATA("Выручка",'1 id'!$Y$8,"Дата продажи (Месяц)","фев","Наименование товара","Товар D"),0),IF($B$27=$M$2,IFERROR(GETPIVOTDATA("Выручка",'2 id'!$X$8,"Дата продажи (Месяц)","фев","Наименование товара","Товар D"),0),IF($B$27=$M$3,IFERROR(GETPIVOTDATA("Выручка",'1 id'!$AI$8,"Дата продажи (Месяц)","фев","Наименование товара","Товар D"),0),IF($B$27=$M$4,IFERROR(GETPIVOTDATA("Выручка",'2 id'!$AF$8,"Дата продажи (Месяц)","фев","Наименование товара","Товар D"),0),IF($B$27=$M$5,IFERROR(GETPIVOTDATA("Выручка",'3 id'!$X$8,"Дата продажи (Месяц)","фев","Наименование товара","Товар D"),0),0)))))</f>
        <v>2043</v>
      </c>
      <c r="E39" s="3">
        <f>IF($B$27=$M$1,IFERROR(GETPIVOTDATA("Выручка",'1 id'!$Y$8,"Дата продажи (Месяц)","мар","Наименование товара","Товар D"),0),IF($B$27=$M$2,IFERROR(GETPIVOTDATA("Выручка",'2 id'!$X$8,"Дата продажи (Месяц)","мар","Наименование товара","Товар D"),0),IF($B$27=$M$3,IFERROR(GETPIVOTDATA("Выручка",'1 id'!$AI$8,"Дата продажи (Месяц)","мар","Наименование товара","Товар D"),0),IF($B$27=$M$4,IFERROR(GETPIVOTDATA("Выручка",'2 id'!$AF$8,"Дата продажи (Месяц)","мар","Наименование товара","Товар D"),0),IF($B$27=$M$5,IFERROR(GETPIVOTDATA("Выручка",'3 id'!$X$8,"Дата продажи (Месяц)","мар","Наименование товара","Товар D"),0),0)))))</f>
        <v>1362</v>
      </c>
      <c r="F39" s="3">
        <f>IF($B$27=$M$1,IFERROR(GETPIVOTDATA("Выручка",'1 id'!$Y$8,"Дата продажи (Месяц)","апр","Наименование товара","Товар D"),0),IF($B$27=$M$2,IFERROR(GETPIVOTDATA("Выручка",'2 id'!$X$8,"Дата продажи (Месяц)","апр","Наименование товара","Товар D"),0),IF($B$27=$M$3,IFERROR(GETPIVOTDATA("Выручка",'1 id'!$AI$8,"Дата продажи (Месяц)","апр","Наименование товара","Товар D"),0),IF($B$27=$M$4,IFERROR(GETPIVOTDATA("Выручка",'2 id'!$AF$8,"Дата продажи (Месяц)","апр","Наименование товара","Товар D"),0),IF($B$27=$M$5,IFERROR(GETPIVOTDATA("Выручка",'3 id'!$X$8,"Дата продажи (Месяц)","апр","Наименование товара","Товар D"),0),0)))))</f>
        <v>0</v>
      </c>
      <c r="G39" s="3">
        <f>IF($B$27=$M$1,IFERROR(GETPIVOTDATA("Выручка",'1 id'!$Y$8,"Дата продажи (Месяц)","май","Наименование товара","Товар D"),0),IF($B$27=$M$2,IFERROR(GETPIVOTDATA("Выручка",'2 id'!$X$8,"Дата продажи (Месяц)","май","Наименование товара","Товар D"),0),IF($B$27=$M$3,IFERROR(GETPIVOTDATA("Выручка",'1 id'!$AI$8,"Дата продажи (Месяц)","май","Наименование товара","Товар D"),0),IF($B$27=$M$4,IFERROR(GETPIVOTDATA("Выручка",'2 id'!$AF$8,"Дата продажи (Месяц)","май","Наименование товара","Товар D"),0),IF($B$27=$M$5,IFERROR(GETPIVOTDATA("Выручка",'3 id'!$X$8,"Дата продажи (Месяц)","май","Наименование товара","Товар D"),0),0)))))</f>
        <v>0</v>
      </c>
      <c r="H39" s="70">
        <f>IF($B$27=$M$1,IFERROR(GETPIVOTDATA("Выручка",'1 id'!$Y$8,"Дата продажи (Месяц)","июн","Наименование товара","Товар D"),0),IF($B$27=$M$2,IFERROR(GETPIVOTDATA("Выручка",'2 id'!$X$8,"Дата продажи (Месяц)","июн","Наименование товара","Товар D"),0),IF($B$27=$M$3,IFERROR(GETPIVOTDATA("Выручка",'1 id'!$AI$8,"Дата продажи (Месяц)","июн","Наименование товара","Товар D"),0),IF($B$27=$M$4,IFERROR(GETPIVOTDATA("Выручка",'2 id'!$AF$8,"Дата продажи (Месяц)","июн","Наименование товара","Товар D"),0),IF($B$27=$M$5,IFERROR(GETPIVOTDATA("Выручка",'3 id'!$X$8,"Дата продажи (Месяц)","июн","Наименование товара","Товар D"),0),0)))))</f>
        <v>0</v>
      </c>
    </row>
    <row r="40" spans="1:8" x14ac:dyDescent="0.25">
      <c r="A40" s="91"/>
      <c r="B40" s="3" t="s">
        <v>525</v>
      </c>
      <c r="C40" s="20">
        <f t="shared" ref="C40:H40" si="10">IFERROR(C39/C38*100%-100%,0)</f>
        <v>-0.4325</v>
      </c>
      <c r="D40" s="20">
        <f t="shared" si="10"/>
        <v>0.48043478260869565</v>
      </c>
      <c r="E40" s="20">
        <f t="shared" si="10"/>
        <v>-0.24080267558528423</v>
      </c>
      <c r="F40" s="20">
        <f t="shared" si="10"/>
        <v>0</v>
      </c>
      <c r="G40" s="20">
        <f t="shared" si="10"/>
        <v>0</v>
      </c>
      <c r="H40" s="71">
        <f t="shared" si="10"/>
        <v>0</v>
      </c>
    </row>
    <row r="41" spans="1:8" x14ac:dyDescent="0.25">
      <c r="A41" s="91" t="s">
        <v>17</v>
      </c>
      <c r="B41" s="3" t="s">
        <v>472</v>
      </c>
      <c r="C41" s="3">
        <f>IF($B$27=$M$1,'Справочная информация'!I44,IF('Итоговые таблицы'!$B$27='Итоговые таблицы'!$M$2,'Справочная информация'!I60,IF('Итоговые таблицы'!$B$27='Итоговые таблицы'!$M$3,'Справочная информация'!I36,IF('Итоговые таблицы'!$M$4='Итоговые таблицы'!B27,'Справочная информация'!I52,'Справочная информация'!I68))))</f>
        <v>1200</v>
      </c>
      <c r="D41" s="3">
        <f>IF($B$27=$M$1,'Справочная информация'!J44,IF('Итоговые таблицы'!$B$27='Итоговые таблицы'!$M$2,'Справочная информация'!J60,IF('Итоговые таблицы'!$B$27='Итоговые таблицы'!$M$3,'Справочная информация'!J36,IF('Итоговые таблицы'!$M$4='Итоговые таблицы'!C27,'Справочная информация'!J52,'Справочная информация'!J68))))</f>
        <v>1380</v>
      </c>
      <c r="E41" s="3">
        <f>IF($B$27=$M$1,'Справочная информация'!K44,IF('Итоговые таблицы'!$B$27='Итоговые таблицы'!$M$2,'Справочная информация'!K60,IF('Итоговые таблицы'!$B$27='Итоговые таблицы'!$M$3,'Справочная информация'!K36,IF('Итоговые таблицы'!$M$4='Итоговые таблицы'!D27,'Справочная информация'!K52,'Справочная информация'!K68))))</f>
        <v>1794</v>
      </c>
      <c r="F41" s="3">
        <f>IF($B$27=$M$1,'Справочная информация'!L44,IF('Итоговые таблицы'!$B$27='Итоговые таблицы'!$M$2,'Справочная информация'!L60,IF('Итоговые таблицы'!$B$27='Итоговые таблицы'!$M$3,'Справочная информация'!L36,IF('Итоговые таблицы'!$M$4='Итоговые таблицы'!E27,'Справочная информация'!L52,'Справочная информация'!L68))))</f>
        <v>0</v>
      </c>
      <c r="G41" s="3">
        <f>IF($B$27=$M$1,'Справочная информация'!M44,IF('Итоговые таблицы'!$B$27='Итоговые таблицы'!$M$2,'Справочная информация'!M60,IF('Итоговые таблицы'!$B$27='Итоговые таблицы'!$M$3,'Справочная информация'!M36,IF('Итоговые таблицы'!$M$4='Итоговые таблицы'!F27,'Справочная информация'!M52,'Справочная информация'!M68))))</f>
        <v>0</v>
      </c>
      <c r="H41" s="70">
        <f>IF($B$27=$M$1,'Справочная информация'!N44,IF('Итоговые таблицы'!$B$27='Итоговые таблицы'!$M$2,'Справочная информация'!N60,IF('Итоговые таблицы'!$B$27='Итоговые таблицы'!$M$3,'Справочная информация'!N36,IF('Итоговые таблицы'!$M$4='Итоговые таблицы'!G27,'Справочная информация'!N52,'Справочная информация'!N68))))</f>
        <v>0</v>
      </c>
    </row>
    <row r="42" spans="1:8" x14ac:dyDescent="0.25">
      <c r="A42" s="91"/>
      <c r="B42" s="3" t="s">
        <v>473</v>
      </c>
      <c r="C42" s="3">
        <f>IF($B$27=$M$1,IFERROR(GETPIVOTDATA("Выручка",'1 id'!$Y$9,"Дата продажи (Месяц)","янв","Наименование товара","Товар E"),0),IF($B$27=$M$2,IFERROR(GETPIVOTDATA("Выручка",'2 id'!$X$9,"Дата продажи (Месяц)","янв","Наименование товара","Товар E"),0),IF($B$27=$M$3,IFERROR(GETPIVOTDATA("Выручка",'1 id'!$AI$9,"Дата продажи (Месяц)","янв","Наименование товара","Товар E"),0),IF($B$27=$M$4,IFERROR(GETPIVOTDATA("Выручка",'2 id'!$AF$9,"Дата продажи (Месяц)","янв","Наименование товара","Товар E"),0),IF($B$27=$M$5,IFERROR(GETPIVOTDATA("Выручка",'3 id'!$X$9,"Дата продажи (Месяц)","янв","Наименование товара","Товар E"),0),0)))))</f>
        <v>5685</v>
      </c>
      <c r="D42" s="3">
        <f>IF($B$27=$M$1,IFERROR(GETPIVOTDATA("Выручка",'1 id'!$Y$9,"Дата продажи (Месяц)","фев","Наименование товара","Товар E"),0),IF($B$27=$M$2,IFERROR(GETPIVOTDATA("Выручка",'2 id'!$X$9,"Дата продажи (Месяц)","фев","Наименование товара","Товар E"),0),IF($B$27=$M$3,IFERROR(GETPIVOTDATA("Выручка",'1 id'!$AI$9,"Дата продажи (Месяц)","фев","Наименование товара","Товар E"),0),IF($B$27=$M$4,IFERROR(GETPIVOTDATA("Выручка",'2 id'!$AF$9,"Дата продажи (Месяц)","фев","Наименование товара","Товар E"),0),IF($B$27=$M$5,IFERROR(GETPIVOTDATA("Выручка",'3 id'!$X$9,"Дата продажи (Месяц)","фев","Наименование товара","Товар E"),0),0)))))</f>
        <v>3575</v>
      </c>
      <c r="E42" s="3">
        <f>IF($B$27=$M$1,IFERROR(GETPIVOTDATA("Выручка",'1 id'!$Y$9,"Дата продажи (Месяц)","мар","Наименование товара","Товар E"),0),IF($B$27=$M$2,IFERROR(GETPIVOTDATA("Выручка",'2 id'!$X$9,"Дата продажи (Месяц)","мар","Наименование товара","Товар E"),0),IF($B$27=$M$3,IFERROR(GETPIVOTDATA("Выручка",'1 id'!$AI$9,"Дата продажи (Месяц)","мар","Наименование товара","Товар E"),0),IF($B$27=$M$4,IFERROR(GETPIVOTDATA("Выручка",'2 id'!$AF$9,"Дата продажи (Месяц)","мар","Наименование товара","Товар E"),0),IF($B$27=$M$5,IFERROR(GETPIVOTDATA("Выручка",'3 id'!$X$9,"Дата продажи (Месяц)","мар","Наименование товара","Товар E"),0),0)))))</f>
        <v>2860</v>
      </c>
      <c r="F42" s="3">
        <f>IF($B$27=$M$1,IFERROR(GETPIVOTDATA("Выручка",'1 id'!$Y$9,"Дата продажи (Месяц)","апр","Наименование товара","Товар E"),0),IF($B$27=$M$2,IFERROR(GETPIVOTDATA("Выручка",'2 id'!$X$9,"Дата продажи (Месяц)","апр","Наименование товара","Товар E"),0),IF($B$27=$M$3,IFERROR(GETPIVOTDATA("Выручка",'1 id'!$AI$9,"Дата продажи (Месяц)","апр","Наименование товара","Товар E"),0),IF($B$27=$M$4,IFERROR(GETPIVOTDATA("Выручка",'2 id'!$AF$9,"Дата продажи (Месяц)","апр","Наименование товара","Товар E"),0),IF($B$27=$M$5,IFERROR(GETPIVOTDATA("Выручка",'3 id'!$X$9,"Дата продажи (Месяц)","апр","Наименование товара","Товар E"),0),0)))))</f>
        <v>0</v>
      </c>
      <c r="G42" s="3">
        <f>IF($B$27=$M$1,IFERROR(GETPIVOTDATA("Выручка",'1 id'!$Y$9,"Дата продажи (Месяц)","май","Наименование товара","Товар E"),0),IF($B$27=$M$2,IFERROR(GETPIVOTDATA("Выручка",'2 id'!$X$9,"Дата продажи (Месяц)","май","Наименование товара","Товар E"),0),IF($B$27=$M$3,IFERROR(GETPIVOTDATA("Выручка",'1 id'!$AI$9,"Дата продажи (Месяц)","май","Наименование товара","Товар E"),0),IF($B$27=$M$4,IFERROR(GETPIVOTDATA("Выручка",'2 id'!$AF$9,"Дата продажи (Месяц)","май","Наименование товара","Товар E"),0),IF($B$27=$M$5,IFERROR(GETPIVOTDATA("Выручка",'3 id'!$X$9,"Дата продажи (Месяц)","май","Наименование товара","Товар E"),0),0)))))</f>
        <v>0</v>
      </c>
      <c r="H42" s="70">
        <f>IF($B$27=$M$1,IFERROR(GETPIVOTDATA("Выручка",'1 id'!$Y$9,"Дата продажи (Месяц)","июн","Наименование товара","Товар E"),0),IF($B$27=$M$2,IFERROR(GETPIVOTDATA("Выручка",'2 id'!$X$9,"Дата продажи (Месяц)","июн","Наименование товара","Товар E"),0),IF($B$27=$M$3,IFERROR(GETPIVOTDATA("Выручка",'1 id'!$AI$9,"Дата продажи (Месяц)","июн","Наименование товара","Товар E"),0),IF($B$27=$M$4,IFERROR(GETPIVOTDATA("Выручка",'2 id'!$AF$9,"Дата продажи (Месяц)","июн","Наименование товара","Товар E"),0),IF($B$27=$M$5,IFERROR(GETPIVOTDATA("Выручка",'3 id'!$X$9,"Дата продажи (Месяц)","июн","Наименование товара","Товар E"),0),0)))))</f>
        <v>0</v>
      </c>
    </row>
    <row r="43" spans="1:8" x14ac:dyDescent="0.25">
      <c r="A43" s="91"/>
      <c r="B43" s="3" t="s">
        <v>525</v>
      </c>
      <c r="C43" s="20">
        <f t="shared" ref="C43:H43" si="11">IFERROR(C42/C41*100%-100%,0)</f>
        <v>3.7374999999999998</v>
      </c>
      <c r="D43" s="20">
        <f t="shared" si="11"/>
        <v>1.5905797101449277</v>
      </c>
      <c r="E43" s="20">
        <f t="shared" si="11"/>
        <v>0.59420289855072461</v>
      </c>
      <c r="F43" s="20">
        <f t="shared" si="11"/>
        <v>0</v>
      </c>
      <c r="G43" s="20">
        <f t="shared" si="11"/>
        <v>0</v>
      </c>
      <c r="H43" s="71">
        <f t="shared" si="11"/>
        <v>0</v>
      </c>
    </row>
    <row r="44" spans="1:8" x14ac:dyDescent="0.25">
      <c r="A44" s="91" t="s">
        <v>15</v>
      </c>
      <c r="B44" s="3" t="s">
        <v>472</v>
      </c>
      <c r="C44" s="3">
        <f>IF($B$27=$M$1,'Справочная информация'!I45,IF('Итоговые таблицы'!$B$27='Итоговые таблицы'!$M$2,'Справочная информация'!I61,IF('Итоговые таблицы'!$B$27='Итоговые таблицы'!$M$3,'Справочная информация'!I37,IF('Итоговые таблицы'!$M$4='Итоговые таблицы'!B27,'Справочная информация'!I53,'Справочная информация'!I69))))</f>
        <v>2000</v>
      </c>
      <c r="D44" s="3">
        <f>IF($B$27=$M$1,'Справочная информация'!J45,IF('Итоговые таблицы'!$B$27='Итоговые таблицы'!$M$2,'Справочная информация'!J61,IF('Итоговые таблицы'!$B$27='Итоговые таблицы'!$M$3,'Справочная информация'!J37,IF('Итоговые таблицы'!$M$4='Итоговые таблицы'!C27,'Справочная информация'!J53,'Справочная информация'!J69))))</f>
        <v>2300</v>
      </c>
      <c r="E44" s="3">
        <f>IF($B$27=$M$1,'Справочная информация'!K45,IF('Итоговые таблицы'!$B$27='Итоговые таблицы'!$M$2,'Справочная информация'!K61,IF('Итоговые таблицы'!$B$27='Итоговые таблицы'!$M$3,'Справочная информация'!K37,IF('Итоговые таблицы'!$M$4='Итоговые таблицы'!D27,'Справочная информация'!K53,'Справочная информация'!K69))))</f>
        <v>2990</v>
      </c>
      <c r="F44" s="3">
        <f>IF($B$27=$M$1,'Справочная информация'!L45,IF('Итоговые таблицы'!$B$27='Итоговые таблицы'!$M$2,'Справочная информация'!L61,IF('Итоговые таблицы'!$B$27='Итоговые таблицы'!$M$3,'Справочная информация'!L37,IF('Итоговые таблицы'!$M$4='Итоговые таблицы'!E27,'Справочная информация'!L53,'Справочная информация'!L69))))</f>
        <v>0</v>
      </c>
      <c r="G44" s="3">
        <f>IF($B$27=$M$1,'Справочная информация'!M45,IF('Итоговые таблицы'!$B$27='Итоговые таблицы'!$M$2,'Справочная информация'!M61,IF('Итоговые таблицы'!$B$27='Итоговые таблицы'!$M$3,'Справочная информация'!M37,IF('Итоговые таблицы'!$M$4='Итоговые таблицы'!F27,'Справочная информация'!M53,'Справочная информация'!M69))))</f>
        <v>0</v>
      </c>
      <c r="H44" s="70">
        <f>IF($B$27=$M$1,'Справочная информация'!N45,IF('Итоговые таблицы'!$B$27='Итоговые таблицы'!$M$2,'Справочная информация'!N61,IF('Итоговые таблицы'!$B$27='Итоговые таблицы'!$M$3,'Справочная информация'!N37,IF('Итоговые таблицы'!$M$4='Итоговые таблицы'!G27,'Справочная информация'!N53,'Справочная информация'!N69))))</f>
        <v>0</v>
      </c>
    </row>
    <row r="45" spans="1:8" x14ac:dyDescent="0.25">
      <c r="A45" s="91"/>
      <c r="B45" s="3" t="s">
        <v>473</v>
      </c>
      <c r="C45" s="3">
        <f>IF($B$27=$M$1,IFERROR(GETPIVOTDATA("Выручка",'1 id'!$Y$10,"Дата продажи (Месяц)","янв","Наименование товара","Товар F"),0),IF($B$27=$M$2,IFERROR(GETPIVOTDATA("Выручка",'2 id'!$X$10,"Дата продажи (Месяц)","янв","Наименование товара","Товар F"),0),IF($B$27=$M$3,IFERROR(GETPIVOTDATA("Выручка",'1 id'!$AI$10,"Дата продажи (Месяц)","янв","Наименование товара","Товар F"),0),IF($B$27=$M$4,IFERROR(GETPIVOTDATA("Выручка",'2 id'!$AF$10,"Дата продажи (Месяц)","янв","Наименование товара","Товар F"),0),IF($B$27=$M$5,IFERROR(GETPIVOTDATA("Выручка",'3 id'!$X$10,"Дата продажи (Месяц)","янв","Наименование товара","Товар F"),0),0)))))</f>
        <v>3360</v>
      </c>
      <c r="D45" s="3">
        <f>IF($B$27=$M$1,IFERROR(GETPIVOTDATA("Выручка",'1 id'!$Y$10,"Дата продажи (Месяц)","фев","Наименование товара","Товар F"),0),IF($B$27=$M$2,IFERROR(GETPIVOTDATA("Выручка",'2 id'!$X$10,"Дата продажи (Месяц)","фев","Наименование товара","Товар F"),0),IF($B$27=$M$3,IFERROR(GETPIVOTDATA("Выручка",'1 id'!$AI$10,"Дата продажи (Месяц)","фев","Наименование товара","Товар F"),0),IF($B$27=$M$4,IFERROR(GETPIVOTDATA("Выручка",'2 id'!$AF$10,"Дата продажи (Месяц)","фев","Наименование товара","Товар F"),0),IF($B$27=$M$5,IFERROR(GETPIVOTDATA("Выручка",'3 id'!$X$10,"Дата продажи (Месяц)","фев","Наименование товара","Товар F"),0),0)))))</f>
        <v>1120</v>
      </c>
      <c r="E45" s="3">
        <f>IF($B$27=$M$1,IFERROR(GETPIVOTDATA("Выручка",'1 id'!$Y$10,"Дата продажи (Месяц)","мар","Наименование товара","Товар F"),0),IF($B$27=$M$2,IFERROR(GETPIVOTDATA("Выручка",'2 id'!$X$10,"Дата продажи (Месяц)","мар","Наименование товара","Товар F"),0),IF($B$27=$M$3,IFERROR(GETPIVOTDATA("Выручка",'1 id'!$AI$10,"Дата продажи (Месяц)","мар","Наименование товара","Товар F"),0),IF($B$27=$M$4,IFERROR(GETPIVOTDATA("Выручка",'2 id'!$AF$10,"Дата продажи (Месяц)","мар","Наименование товара","Товар F"),0),IF($B$27=$M$5,IFERROR(GETPIVOTDATA("Выручка",'3 id'!$X$10,"Дата продажи (Месяц)","мар","Наименование товара","Товар F"),0),0)))))</f>
        <v>1120</v>
      </c>
      <c r="F45" s="3">
        <f>IF($B$27=$M$1,IFERROR(GETPIVOTDATA("Выручка",'1 id'!$Y$10,"Дата продажи (Месяц)","апр","Наименование товара","Товар F"),0),IF($B$27=$M$2,IFERROR(GETPIVOTDATA("Выручка",'2 id'!$X$10,"Дата продажи (Месяц)","апр","Наименование товара","Товар F"),0),IF($B$27=$M$3,IFERROR(GETPIVOTDATA("Выручка",'1 id'!$AI$10,"Дата продажи (Месяц)","апр","Наименование товара","Товар F"),0),IF($B$27=$M$4,IFERROR(GETPIVOTDATA("Выручка",'2 id'!$AF$10,"Дата продажи (Месяц)","апр","Наименование товара","Товар F"),0),IF($B$27=$M$5,IFERROR(GETPIVOTDATA("Выручка",'3 id'!$X$10,"Дата продажи (Месяц)","апр","Наименование товара","Товар F"),0),0)))))</f>
        <v>0</v>
      </c>
      <c r="G45" s="3">
        <f>IF($B$27=$M$1,IFERROR(GETPIVOTDATA("Выручка",'1 id'!$Y$10,"Дата продажи (Месяц)","май","Наименование товара","Товар F"),0),IF($B$27=$M$2,IFERROR(GETPIVOTDATA("Выручка",'2 id'!$X$10,"Дата продажи (Месяц)","май","Наименование товара","Товар F"),0),IF($B$27=$M$3,IFERROR(GETPIVOTDATA("Выручка",'1 id'!$AI$10,"Дата продажи (Месяц)","май","Наименование товара","Товар F"),0),IF($B$27=$M$4,IFERROR(GETPIVOTDATA("Выручка",'2 id'!$AF$10,"Дата продажи (Месяц)","май","Наименование товара","Товар F"),0),IF($B$27=$M$5,IFERROR(GETPIVOTDATA("Выручка",'3 id'!$X$10,"Дата продажи (Месяц)","май","Наименование товара","Товар F"),0),0)))))</f>
        <v>0</v>
      </c>
      <c r="H45" s="70">
        <f>IF($B$27=$M$1,IFERROR(GETPIVOTDATA("Выручка",'1 id'!$Y$10,"Дата продажи (Месяц)","июн","Наименование товара","Товар F"),0),IF($B$27=$M$2,IFERROR(GETPIVOTDATA("Выручка",'2 id'!$X$10,"Дата продажи (Месяц)","июн","Наименование товара","Товар F"),0),IF($B$27=$M$3,IFERROR(GETPIVOTDATA("Выручка",'1 id'!$AI$10,"Дата продажи (Месяц)","июн","Наименование товара","Товар F"),0),IF($B$27=$M$4,IFERROR(GETPIVOTDATA("Выручка",'2 id'!$AF$10,"Дата продажи (Месяц)","июн","Наименование товара","Товар F"),0),IF($B$27=$M$5,IFERROR(GETPIVOTDATA("Выручка",'3 id'!$X$10,"Дата продажи (Месяц)","июн","Наименование товара","Товар F"),0),0)))))</f>
        <v>0</v>
      </c>
    </row>
    <row r="46" spans="1:8" x14ac:dyDescent="0.25">
      <c r="A46" s="91"/>
      <c r="B46" s="3" t="s">
        <v>525</v>
      </c>
      <c r="C46" s="20">
        <f t="shared" ref="C46:H46" si="12">IFERROR(C45/C44*100%-100%,0)</f>
        <v>0.67999999999999994</v>
      </c>
      <c r="D46" s="20">
        <f t="shared" si="12"/>
        <v>-0.51304347826086949</v>
      </c>
      <c r="E46" s="20">
        <f t="shared" si="12"/>
        <v>-0.62541806020066892</v>
      </c>
      <c r="F46" s="20">
        <f t="shared" si="12"/>
        <v>0</v>
      </c>
      <c r="G46" s="20">
        <f t="shared" si="12"/>
        <v>0</v>
      </c>
      <c r="H46" s="71">
        <f t="shared" si="12"/>
        <v>0</v>
      </c>
    </row>
    <row r="47" spans="1:8" x14ac:dyDescent="0.25">
      <c r="A47" s="91" t="s">
        <v>522</v>
      </c>
      <c r="B47" s="3" t="s">
        <v>472</v>
      </c>
      <c r="C47" s="3">
        <f>IF($B$27=$M$1,'Справочная информация'!I46,IF('Итоговые таблицы'!$B$27='Итоговые таблицы'!$M$2,'Справочная информация'!I62,IF('Итоговые таблицы'!$B$27='Итоговые таблицы'!$M$3,'Справочная информация'!I38,IF('Итоговые таблицы'!$M$4='Итоговые таблицы'!B27,'Справочная информация'!I54,'Справочная информация'!I70))))</f>
        <v>10000</v>
      </c>
      <c r="D47" s="3">
        <f>IF($B$27=$M$1,'Справочная информация'!J46,IF('Итоговые таблицы'!$B$27='Итоговые таблицы'!$M$2,'Справочная информация'!J62,IF('Итоговые таблицы'!$B$27='Итоговые таблицы'!$M$3,'Справочная информация'!J38,IF('Итоговые таблицы'!$M$4='Итоговые таблицы'!C27,'Справочная информация'!J54,'Справочная информация'!J70))))</f>
        <v>11500</v>
      </c>
      <c r="E47" s="3">
        <f>IF($B$27=$M$1,'Справочная информация'!K46,IF('Итоговые таблицы'!$B$27='Итоговые таблицы'!$M$2,'Справочная информация'!K62,IF('Итоговые таблицы'!$B$27='Итоговые таблицы'!$M$3,'Справочная информация'!K38,IF('Итоговые таблицы'!$M$4='Итоговые таблицы'!D27,'Справочная информация'!K54,'Справочная информация'!K70))))</f>
        <v>14950</v>
      </c>
      <c r="F47" s="3">
        <f>IF($B$27=$M$1,'Справочная информация'!L46,IF('Итоговые таблицы'!$B$27='Итоговые таблицы'!$M$2,'Справочная информация'!L62,IF('Итоговые таблицы'!$B$27='Итоговые таблицы'!$M$3,'Справочная информация'!L38,IF('Итоговые таблицы'!$M$4='Итоговые таблицы'!E27,'Справочная информация'!L54,'Справочная информация'!L70))))</f>
        <v>0</v>
      </c>
      <c r="G47" s="3">
        <f>IF($B$27=$M$1,'Справочная информация'!M46,IF('Итоговые таблицы'!$B$27='Итоговые таблицы'!$M$2,'Справочная информация'!M62,IF('Итоговые таблицы'!$B$27='Итоговые таблицы'!$M$3,'Справочная информация'!M38,IF('Итоговые таблицы'!$M$4='Итоговые таблицы'!F27,'Справочная информация'!M54,'Справочная информация'!M70))))</f>
        <v>0</v>
      </c>
      <c r="H47" s="70">
        <f>IF($B$27=$M$1,'Справочная информация'!N46,IF('Итоговые таблицы'!$B$27='Итоговые таблицы'!$M$2,'Справочная информация'!N62,IF('Итоговые таблицы'!$B$27='Итоговые таблицы'!$M$3,'Справочная информация'!N38,IF('Итоговые таблицы'!$M$4='Итоговые таблицы'!G27,'Справочная информация'!N54,'Справочная информация'!N70))))</f>
        <v>0</v>
      </c>
    </row>
    <row r="48" spans="1:8" x14ac:dyDescent="0.25">
      <c r="A48" s="91"/>
      <c r="B48" s="3" t="s">
        <v>473</v>
      </c>
      <c r="C48" s="3">
        <f>IF($B$27=$M$1,IFERROR(GETPIVOTDATA("Выручка",'1 id'!$Y$4,"Дата продажи (Месяц)","янв"),0),IF($B$27=$M$2,IFERROR(GETPIVOTDATA("Выручка",'2 id'!$X$4,"Дата продажи (Месяц)","янв"),0),IF($B$27=$M$3,IFERROR(GETPIVOTDATA("Выручка",'1 id'!$AI$4,"Дата продажи (Месяц)","янв"),0),IF($B$27=$M$4,IFERROR(GETPIVOTDATA("Выручка",'2 id'!$AF$4,"Дата продажи (Месяц)","янв"),0),IF($B$27=$M$5,IFERROR(GETPIVOTDATA("Выручка",'3 id'!$X$4,"Дата продажи (Месяц)","янв"),0),0)))))</f>
        <v>19594</v>
      </c>
      <c r="D48" s="3">
        <f>IF($B$27=$M$1,IFERROR(GETPIVOTDATA("Выручка",'1 id'!$Y$4,"Дата продажи (Месяц)","фев"),0),IF($B$27=$M$2,IFERROR(GETPIVOTDATA("Выручка",'2 id'!$X$4,"Дата продажи (Месяц)","фев"),0),IF($B$27=$M$3,IFERROR(GETPIVOTDATA("Выручка",'1 id'!$AI$4,"Дата продажи (Месяц)","фев"),0),IF($B$27=$M$4,IFERROR(GETPIVOTDATA("Выручка",'2 id'!$AF$4,"Дата продажи (Месяц)","фев"),0),IF($B$27=$M$5,IFERROR(GETPIVOTDATA("Выручка",'3 id'!$X$4,"Дата продажи (Месяц)","фев"),0),0)))))</f>
        <v>11511</v>
      </c>
      <c r="E48" s="3">
        <f>IF($B$27=$M$1,IFERROR(GETPIVOTDATA("Выручка",'1 id'!$Y$4,"Дата продажи (Месяц)","мар"),0),IF($B$27=$M$2,IFERROR(GETPIVOTDATA("Выручка",'2 id'!$X$4,"Дата продажи (Месяц)","мар"),0),IF($B$27=$M$3,IFERROR(GETPIVOTDATA("Выручка",'1 id'!$AI$4,"Дата продажи (Месяц)","мар"),0),IF($B$27=$M$4,IFERROR(GETPIVOTDATA("Выручка",'2 id'!$AF$4,"Дата продажи (Месяц)","мар"),0),IF($B$27=$M$5,IFERROR(GETPIVOTDATA("Выручка",'3 id'!$X$4,"Дата продажи (Месяц)","мар"),0),0)))))</f>
        <v>16062</v>
      </c>
      <c r="F48" s="3">
        <f>IF($B$27=$M$1,IFERROR(GETPIVOTDATA("Выручка",'1 id'!$Y$4,"Дата продажи (Месяц)","апр"),0),IF($B$27=$M$2,IFERROR(GETPIVOTDATA("Выручка",'2 id'!$X$4,"Дата продажи (Месяц)","апр"),0),IF($B$27=$M$3,IFERROR(GETPIVOTDATA("Выручка",'1 id'!$AI$4,"Дата продажи (Месяц)","апр"),0),IF($B$27=$M$4,IFERROR(GETPIVOTDATA("Выручка",'2 id'!$AF$4,"Дата продажи (Месяц)","апр"),0),IF($B$27=$M$5,IFERROR(GETPIVOTDATA("Выручка",'3 id'!$X$4,"Дата продажи (Месяц)","апр"),0),0)))))</f>
        <v>0</v>
      </c>
      <c r="G48" s="3">
        <f>IF($B$27=$M$1,IFERROR(GETPIVOTDATA("Выручка",'1 id'!$Y$4,"Дата продажи (Месяц)","май"),0),IF($B$27=$M$2,IFERROR(GETPIVOTDATA("Выручка",'2 id'!$X$4,"Дата продажи (Месяц)","май"),0),IF($B$27=$M$3,IFERROR(GETPIVOTDATA("Выручка",'1 id'!$AI$4,"Дата продажи (Месяц)","май"),0),IF($B$27=$M$4,IFERROR(GETPIVOTDATA("Выручка",'2 id'!$AF$4,"Дата продажи (Месяц)","май"),0),IF($B$27=$M$5,IFERROR(GETPIVOTDATA("Выручка",'3 id'!$X$4,"Дата продажи (Месяц)","май"),0),0)))))</f>
        <v>0</v>
      </c>
      <c r="H48" s="70">
        <f>IF($B$27=$M$1,IFERROR(GETPIVOTDATA("Выручка",'1 id'!$Y$4,"Дата продажи (Месяц)","июн"),0),IF($B$27=$M$2,IFERROR(GETPIVOTDATA("Выручка",'2 id'!$X$4,"Дата продажи (Месяц)","июн"),0),IF($B$27=$M$3,IFERROR(GETPIVOTDATA("Выручка",'1 id'!$AI$4,"Дата продажи (Месяц)","июн"),0),IF($B$27=$M$4,IFERROR(GETPIVOTDATA("Выручка",'2 id'!$AF$4,"Дата продажи (Месяц)","июн"),0),IF($B$27=$M$5,IFERROR(GETPIVOTDATA("Выручка",'3 id'!$X$4,"Дата продажи (Месяц)","июн"),0),0)))))</f>
        <v>0</v>
      </c>
    </row>
    <row r="49" spans="1:8" ht="15.75" thickBot="1" x14ac:dyDescent="0.3">
      <c r="A49" s="92"/>
      <c r="B49" s="72" t="s">
        <v>525</v>
      </c>
      <c r="C49" s="73">
        <f t="shared" ref="C49:H49" si="13">IFERROR(C48/C47*100%-100%,0)</f>
        <v>0.95940000000000003</v>
      </c>
      <c r="D49" s="73">
        <f t="shared" si="13"/>
        <v>9.5652173913052252E-4</v>
      </c>
      <c r="E49" s="73">
        <f t="shared" si="13"/>
        <v>7.4381270903010055E-2</v>
      </c>
      <c r="F49" s="73">
        <f t="shared" si="13"/>
        <v>0</v>
      </c>
      <c r="G49" s="73">
        <f t="shared" si="13"/>
        <v>0</v>
      </c>
      <c r="H49" s="74">
        <f t="shared" si="13"/>
        <v>0</v>
      </c>
    </row>
  </sheetData>
  <mergeCells count="16">
    <mergeCell ref="A18:A20"/>
    <mergeCell ref="A21:A23"/>
    <mergeCell ref="C1:H1"/>
    <mergeCell ref="A3:A5"/>
    <mergeCell ref="A6:A8"/>
    <mergeCell ref="A9:A11"/>
    <mergeCell ref="A12:A14"/>
    <mergeCell ref="A15:A17"/>
    <mergeCell ref="A44:A46"/>
    <mergeCell ref="A47:A49"/>
    <mergeCell ref="C27:H27"/>
    <mergeCell ref="A29:A31"/>
    <mergeCell ref="A32:A34"/>
    <mergeCell ref="A35:A37"/>
    <mergeCell ref="A38:A40"/>
    <mergeCell ref="A41:A43"/>
  </mergeCells>
  <conditionalFormatting sqref="C8:E8">
    <cfRule type="colorScale" priority="54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11:E11">
    <cfRule type="colorScale" priority="51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14:E14">
    <cfRule type="colorScale" priority="48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17:E17">
    <cfRule type="colorScale" priority="45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23:E23">
    <cfRule type="colorScale" priority="39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5:H5">
    <cfRule type="cellIs" dxfId="27" priority="55" operator="lessThan">
      <formula>0</formula>
    </cfRule>
    <cfRule type="cellIs" dxfId="26" priority="56" operator="greaterThan">
      <formula>0</formula>
    </cfRule>
    <cfRule type="colorScale" priority="57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8:H8">
    <cfRule type="cellIs" dxfId="25" priority="1" operator="lessThan">
      <formula>0</formula>
    </cfRule>
    <cfRule type="cellIs" dxfId="24" priority="2" operator="greaterThan">
      <formula>0</formula>
    </cfRule>
  </conditionalFormatting>
  <conditionalFormatting sqref="C11:H11">
    <cfRule type="cellIs" dxfId="23" priority="4" operator="lessThan">
      <formula>0</formula>
    </cfRule>
    <cfRule type="cellIs" dxfId="22" priority="5" operator="greaterThan">
      <formula>0</formula>
    </cfRule>
  </conditionalFormatting>
  <conditionalFormatting sqref="C14:H14">
    <cfRule type="cellIs" dxfId="21" priority="7" operator="lessThan">
      <formula>0</formula>
    </cfRule>
    <cfRule type="cellIs" dxfId="20" priority="8" operator="greaterThan">
      <formula>0</formula>
    </cfRule>
  </conditionalFormatting>
  <conditionalFormatting sqref="C17:H17">
    <cfRule type="cellIs" dxfId="19" priority="10" operator="lessThan">
      <formula>0</formula>
    </cfRule>
    <cfRule type="cellIs" dxfId="18" priority="11" operator="greaterThan">
      <formula>0</formula>
    </cfRule>
  </conditionalFormatting>
  <conditionalFormatting sqref="C20:H20">
    <cfRule type="cellIs" dxfId="17" priority="40" operator="lessThan">
      <formula>0</formula>
    </cfRule>
    <cfRule type="cellIs" dxfId="16" priority="41" operator="greaterThan">
      <formula>0</formula>
    </cfRule>
    <cfRule type="colorScale" priority="42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23:H23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C31:H31">
    <cfRule type="cellIs" dxfId="13" priority="34" operator="lessThan">
      <formula>0</formula>
    </cfRule>
    <cfRule type="cellIs" dxfId="12" priority="35" operator="greaterThan">
      <formula>0</formula>
    </cfRule>
    <cfRule type="colorScale" priority="36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34:H34">
    <cfRule type="cellIs" dxfId="11" priority="31" operator="lessThan">
      <formula>0</formula>
    </cfRule>
    <cfRule type="cellIs" dxfId="10" priority="32" operator="greaterThan">
      <formula>0</formula>
    </cfRule>
    <cfRule type="colorScale" priority="33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37:H37">
    <cfRule type="cellIs" dxfId="9" priority="28" operator="lessThan">
      <formula>0</formula>
    </cfRule>
    <cfRule type="cellIs" dxfId="8" priority="29" operator="greaterThan">
      <formula>0</formula>
    </cfRule>
    <cfRule type="colorScale" priority="30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40:H40">
    <cfRule type="cellIs" dxfId="7" priority="25" operator="lessThan">
      <formula>0</formula>
    </cfRule>
    <cfRule type="cellIs" dxfId="6" priority="26" operator="greaterThan">
      <formula>0</formula>
    </cfRule>
    <cfRule type="colorScale" priority="27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43:H43">
    <cfRule type="cellIs" dxfId="5" priority="22" operator="lessThan">
      <formula>0</formula>
    </cfRule>
    <cfRule type="cellIs" dxfId="4" priority="23" operator="greaterThan">
      <formula>0</formula>
    </cfRule>
    <cfRule type="colorScale" priority="24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46:H46">
    <cfRule type="cellIs" dxfId="3" priority="19" operator="lessThan">
      <formula>0</formula>
    </cfRule>
    <cfRule type="cellIs" dxfId="2" priority="20" operator="greaterThan">
      <formula>0</formula>
    </cfRule>
    <cfRule type="colorScale" priority="21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C49:H49">
    <cfRule type="cellIs" dxfId="1" priority="16" operator="lessThan">
      <formula>0</formula>
    </cfRule>
    <cfRule type="cellIs" dxfId="0" priority="17" operator="greaterThan">
      <formula>0</formula>
    </cfRule>
    <cfRule type="colorScale" priority="18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F8:H8">
    <cfRule type="colorScale" priority="3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F11:H11">
    <cfRule type="colorScale" priority="6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F14:H14">
    <cfRule type="colorScale" priority="9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F17:H17">
    <cfRule type="colorScale" priority="12">
      <colorScale>
        <cfvo type="formula" val="&quot;&gt;=0&quot;"/>
        <cfvo type="formula" val="&quot;&lt;0&quot;"/>
        <color theme="9"/>
        <color rgb="FFFF0000"/>
      </colorScale>
    </cfRule>
  </conditionalFormatting>
  <conditionalFormatting sqref="F23:H23">
    <cfRule type="colorScale" priority="15">
      <colorScale>
        <cfvo type="formula" val="&quot;&gt;=0&quot;"/>
        <cfvo type="formula" val="&quot;&lt;0&quot;"/>
        <color theme="9"/>
        <color rgb="FFFF0000"/>
      </colorScale>
    </cfRule>
  </conditionalFormatting>
  <dataValidations count="2">
    <dataValidation type="list" allowBlank="1" showInputMessage="1" showErrorMessage="1" sqref="B1">
      <formula1>$K$1:$K$3</formula1>
    </dataValidation>
    <dataValidation type="list" allowBlank="1" showInputMessage="1" showErrorMessage="1" sqref="B27">
      <formula1>$M$1:$M$5</formula1>
    </dataValidation>
  </dataValidations>
  <pageMargins left="0.7" right="0.7" top="0.75" bottom="0.75" header="0.3" footer="0.3"/>
  <ignoredErrors>
    <ignoredError sqref="D36 D30 D33 D39 D42 D45 D4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11"/>
  <sheetViews>
    <sheetView workbookViewId="0">
      <selection activeCell="D24" sqref="D24"/>
    </sheetView>
  </sheetViews>
  <sheetFormatPr defaultRowHeight="15" x14ac:dyDescent="0.25"/>
  <cols>
    <col min="1" max="1" width="20.140625" customWidth="1"/>
    <col min="2" max="2" width="58" customWidth="1"/>
  </cols>
  <sheetData>
    <row r="1" spans="1:2" ht="22.5" customHeight="1" x14ac:dyDescent="0.25">
      <c r="A1" s="55" t="s">
        <v>526</v>
      </c>
      <c r="B1" s="56" t="s">
        <v>527</v>
      </c>
    </row>
    <row r="2" spans="1:2" x14ac:dyDescent="0.25">
      <c r="A2" s="3" t="s">
        <v>528</v>
      </c>
      <c r="B2" s="3" t="s">
        <v>529</v>
      </c>
    </row>
    <row r="3" spans="1:2" x14ac:dyDescent="0.25">
      <c r="A3" s="3" t="s">
        <v>530</v>
      </c>
      <c r="B3" s="3" t="s">
        <v>531</v>
      </c>
    </row>
    <row r="4" spans="1:2" x14ac:dyDescent="0.25">
      <c r="A4" s="3" t="s">
        <v>532</v>
      </c>
      <c r="B4" s="3" t="s">
        <v>533</v>
      </c>
    </row>
    <row r="5" spans="1:2" x14ac:dyDescent="0.25">
      <c r="A5" s="3" t="s">
        <v>534</v>
      </c>
      <c r="B5" s="3" t="s">
        <v>535</v>
      </c>
    </row>
    <row r="6" spans="1:2" x14ac:dyDescent="0.25">
      <c r="A6" s="3" t="s">
        <v>536</v>
      </c>
      <c r="B6" s="3" t="s">
        <v>537</v>
      </c>
    </row>
    <row r="7" spans="1:2" x14ac:dyDescent="0.25">
      <c r="A7" s="3" t="s">
        <v>538</v>
      </c>
      <c r="B7" s="3" t="s">
        <v>539</v>
      </c>
    </row>
    <row r="8" spans="1:2" x14ac:dyDescent="0.25">
      <c r="A8" s="3" t="s">
        <v>540</v>
      </c>
      <c r="B8" s="3" t="s">
        <v>541</v>
      </c>
    </row>
    <row r="9" spans="1:2" x14ac:dyDescent="0.25">
      <c r="A9" s="3" t="s">
        <v>542</v>
      </c>
      <c r="B9" s="3" t="s">
        <v>543</v>
      </c>
    </row>
    <row r="10" spans="1:2" x14ac:dyDescent="0.25">
      <c r="A10" s="3" t="s">
        <v>544</v>
      </c>
      <c r="B10" s="3" t="s">
        <v>545</v>
      </c>
    </row>
    <row r="11" spans="1:2" x14ac:dyDescent="0.25">
      <c r="A11" s="3" t="s">
        <v>546</v>
      </c>
      <c r="B11" s="3" t="s">
        <v>547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"01;8F03 ' [ 5@0 K@065=85  AAK;05BAO  =0  =5A:>;L:>  AB>;1F>2.   5A:>;L:>  AB>;1F>2  =5;L7O  ?@5>1@07>20BL  2  A:0;O@=>5  7=0G5=85 5@0 "01;8F0 "01;8F03 ' [ 5@0 K@065=85  AAK;05BAO  =0  =5A:>;L:>  AB>;1F>2.   5A:>;L:>  AB>;1F>2  =5;L7O  ?@5>1@07>20BL  2  A:0;O@=>5  7=0G5=85 5@0 "01;8F0 
</file>

<file path=customXml/item6.xml>�� 1@5=4KK 
</file>

<file path=customXml/item7.xml>�� "01;8F0 "01;8F0 1@5=4KK 
</file>

<file path=customXml/item8.xml>�� "01;8F03 , "01;8F04 6 , 1@5=4KK 
</file>

<file path=customXml/item9.xml>�� 
</file>

<file path=customXml/item10.xml>�� 
</file>

<file path=customXml/item11.xml>�� 
</file>

<file path=customXml/item12.xml>�� "01;8F0 !  4>3>2>@0 5=5465@  ?>  ?@>4060< 45?0@B0<5=B0 $  ?>:C?0B5;O >@>4  >B?@02;5=8O 08<5=>20=85  B>20@0 @5=4 0B0  ?@>4068 20@B0; 0;>20O  A515AB>8<>ABL,   BA.   548=8FK,   @C1 >;=0O  A515AB>8<>ABL  548=8FK,   @C1 &5=0  70  548=8FC  ( A  CG5B><  =0F5=:8  ?@>402F0) ,   @C1 5@A>=0;L=0O  A:84:0  <5=5465@0 &5=0  ?@>4068  A  CG5B><  ?5@A>=0;L=>9  A:84:8,   @C1 ><8AA8O  ?@>402F0 ><8AA8O  ?@>402F0,   @C1 0B0  ?@>4068  ( =45:A  <5AOF0 0B0  ?@>4068  ( 5AOF !  4>3>2>@0 5=5465@  ?>  ?@>4060< 45?0@B0<5=B0 $  ?>:C?0B5;O >@>4  >B?@02;5=8O 08<5=>20=85  B>20@0 @5=4 0B0  ?@>4068 20@B0; 0;>20O  A515AB>8<>ABL,   BA.   548=8FK,   @C1 >;=0O  A515AB>8<>ABL  548=8FK,   @C1 &5=0  70  548=8FC  ( A  CG5B><  =0F5=:8  ?@>402F0) ,   @C1 5@A>=0;L=0O  A:84:0  <5=5465@0 &5=0  ?@>4068  A  CG5B><  ?5@A>=0;L=>9  A:84:8,   @C1 ><8AA8O  ?@>402F0 ><8AA8O  ?@>402F0,   @C1 0B0  ?@>4068  ( =45:A  <5AOF0 0B0  ?@>4068  ( 5AOF 
</file>

<file path=customXml/item13.xml>�� 
</file>

<file path=customXml/item14.xml>�� "01;8F0 @5=4 !B@0=0  ?>AB02I8:0 @5=4 !B@0=0  ?>AB02I8:0 
</file>

<file path=customXml/item15.xml>�� 
</file>

<file path=customXml/item16.xml>�� 1@5=4KK @5=4 !B@0=0  ?>AB02I8:0 @5=4 !B@0=0  ?>AB02I8:0 
</file>

<file path=customXml/item17.xml>�� "01;8F0 "01;8F0 !  4>3>2>@0 5=5465@  ?>  ?@>4060< 45?0@B0<5=B0 $  ?>:C?0B5;O >@>4  >B?@02;5=8O 08<5=>20=85  B>20@0 @5=4 0B0  ?@>4068 20@B0; 0;>20O  A515AB>8<>ABL,   BA.   548=8FK,   @C1 >;=0O  A515AB>8<>ABL  548=8FK,   @C1 &5=0  70  548=8FC  ( A  CG5B><  =0F5=:8  ?@>402F0) ,   @C1 5@A>=0;L=0O  A:84:0  <5=5465@0 &5=0  ?@>4068  A  CG5B><  ?5@A>=0;L=>9  A:84:8,   @C1 ><8AA8O  ?@>402F0 ><8AA8O  ?@>402F0,   @C1 0B0  ?@>4068  ( =45:A  <5AOF0 0B0  ?@>4068  ( 5AOF "01;8F0 "01;8F0 @5=4 !B@0=0  ?>AB02I8:0 1@5=4KK 1@5=4KK @5=4 !B@0=0  ?>AB02I8:0 
</file>

<file path=customXml/item18.xml>�� "01;8F0 "01;8F0 '8A;>  M;5<5=B>2  2  AB>;1F5  !  4>3>2>@0 '8A;>  M;5<5=B>2  2  AB>;1F5  !  4>3>2>@0 $>@<C;0 '8A;>  M;5<5=B>2  2  AB>;1F5  !  4>3>2>@0 =0G5=85 '8A;>  M;5<5=B>2  2  AB>;1F5  0B0  ?@>4068  ( 5AOF '8A;>  M;5<5=B>2  2  AB>;1F5  0B0  ?@>4068  ( 5AOF $>@<C;0 '8A;>  M;5<5=B>2  2  AB>;1F5  0B0  ?@>4068  ( 5AOF =0G5=85 '8A;>  M;5<5=B>2  2  AB>;1F5  0B0  ?@>4068 '8A;>  M;5<5=B>2  2  AB>;1F5  0B0  ?@>4068 $>@<C;0 '8A;>  M;5<5=B>2  2  AB>;1F5  0B0  ?@>4068 =0G5=85 !C<<0  ?>  AB>;1FC  0;>20O  A515AB>8<>ABL,   BA.   548=8FK,   @C1 !C<<0  ?>  AB>;1FC  0;>20O  A515AB>8<>ABL,   BA.   548=8FK,   @C1 $>@<C;0 !C<<0  ?>  AB>;1FC  0;>20O  A515AB>8<>ABL,   BA.   548=8FK,   @C1 =0G5=85 '8A;>  M;5<5=B>2  2  AB>;1F5  08<5=>20=85  B>20@0 '8A;>  M;5<5=B>2  2  AB>;1F5  08<5=>20=85  B>20@0 $>@<C;0 '8A;>  M;5<5=B>2  2  AB>;1F5  08<5=>20=85  B>20@0 =0G5=85 !C<<0  ?>  AB>;1FC  &5=0  70  548=8FC  ( A  CG5B><  =0F5=:8  ?@>402F0) ,   @C1 !C<<0  ?>  AB>;1FC  &5=0  70  548=8FC  ( A  CG5B><  =0F5=:8  ?@>402F0) ,   @C1 $>@<C;0 !C<<0  ?>  AB>;1FC  &5=0  70  548=8FC  ( A  CG5B><  =0F5=:8  ?@>402F0) ,   @C1 =0G5=85 !C<<0  ?>  AB>;1FC  5@A>=0;L=0O  A:84:0  <5=5465@0 !C<<0  ?>  AB>;1FC  5@A>=0;L=0O  A:84:0  <5=5465@0 $>@<C;0 !C<<0  ?>  AB>;1FC  5@A>=0;L=0O  A:84:0  <5=5465@0 =0G5=85 !C<<0  ?>  AB>;1FC  &5=0  ?@>4068  A  CG5B><  ?5@A>=0;L=>9  A:84:8,   @C1 !C<<0  ?>  AB>;1FC  &5=0  ?@>4068  A  CG5B><  ?5@A>=0;L=>9  A:84:8,   @C1 $>@<C;0 !C<<0  ?>  AB>;1FC  &5=0  ?@>4068  A  CG5B><  ?5@A>=0;L=>9  A:84:8,   @C1 =0G5=85 !C<<0  ?>  AB>;1FC  ><8AA8O  ?@>402F0,   @C1 !C<<0  ?>  AB>;1FC  ><8AA8O  ?@>402F0,   @C1 $>@<C;0 !C<<0  ?>  AB>;1FC  ><8AA8O  ?@>402F0,   @C1 =0G5=85 '8A;>  M;5<5=B>2  2  AB>;1F5  &5=0  70  548=8FC  ( A  CG5B><  =0F5=:8  ?@>402F0) ,   @C1 '8A;>  M;5<5=B>2  2  AB>;1F5  &5=0  70  548=8FC  ( A  CG5B><  =0F5=:8  ?@>402F0) ,   @C1 $>@<C;0 '8A;>  M;5<5=B>2  2  AB>;1F5  &5=0  70  548=8FC  ( A  CG5B><  =0F5=:8  ?@>402F0) ,   @C1 =0G5=85 '8A;>  M;5<5=B>2  2  AB>;1F5  5=5465@  ?>  ?@>4060< '8A;>  M;5<5=B>2  2  AB>;1F5  5=5465@  ?>  ?@>4060< $>@<C;0 '8A;>  M;5<5=B>2  2  AB>;1F5  5=5465@  ?>  ?@>4060< =0G5=85 !C<<0  ?>  AB>;1FC  >;=0O  A515AB>8<>ABL  548=8FK,   @C1 !C<<0  ?>  AB>;1FC  >;=0O  A515AB>8<>ABL  548=8FK,   @C1 $>@<C;0 !C<<0  ?>  AB>;1FC  >;=0O  A515AB>8<>ABL  548=8FK,   @C1 =0G5=85 !C<<0  ?>  AB>;1FC  ><8AA8O  ?@>402F0 !C<<0  ?>  AB>;1FC  ><8AA8O  ?@>402F0 $>@<C;0 !C<<0  ?>  AB>;1FC  ><8AA8O  ?@>402F0 =0G5=85 5@0 5@0 $>@<C;0 5@0 !5<0=B8G5A:0O  >H81:0 5@0 5@0 $>@<C;0 5@0 !5<0=B8G5A:0O  >H81:0 !  4>3>2>@0 5=5465@  ?>  ?@>4060< 45?0@B0<5=B0 $  ?>:C?0B5;O >@>4  >B?@02;5=8O 08<5=>20=85  B>20@0 @5=4 0B0  ?@>4068 20@B0; 0;>20O  A515AB>8<>ABL,   BA.   548=8FK,   @C1 >;=0O  A515AB>8<>ABL  548=8FK,   @C1 &5=0  70  548=8FC  ( A  CG5B><  =0F5=:8  ?@>402F0) ,   @C1 5@A>=0;L=0O  A:84:0  <5=5465@0 &5=0  ?@>4068  A  CG5B><  ?5@A>=0;L=>9  A:84:8,   @C1 ><8AA8O  ?@>402F0 ><8AA8O  ?@>402F0,   @C1 0B0  ?@>4068  ( =45:A  <5AOF0 0B0  ?@>4068  ( 5AOF '8A;>  M;5<5=B>2  2  AB>;1F5  !  4>3>2>@0 !  4>3>2>@0 '8A;>  M;5<5=B>2  2  AB>;1F5  !  4>3>2>@0 !  4>3>2>@0 '8A;>  M;5<5=B>2  2  AB>;1F5  !  4>3>2>@0 !  4>3>2>@0 '8A;>  M;5<5=B>2  2  AB>;1F5  0B0  ?@>4068  ( 5AOF 0B0  ?@>4068  ( 5AOF '8A;>  M;5<5=B>2  2  AB>;1F5  0B0  ?@>4068  ( 5AOF 0B0  ?@>4068  ( 5AOF '8A;>  M;5<5=B>2  2  AB>;1F5  0B0  ?@>4068  ( 5AOF 0B0  ?@>4068  ( 5AOF '8A;>  M;5<5=B>2  2  AB>;1F5  0B0  ?@>4068 0B0  ?@>4068 '8A;>  M;5<5=B>2  2  AB>;1F5  0B0  ?@>4068 0B0  ?@>4068 '8A;>  M;5<5=B>2  2  AB>;1F5  0B0  ?@>4068 0B0  ?@>4068 !C<<0  ?>  AB>;1FC  0;>20O  A515AB>8<>ABL,   BA.   548=8FK,   @C1 0;>20O  A515AB>8<>ABL,   BA.   548=8FK,   @C1 !C<<0  ?>  AB>;1FC  0;>20O  A515AB>8<>ABL,   BA.   548=8FK,   @C1 0;>20O  A515AB>8<>ABL,   BA.   548=8FK,   @C1 !C<<0  ?>  AB>;1FC  0;>20O  A515AB>8<>ABL,   BA.   548=8FK,   @C1 0;>20O  A515AB>8<>ABL,   BA.   548=8FK,   @C1 '8A;>  M;5<5=B>2  2  AB>;1F5  08<5=>20=85  B>20@0 08<5=>20=85  B>20@0 '8A;>  M;5<5=B>2  2  AB>;1F5  08<5=>20=85  B>20@0 08<5=>20=85  B>20@0 '8A;>  M;5<5=B>2  2  AB>;1F5  08<5=>20=85  B>20@0 08<5=>20=85  B>20@0 !C<<0  ?>  AB>;1FC  &5=0  70  548=8FC  ( A  CG5B><  =0F5=:8  ?@>402F0) ,   @C1 &5=0  70  548=8FC  ( A  CG5B><  =0F5=:8  ?@>402F0) ,   @C1 !C<<0  ?>  AB>;1FC  &5=0  70  548=8FC  ( A  CG5B><  =0F5=:8  ?@>402F0) ,   @C1 &5=0  70  548=8FC  ( A  CG5B><  =0F5=:8  ?@>402F0) ,   @C1 !C<<0  ?>  AB>;1FC  &5=0  70  548=8FC  ( A  CG5B><  =0F5=:8  ?@>402F0) ,   @C1 &5=0  70  548=8FC  ( A  CG5B><  =0F5=:8  ?@>402F0) ,   @C1 !C<<0  ?>  AB>;1FC  5@A>=0;L=0O  A:84:0  <5=5465@0 5@A>=0;L=0O  A:84:0  <5=5465@0 !C<<0  ?>  AB>;1FC  5@A>=0;L=0O  A:84:0  <5=5465@0 5@A>=0;L=0O  A:84:0  <5=5465@0 !C<<0  ?>  AB>;1FC  5@A>=0;L=0O  A:84:0  <5=5465@0 5@A>=0;L=0O  A:84:0  <5=5465@0 !C<<0  ?>  AB>;1FC  &5=0  ?@>4068  A  CG5B><  ?5@A>=0;L=>9  A:84:8,   @C1 &5=0  ?@>4068  A  CG5B><  ?5@A>=0;L=>9  A:84:8,   @C1 !C<<0  ?>  AB>;1FC  &5=0  ?@>4068  A  CG5B><  ?5@A>=0;L=>9  A:84:8,   @C1 &5=0  ?@>4068  A  CG5B><  ?5@A>=0;L=>9  A:84:8,   @C1 !C<<0  ?>  AB>;1FC  &5=0  ?@>4068  A  CG5B><  ?5@A>=0;L=>9  A:84:8,   @C1 &5=0  ?@>4068  A  CG5B><  ?5@A>=0;L=>9  A:84:8,   @C1 !C<<0  ?>  AB>;1FC  ><8AA8O  ?@>402F0,   @C1 ><8AA8O  ?@>402F0,   @C1 !C<<0  ?>  AB>;1FC  ><8AA8O  ?@>402F0,   @C1 ><8AA8O  ?@>402F0,   @C1 !C<<0  ?>  AB>;1FC  ><8AA8O  ?@>402F0,   @C1 ><8AA8O  ?@>402F0,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5=5465@  ?>  ?@>4060< 5=5465@  ?>  ?@>4060< '8A;>  M;5<5=B>2  2  AB>;1F5  5=5465@  ?>  ?@>4060< 5=5465@  ?>  ?@>4060< '8A;>  M;5<5=B>2  2  AB>;1F5  5=5465@  ?>  ?@>4060< 5=5465@  ?>  ?@>4060< !C<<0  ?>  AB>;1FC  >;=0O  A515AB>8<>ABL  548=8FK,   @C1 >;=0O  A515AB>8<>ABL  548=8FK,   @C1 !C<<0  ?>  AB>;1FC  >;=0O  A515AB>8<>ABL  548=8FK,   @C1 >;=0O  A515AB>8<>ABL  548=8FK,   @C1 !C<<0  ?>  AB>;1FC  >;=0O  A515AB>8<>ABL  548=8FK,   @C1 >;=0O  A515AB>8<>ABL  548=8FK,   @C1 !C<<0  ?>  AB>;1FC  ><8AA8O  ?@>402F0 ><8AA8O  ?@>402F0 !C<<0  ?>  AB>;1FC  ><8AA8O  ?@>402F0 ><8AA8O  ?@>402F0 !C<<0  ?>  AB>;1FC  ><8AA8O  ?@>402F0 ><8AA8O  ?@>402F0 '8A;>  M;5<5=B>2  2  AB>;1F5  !  4>3>2>@0 '8A;>  M;5<5=B>2  2  AB>;1F5  !  4>3>2>@0 $>@<C;0 '8A;>  M;5<5=B>2  2  AB>;1F5  !  4>3>2>@0 =0G5=85 '8A;>  M;5<5=B>2  2  AB>;1F5  0B0  ?@>4068  ( 5AOF '8A;>  M;5<5=B>2  2  AB>;1F5  0B0  ?@>4068  ( 5AOF $>@<C;0 '8A;>  M;5<5=B>2  2  AB>;1F5  0B0  ?@>4068  ( 5AOF =0G5=85 '8A;>  M;5<5=B>2  2  AB>;1F5  0B0  ?@>4068 '8A;>  M;5<5=B>2  2  AB>;1F5  0B0  ?@>4068 $>@<C;0 '8A;>  M;5<5=B>2  2  AB>;1F5  0B0  ?@>4068 =0G5=85 !C<<0  ?>  AB>;1FC  0;>20O  A515AB>8<>ABL,   BA.   548=8FK,   @C1 !C<<0  ?>  AB>;1FC  0;>20O  A515AB>8<>ABL,   BA.   548=8FK,   @C1 $>@<C;0 !C<<0  ?>  AB>;1FC  0;>20O  A515AB>8<>ABL,   BA.   548=8FK,   @C1 =0G5=85 '8A;>  M;5<5=B>2  2  AB>;1F5  08<5=>20=85  B>20@0 '8A;>  M;5<5=B>2  2  AB>;1F5  08<5=>20=85  B>20@0 $>@<C;0 '8A;>  M;5<5=B>2  2  AB>;1F5  08<5=>20=85  B>20@0 =0G5=85 !C<<0  ?>  AB>;1FC  &5=0  70  548=8FC  ( A  CG5B><  =0F5=:8  ?@>402F0) ,   @C1 !C<<0  ?>  AB>;1FC  &5=0  70  548=8FC  ( A  CG5B><  =0F5=:8  ?@>402F0) ,   @C1 $>@<C;0 !C<<0  ?>  AB>;1FC  &5=0  70  548=8FC  ( A  CG5B><  =0F5=:8  ?@>402F0) ,   @C1 =0G5=85 !C<<0  ?>  AB>;1FC  5@A>=0;L=0O  A:84:0  <5=5465@0 !C<<0  ?>  AB>;1FC  5@A>=0;L=0O  A:84:0  <5=5465@0 $>@<C;0 !C<<0  ?>  AB>;1FC  5@A>=0;L=0O  A:84:0  <5=5465@0 =0G5=85 !C<<0  ?>  AB>;1FC  &5=0  ?@>4068  A  CG5B><  ?5@A>=0;L=>9  A:84:8,   @C1 !C<<0  ?>  AB>;1FC  &5=0  ?@>4068  A  CG5B><  ?5@A>=0;L=>9  A:84:8,   @C1 $>@<C;0 !C<<0  ?>  AB>;1FC  &5=0  ?@>4068  A  CG5B><  ?5@A>=0;L=>9  A:84:8,   @C1 =0G5=85 !C<<0  ?>  AB>;1FC  ><8AA8O  ?@>402F0,   @C1 !C<<0  ?>  AB>;1FC  ><8AA8O  ?@>402F0,   @C1 $>@<C;0 !C<<0  ?>  AB>;1FC  ><8AA8O  ?@>402F0,   @C1 =0G5=85 '8A;>  M;5<5=B>2  2  AB>;1F5  &5=0  70  548=8FC  ( A  CG5B><  =0F5=:8  ?@>402F0) ,   @C1 '8A;>  M;5<5=B>2  2  AB>;1F5  &5=0  70  548=8FC  ( A  CG5B><  =0F5=:8  ?@>402F0) ,   @C1 $>@<C;0 '8A;>  M;5<5=B>2  2  AB>;1F5  &5=0  70  548=8FC  ( A  CG5B><  =0F5=:8  ?@>402F0) ,   @C1 =0G5=85 '8A;>  M;5<5=B>2  2  AB>;1F5  5=5465@  ?>  ?@>4060< '8A;>  M;5<5=B>2  2  AB>;1F5  5=5465@  ?>  ?@>4060< $>@<C;0 '8A;>  M;5<5=B>2  2  AB>;1F5  5=5465@  ?>  ?@>4060< =0G5=85 !C<<0  ?>  AB>;1FC  >;=0O  A515AB>8<>ABL  548=8FK,   @C1 !C<<0  ?>  AB>;1FC  >;=0O  A515AB>8<>ABL  548=8FK,   @C1 $>@<C;0 !C<<0  ?>  AB>;1FC  >;=0O  A515AB>8<>ABL  548=8FK,   @C1 =0G5=85 !C<<0  ?>  AB>;1FC  ><8AA8O  ?@>402F0 !C<<0  ?>  AB>;1FC  ><8AA8O  ?@>402F0 $>@<C;0 !C<<0  ?>  AB>;1FC  ><8AA8O  ?@>402F0 =0G5=85 5@0 5@0 $>@<C;0 5@0 !5<0=B8G5A:0O  >H81:0 5@0 5@0 $>@<C;0 5@0 !5<0=B8G5A:0O  >H81:0 !  4>3>2>@0 5=5465@  ?>  ?@>4060< 45?0@B0<5=B0 $  ?>:C?0B5;O >@>4  >B?@02;5=8O 08<5=>20=85  B>20@0 @5=4 0B0  ?@>4068 20@B0; 0;>20O  A515AB>8<>ABL,   BA.   548=8FK,   @C1 >;=0O  A515AB>8<>ABL  548=8FK,   @C1 &5=0  70  548=8FC  ( A  CG5B><  =0F5=:8  ?@>402F0) ,   @C1 5@A>=0;L=0O  A:84:0  <5=5465@0 &5=0  ?@>4068  A  CG5B><  ?5@A>=0;L=>9  A:84:8,   @C1 ><8AA8O  ?@>402F0 ><8AA8O  ?@>402F0,   @C1 0B0  ?@>4068  ( =45:A  <5AOF0 0B0  ?@>4068  ( 5AOF '8A;>  M;5<5=B>2  2  AB>;1F5  !  4>3>2>@0 !  4>3>2>@0 '8A;>  M;5<5=B>2  2  AB>;1F5  !  4>3>2>@0 !  4>3>2>@0 '8A;>  M;5<5=B>2  2  AB>;1F5  !  4>3>2>@0 !  4>3>2>@0 '8A;>  M;5<5=B>2  2  AB>;1F5  0B0  ?@>4068  ( 5AOF 0B0  ?@>4068  ( 5AOF '8A;>  M;5<5=B>2  2  AB>;1F5  0B0  ?@>4068  ( 5AOF 0B0  ?@>4068  ( 5AOF '8A;>  M;5<5=B>2  2  AB>;1F5  0B0  ?@>4068  ( 5AOF 0B0  ?@>4068  ( 5AOF '8A;>  M;5<5=B>2  2  AB>;1F5  0B0  ?@>4068 0B0  ?@>4068 '8A;>  M;5<5=B>2  2  AB>;1F5  0B0  ?@>4068 0B0  ?@>4068 '8A;>  M;5<5=B>2  2  AB>;1F5  0B0  ?@>4068 0B0  ?@>4068 !C<<0  ?>  AB>;1FC  0;>20O  A515AB>8<>ABL,   BA.   548=8FK,   @C1 0;>20O  A515AB>8<>ABL,   BA.   548=8FK,   @C1 !C<<0  ?>  AB>;1FC  0;>20O  A515AB>8<>ABL,   BA.   548=8FK,   @C1 0;>20O  A515AB>8<>ABL,   BA.   548=8FK,   @C1 !C<<0  ?>  AB>;1FC  0;>20O  A515AB>8<>ABL,   BA.   548=8FK,   @C1 0;>20O  A515AB>8<>ABL,   BA.   548=8FK,   @C1 '8A;>  M;5<5=B>2  2  AB>;1F5  08<5=>20=85  B>20@0 08<5=>20=85  B>20@0 '8A;>  M;5<5=B>2  2  AB>;1F5  08<5=>20=85  B>20@0 08<5=>20=85  B>20@0 '8A;>  M;5<5=B>2  2  AB>;1F5  08<5=>20=85  B>20@0 08<5=>20=85  B>20@0 !C<<0  ?>  AB>;1FC  &5=0  70  548=8FC  ( A  CG5B><  =0F5=:8  ?@>402F0) ,   @C1 &5=0  70  548=8FC  ( A  CG5B><  =0F5=:8  ?@>402F0) ,   @C1 !C<<0  ?>  AB>;1FC  &5=0  70  548=8FC  ( A  CG5B><  =0F5=:8  ?@>402F0) ,   @C1 &5=0  70  548=8FC  ( A  CG5B><  =0F5=:8  ?@>402F0) ,   @C1 !C<<0  ?>  AB>;1FC  &5=0  70  548=8FC  ( A  CG5B><  =0F5=:8  ?@>402F0) ,   @C1 &5=0  70  548=8FC  ( A  CG5B><  =0F5=:8  ?@>402F0) ,   @C1 !C<<0  ?>  AB>;1FC  5@A>=0;L=0O  A:84:0  <5=5465@0 5@A>=0;L=0O  A:84:0  <5=5465@0 !C<<0  ?>  AB>;1FC  5@A>=0;L=0O  A:84:0  <5=5465@0 5@A>=0;L=0O  A:84:0  <5=5465@0 !C<<0  ?>  AB>;1FC  5@A>=0;L=0O  A:84:0  <5=5465@0 5@A>=0;L=0O  A:84:0  <5=5465@0 !C<<0  ?>  AB>;1FC  &5=0  ?@>4068  A  CG5B><  ?5@A>=0;L=>9  A:84:8,   @C1 &5=0  ?@>4068  A  CG5B><  ?5@A>=0;L=>9  A:84:8,   @C1 !C<<0  ?>  AB>;1FC  &5=0  ?@>4068  A  CG5B><  ?5@A>=0;L=>9  A:84:8,   @C1 &5=0  ?@>4068  A  CG5B><  ?5@A>=0;L=>9  A:84:8,   @C1 !C<<0  ?>  AB>;1FC  &5=0  ?@>4068  A  CG5B><  ?5@A>=0;L=>9  A:84:8,   @C1 &5=0  ?@>4068  A  CG5B><  ?5@A>=0;L=>9  A:84:8,   @C1 !C<<0  ?>  AB>;1FC  ><8AA8O  ?@>402F0,   @C1 ><8AA8O  ?@>402F0,   @C1 !C<<0  ?>  AB>;1FC  ><8AA8O  ?@>402F0,   @C1 ><8AA8O  ?@>402F0,   @C1 !C<<0  ?>  AB>;1FC  ><8AA8O  ?@>402F0,   @C1 ><8AA8O  ?@>402F0,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&5=0  70  548=8FC  ( A  CG5B><  =0F5=:8  ?@>402F0) ,   @C1 &5=0  70  548=8FC  ( A  CG5B><  =0F5=:8  ?@>402F0) ,   @C1 '8A;>  M;5<5=B>2  2  AB>;1F5  5=5465@  ?>  ?@>4060< 5=5465@  ?>  ?@>4060< '8A;>  M;5<5=B>2  2  AB>;1F5  5=5465@  ?>  ?@>4060< 5=5465@  ?>  ?@>4060< '8A;>  M;5<5=B>2  2  AB>;1F5  5=5465@  ?>  ?@>4060< 5=5465@  ?>  ?@>4060< !C<<0  ?>  AB>;1FC  >;=0O  A515AB>8<>ABL  548=8FK,   @C1 >;=0O  A515AB>8<>ABL  548=8FK,   @C1 !C<<0  ?>  AB>;1FC  >;=0O  A515AB>8<>ABL  548=8FK,   @C1 >;=0O  A515AB>8<>ABL  548=8FK,   @C1 !C<<0  ?>  AB>;1FC  >;=0O  A515AB>8<>ABL  548=8FK,   @C1 >;=0O  A515AB>8<>ABL  548=8FK,   @C1 !C<<0  ?>  AB>;1FC  ><8AA8O  ?@>402F0 ><8AA8O  ?@>402F0 !C<<0  ?>  AB>;1FC  ><8AA8O  ?@>402F0 ><8AA8O  ?@>402F0 !C<<0  ?>  AB>;1FC  ><8AA8O  ?@>402F0 ><8AA8O  ?@>402F0 "01;8F0 "01;8F0 '8A;>  M;5<5=B>2  2  AB>;1F5  !B@0=0  ?>AB02I8:0 '8A;>  M;5<5=B>2  2  AB>;1F5  !B@0=0  ?>AB02I8:0 $>@<C;0 '8A;>  M;5<5=B>2  2  AB>;1F5  !B@0=0  ?>AB02I8:0 =0G5=85 @5=4 !B@0=0  ?>AB02I8:0 '8A;>  M;5<5=B>2  2  AB>;1F5  !B@0=0  ?>AB02I8:0 !B@0=0  ?>AB02I8:0 '8A;>  M;5<5=B>2  2  AB>;1F5  !B@0=0  ?>AB02I8:0 !B@0=0  ?>AB02I8:0 '8A;>  M;5<5=B>2  2  AB>;1F5  !B@0=0  ?>AB02I8:0 !B@0=0  ?>AB02I8:0 '8A;>  M;5<5=B>2  2  AB>;1F5  !B@0=0  ?>AB02I8:0 '8A;>  M;5<5=B>2  2  AB>;1F5  !B@0=0  ?>AB02I8:0 $>@<C;0 '8A;>  M;5<5=B>2  2  AB>;1F5  !B@0=0  ?>AB02I8:0 =0G5=85 @5=4 !B@0=0  ?>AB02I8:0 '8A;>  M;5<5=B>2  2  AB>;1F5  !B@0=0  ?>AB02I8:0 !B@0=0  ?>AB02I8:0 '8A;>  M;5<5=B>2  2  AB>;1F5  !B@0=0  ?>AB02I8:0 !B@0=0  ?>AB02I8:0 '8A;>  M;5<5=B>2  2  AB>;1F5  !B@0=0  ?>AB02I8:0 !B@0=0  ?>AB02I8:0 1@5=4KK 1@5=4KK @5=4 !B@0=0  ?>AB02I8:0 @5=4 !B@0=0  ?>AB02I8:0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1B395754-FAD2-4B92-9579-2721EE672126}">
  <ds:schemaRefs>
    <ds:schemaRef ds:uri="http://gemini/pivotcustomization/ManualCalcMode"/>
  </ds:schemaRefs>
</ds:datastoreItem>
</file>

<file path=customXml/itemProps2.xml><?xml version="1.0" encoding="utf-8"?>
<ds:datastoreItem xmlns:ds="http://schemas.openxmlformats.org/officeDocument/2006/customXml" ds:itemID="{7A998AC6-B964-4285-A66A-606BC556AACF}">
  <ds:schemaRefs/>
</ds:datastoreItem>
</file>

<file path=customXml/itemProps3.xml><?xml version="1.0" encoding="utf-8"?>
<ds:datastoreItem xmlns:ds="http://schemas.openxmlformats.org/officeDocument/2006/customXml" ds:itemID="{7CAA19D7-AD2B-4899-9E1C-D9066E8791A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BF448F3-4758-4E3D-B55B-64BA48C52268}">
  <ds:schemaRefs>
    <ds:schemaRef ds:uri="http://gemini/pivotcustomization/TableCountInSandbox"/>
  </ds:schemaRefs>
</ds:datastoreItem>
</file>

<file path=customXml/itemProps5.xml><?xml version="1.0" encoding="utf-8"?>
<ds:datastoreItem xmlns:ds="http://schemas.openxmlformats.org/officeDocument/2006/customXml" ds:itemID="{799A324F-5DC5-4FB2-96CB-12A2A1F37431}">
  <ds:schemaRefs/>
</ds:datastoreItem>
</file>

<file path=customXml/itemProps6.xml><?xml version="1.0" encoding="utf-8"?>
<ds:datastoreItem xmlns:ds="http://schemas.openxmlformats.org/officeDocument/2006/customXml" ds:itemID="{EE9BD809-62E2-4972-8E81-AD309FCA6342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5AA8BE0F-B8C5-4FF7-9851-688245A06737}">
  <ds:schemaRefs>
    <ds:schemaRef ds:uri="http://gemini/pivotcustomization/MeasureGridState"/>
  </ds:schemaRefs>
</ds:datastoreItem>
</file>

<file path=customXml/itemProps8.xml><?xml version="1.0" encoding="utf-8"?>
<ds:datastoreItem xmlns:ds="http://schemas.openxmlformats.org/officeDocument/2006/customXml" ds:itemID="{A0435B6B-1C54-4405-AA4F-96DD9E0DAD0A}">
  <ds:schemaRefs/>
</ds:datastoreItem>
</file>

<file path=customXml/itemProps9.xml><?xml version="1.0" encoding="utf-8"?>
<ds:datastoreItem xmlns:ds="http://schemas.openxmlformats.org/officeDocument/2006/customXml" ds:itemID="{F36C2380-ABEA-4088-831C-F53284787A16}">
  <ds:schemaRefs/>
</ds:datastoreItem>
</file>

<file path=customXml/itemProps10.xml><?xml version="1.0" encoding="utf-8"?>
<ds:datastoreItem xmlns:ds="http://schemas.openxmlformats.org/officeDocument/2006/customXml" ds:itemID="{0CE39DF4-4905-4CF1-8CD8-7048A8964BE1}">
  <ds:schemaRefs>
    <ds:schemaRef ds:uri="http://gemini/pivotcustomization/ShowImplicitMeasures"/>
  </ds:schemaRefs>
</ds:datastoreItem>
</file>

<file path=customXml/itemProps11.xml><?xml version="1.0" encoding="utf-8"?>
<ds:datastoreItem xmlns:ds="http://schemas.openxmlformats.org/officeDocument/2006/customXml" ds:itemID="{F10E1491-730E-4D7A-B304-5969CA762F3C}">
  <ds:schemaRefs/>
</ds:datastoreItem>
</file>

<file path=customXml/itemProps12.xml><?xml version="1.0" encoding="utf-8"?>
<ds:datastoreItem xmlns:ds="http://schemas.openxmlformats.org/officeDocument/2006/customXml" ds:itemID="{AAF90BB9-0C66-4BC5-99D2-A9809D1D17AD}">
  <ds:schemaRefs>
    <ds:schemaRef ds:uri="http://gemini/pivotcustomization/TableXML_Таблица3"/>
  </ds:schemaRefs>
</ds:datastoreItem>
</file>

<file path=customXml/itemProps13.xml><?xml version="1.0" encoding="utf-8"?>
<ds:datastoreItem xmlns:ds="http://schemas.openxmlformats.org/officeDocument/2006/customXml" ds:itemID="{1B768778-6531-4EC7-94C0-12F074B05313}">
  <ds:schemaRefs/>
</ds:datastoreItem>
</file>

<file path=customXml/itemProps14.xml><?xml version="1.0" encoding="utf-8"?>
<ds:datastoreItem xmlns:ds="http://schemas.openxmlformats.org/officeDocument/2006/customXml" ds:itemID="{BA65A397-F974-4644-9EAC-264694D52C79}">
  <ds:schemaRefs/>
</ds:datastoreItem>
</file>

<file path=customXml/itemProps15.xml><?xml version="1.0" encoding="utf-8"?>
<ds:datastoreItem xmlns:ds="http://schemas.openxmlformats.org/officeDocument/2006/customXml" ds:itemID="{C3D5438F-DA79-4DF8-A280-546CEA5C2145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B5BC78E7-454C-4869-9AA3-36C9DC8ADFC9}">
  <ds:schemaRefs/>
</ds:datastoreItem>
</file>

<file path=customXml/itemProps17.xml><?xml version="1.0" encoding="utf-8"?>
<ds:datastoreItem xmlns:ds="http://schemas.openxmlformats.org/officeDocument/2006/customXml" ds:itemID="{3404441A-7DA6-44CB-BCF7-678B1534FA15}">
  <ds:schemaRefs>
    <ds:schemaRef ds:uri="http://gemini/pivotcustomization/TableWidget"/>
  </ds:schemaRefs>
</ds:datastoreItem>
</file>

<file path=customXml/itemProps18.xml><?xml version="1.0" encoding="utf-8"?>
<ds:datastoreItem xmlns:ds="http://schemas.openxmlformats.org/officeDocument/2006/customXml" ds:itemID="{56C76C38-6F8D-4E6F-BE99-6963079B8B8B}">
  <ds:schemaRefs/>
</ds:datastoreItem>
</file>

<file path=customXml/itemProps19.xml><?xml version="1.0" encoding="utf-8"?>
<ds:datastoreItem xmlns:ds="http://schemas.openxmlformats.org/officeDocument/2006/customXml" ds:itemID="{BAF3F2AB-7868-49F7-AEDE-875E4EB6A925}">
  <ds:schemaRefs/>
</ds:datastoreItem>
</file>

<file path=customXml/itemProps20.xml><?xml version="1.0" encoding="utf-8"?>
<ds:datastoreItem xmlns:ds="http://schemas.openxmlformats.org/officeDocument/2006/customXml" ds:itemID="{8F9F9EDB-2FA0-4E04-A663-1A980BB4C698}">
  <ds:schemaRefs>
    <ds:schemaRef ds:uri="http://gemini/pivotcustomization/LinkedTableUpdateMod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Исходные данные</vt:lpstr>
      <vt:lpstr>Исходные данные 2</vt:lpstr>
      <vt:lpstr>1 id</vt:lpstr>
      <vt:lpstr>2 id</vt:lpstr>
      <vt:lpstr>3 id</vt:lpstr>
      <vt:lpstr>Журнал учета договоров</vt:lpstr>
      <vt:lpstr>Дашборд1</vt:lpstr>
      <vt:lpstr>Дашборд2</vt:lpstr>
      <vt:lpstr>Склад</vt:lpstr>
      <vt:lpstr>Справочная информация</vt:lpstr>
      <vt:lpstr>Итоговые таблицы</vt:lpstr>
      <vt:lpstr>Помощь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Газпром Нефть</dc:creator>
  <cp:keywords/>
  <dc:description/>
  <cp:lastModifiedBy>Kalashnikova</cp:lastModifiedBy>
  <cp:revision/>
  <dcterms:created xsi:type="dcterms:W3CDTF">2024-09-06T14:12:14Z</dcterms:created>
  <dcterms:modified xsi:type="dcterms:W3CDTF">2025-04-11T13:20:19Z</dcterms:modified>
  <cp:category/>
  <cp:contentStatus/>
</cp:coreProperties>
</file>